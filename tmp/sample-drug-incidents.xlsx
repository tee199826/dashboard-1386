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6C8446E-6645-4AE0-AB6E-E3FCDD3F45F7}" xr6:coauthVersionLast="47" xr6:coauthVersionMax="47" xr10:uidLastSave="{00000000-0000-0000-0000-000000000000}"/>
  <bookViews>
    <workbookView xWindow="-108" yWindow="-108" windowWidth="23256" windowHeight="12456" tabRatio="613" firstSheet="6" activeTab="7" xr2:uid="{00000000-000D-0000-FFFF-FFFF00000000}"/>
  </bookViews>
  <sheets>
    <sheet name="เรื่องร้องเรียน" sheetId="2" r:id="rId1"/>
    <sheet name="บก.น.1-9" sheetId="4" r:id="rId2"/>
    <sheet name="กลุ่ม 1-5" sheetId="3" r:id="rId3"/>
    <sheet name="กลุ่ม 1-5 - เขต" sheetId="6" r:id="rId4"/>
    <sheet name="กลุ่ม 1-5 - สน." sheetId="5" r:id="rId5"/>
    <sheet name="กลุ่ม 1-5 - สน. (พฤติการณ์)" sheetId="17" r:id="rId6"/>
    <sheet name="บก.น.1-9(ส่งจริง)" sheetId="13" r:id="rId7"/>
    <sheet name="กลุ่ม1-5-สน.(ส่งจริง) (2)" sheetId="16" r:id="rId8"/>
    <sheet name="พฤติการณ์" sheetId="12" r:id="rId9"/>
    <sheet name="กลุ่ม 1-5 - เขต (2)" sheetId="19" r:id="rId10"/>
    <sheet name="Sheet1" sheetId="18" r:id="rId11"/>
    <sheet name="Sheet2" sheetId="20" r:id="rId12"/>
    <sheet name="area1" sheetId="10" state="hidden" r:id="rId13"/>
  </sheets>
  <definedNames>
    <definedName name="_xlnm._FilterDatabase" localSheetId="3" hidden="1">'กลุ่ม 1-5 - เขต'!$A$3:$AA$301</definedName>
    <definedName name="_xlnm._FilterDatabase" localSheetId="9" hidden="1">'กลุ่ม 1-5 - เขต (2)'!$A$5:$AA$301</definedName>
    <definedName name="_xlnm._FilterDatabase" localSheetId="4" hidden="1">'กลุ่ม 1-5 - สน.'!$A$3:$AA$104</definedName>
    <definedName name="_xlnm._FilterDatabase" localSheetId="0" hidden="1">เรื่องร้องเรียน!$A$3:$KA$4009</definedName>
    <definedName name="_xlnm.Print_Area" localSheetId="2">'กลุ่ม 1-5'!$A:$P</definedName>
    <definedName name="_xlnm.Print_Area" localSheetId="1">'บก.น.1-9'!$A:$P</definedName>
    <definedName name="_xlnm.Print_Area" localSheetId="6">'บก.น.1-9(ส่งจริง)'!$A:$M</definedName>
    <definedName name="_xlnm.Print_Area" localSheetId="8">พฤติการณ์!$A:$W</definedName>
    <definedName name="_xlnm.Print_Titles" localSheetId="3">'กลุ่ม 1-5 - เขต'!$1:$5</definedName>
    <definedName name="_xlnm.Print_Titles" localSheetId="9">'กลุ่ม 1-5 - เขต (2)'!$1:$5</definedName>
    <definedName name="_xlnm.Print_Titles" localSheetId="4">'กลุ่ม 1-5 - สน.'!$1:$5</definedName>
    <definedName name="_xlnm.Print_Titles" localSheetId="5">'กลุ่ม 1-5 - สน. (พฤติการณ์)'!$1:$5</definedName>
    <definedName name="_xlnm.Print_Titles" localSheetId="7">'กลุ่ม1-5-สน.(ส่งจริง) (2)'!$1:$4</definedName>
    <definedName name="_xlnm.Print_Titles" localSheetId="0">เรื่องร้องเรียน!$1:$3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1" i="19" l="1"/>
  <c r="Q301" i="19"/>
  <c r="P301" i="19"/>
  <c r="O301" i="19"/>
  <c r="J301" i="19"/>
  <c r="I301" i="19"/>
  <c r="H301" i="19"/>
  <c r="G301" i="19"/>
  <c r="F301" i="19"/>
  <c r="E301" i="19"/>
  <c r="D301" i="19"/>
  <c r="C301" i="19"/>
  <c r="R300" i="19"/>
  <c r="Q300" i="19"/>
  <c r="P300" i="19"/>
  <c r="O300" i="19"/>
  <c r="J300" i="19"/>
  <c r="I300" i="19"/>
  <c r="H300" i="19"/>
  <c r="G300" i="19"/>
  <c r="F300" i="19"/>
  <c r="E300" i="19"/>
  <c r="D300" i="19"/>
  <c r="C300" i="19"/>
  <c r="R299" i="19"/>
  <c r="Q299" i="19"/>
  <c r="P299" i="19"/>
  <c r="O299" i="19"/>
  <c r="J299" i="19"/>
  <c r="I299" i="19"/>
  <c r="H299" i="19"/>
  <c r="G299" i="19"/>
  <c r="F299" i="19"/>
  <c r="E299" i="19"/>
  <c r="D299" i="19"/>
  <c r="C299" i="19"/>
  <c r="R298" i="19"/>
  <c r="Q298" i="19"/>
  <c r="P298" i="19"/>
  <c r="O298" i="19"/>
  <c r="J298" i="19"/>
  <c r="I298" i="19"/>
  <c r="H298" i="19"/>
  <c r="G298" i="19"/>
  <c r="F298" i="19"/>
  <c r="E298" i="19"/>
  <c r="D298" i="19"/>
  <c r="C298" i="19"/>
  <c r="R297" i="19"/>
  <c r="Q297" i="19"/>
  <c r="P297" i="19"/>
  <c r="O297" i="19"/>
  <c r="J297" i="19"/>
  <c r="I297" i="19"/>
  <c r="H297" i="19"/>
  <c r="G297" i="19"/>
  <c r="F297" i="19"/>
  <c r="E297" i="19"/>
  <c r="D297" i="19"/>
  <c r="C297" i="19"/>
  <c r="R296" i="19"/>
  <c r="Q296" i="19"/>
  <c r="P296" i="19"/>
  <c r="O296" i="19"/>
  <c r="J296" i="19"/>
  <c r="I296" i="19"/>
  <c r="H296" i="19"/>
  <c r="G296" i="19"/>
  <c r="F296" i="19"/>
  <c r="E296" i="19"/>
  <c r="D296" i="19"/>
  <c r="C296" i="19"/>
  <c r="R295" i="19"/>
  <c r="Q295" i="19"/>
  <c r="P295" i="19"/>
  <c r="O295" i="19"/>
  <c r="J295" i="19"/>
  <c r="I295" i="19"/>
  <c r="H295" i="19"/>
  <c r="G295" i="19"/>
  <c r="F295" i="19"/>
  <c r="E295" i="19"/>
  <c r="D295" i="19"/>
  <c r="C295" i="19"/>
  <c r="S294" i="19"/>
  <c r="T294" i="19" s="1"/>
  <c r="L294" i="19"/>
  <c r="N294" i="19" s="1"/>
  <c r="K294" i="19"/>
  <c r="M294" i="19" s="1"/>
  <c r="R292" i="19"/>
  <c r="Q292" i="19"/>
  <c r="P292" i="19"/>
  <c r="O292" i="19"/>
  <c r="J292" i="19"/>
  <c r="I292" i="19"/>
  <c r="H292" i="19"/>
  <c r="G292" i="19"/>
  <c r="F292" i="19"/>
  <c r="E292" i="19"/>
  <c r="D292" i="19"/>
  <c r="C292" i="19"/>
  <c r="R291" i="19"/>
  <c r="Q291" i="19"/>
  <c r="P291" i="19"/>
  <c r="O291" i="19"/>
  <c r="J291" i="19"/>
  <c r="I291" i="19"/>
  <c r="H291" i="19"/>
  <c r="G291" i="19"/>
  <c r="F291" i="19"/>
  <c r="E291" i="19"/>
  <c r="D291" i="19"/>
  <c r="C291" i="19"/>
  <c r="R290" i="19"/>
  <c r="Q290" i="19"/>
  <c r="P290" i="19"/>
  <c r="O290" i="19"/>
  <c r="J290" i="19"/>
  <c r="I290" i="19"/>
  <c r="H290" i="19"/>
  <c r="G290" i="19"/>
  <c r="F290" i="19"/>
  <c r="E290" i="19"/>
  <c r="D290" i="19"/>
  <c r="C290" i="19"/>
  <c r="S289" i="19"/>
  <c r="T289" i="19" s="1"/>
  <c r="L289" i="19"/>
  <c r="N289" i="19" s="1"/>
  <c r="K289" i="19"/>
  <c r="M289" i="19" s="1"/>
  <c r="R287" i="19"/>
  <c r="Q287" i="19"/>
  <c r="P287" i="19"/>
  <c r="O287" i="19"/>
  <c r="J287" i="19"/>
  <c r="I287" i="19"/>
  <c r="H287" i="19"/>
  <c r="G287" i="19"/>
  <c r="F287" i="19"/>
  <c r="E287" i="19"/>
  <c r="D287" i="19"/>
  <c r="C287" i="19"/>
  <c r="R286" i="19"/>
  <c r="Q286" i="19"/>
  <c r="P286" i="19"/>
  <c r="O286" i="19"/>
  <c r="J286" i="19"/>
  <c r="I286" i="19"/>
  <c r="H286" i="19"/>
  <c r="G286" i="19"/>
  <c r="F286" i="19"/>
  <c r="E286" i="19"/>
  <c r="D286" i="19"/>
  <c r="C286" i="19"/>
  <c r="R285" i="19"/>
  <c r="Q285" i="19"/>
  <c r="P285" i="19"/>
  <c r="O285" i="19"/>
  <c r="J285" i="19"/>
  <c r="I285" i="19"/>
  <c r="H285" i="19"/>
  <c r="G285" i="19"/>
  <c r="F285" i="19"/>
  <c r="E285" i="19"/>
  <c r="D285" i="19"/>
  <c r="C285" i="19"/>
  <c r="R284" i="19"/>
  <c r="Q284" i="19"/>
  <c r="P284" i="19"/>
  <c r="O284" i="19"/>
  <c r="J284" i="19"/>
  <c r="I284" i="19"/>
  <c r="H284" i="19"/>
  <c r="G284" i="19"/>
  <c r="F284" i="19"/>
  <c r="E284" i="19"/>
  <c r="D284" i="19"/>
  <c r="C284" i="19"/>
  <c r="R283" i="19"/>
  <c r="Q283" i="19"/>
  <c r="P283" i="19"/>
  <c r="O283" i="19"/>
  <c r="J283" i="19"/>
  <c r="I283" i="19"/>
  <c r="H283" i="19"/>
  <c r="G283" i="19"/>
  <c r="F283" i="19"/>
  <c r="E283" i="19"/>
  <c r="D283" i="19"/>
  <c r="C283" i="19"/>
  <c r="R282" i="19"/>
  <c r="Q282" i="19"/>
  <c r="P282" i="19"/>
  <c r="O282" i="19"/>
  <c r="J282" i="19"/>
  <c r="I282" i="19"/>
  <c r="H282" i="19"/>
  <c r="G282" i="19"/>
  <c r="F282" i="19"/>
  <c r="E282" i="19"/>
  <c r="D282" i="19"/>
  <c r="C282" i="19"/>
  <c r="S281" i="19"/>
  <c r="T281" i="19" s="1"/>
  <c r="L281" i="19"/>
  <c r="N281" i="19" s="1"/>
  <c r="K281" i="19"/>
  <c r="M281" i="19" s="1"/>
  <c r="R279" i="19"/>
  <c r="Q279" i="19"/>
  <c r="P279" i="19"/>
  <c r="O279" i="19"/>
  <c r="J279" i="19"/>
  <c r="I279" i="19"/>
  <c r="H279" i="19"/>
  <c r="G279" i="19"/>
  <c r="F279" i="19"/>
  <c r="E279" i="19"/>
  <c r="D279" i="19"/>
  <c r="C279" i="19"/>
  <c r="R278" i="19"/>
  <c r="Q278" i="19"/>
  <c r="P278" i="19"/>
  <c r="O278" i="19"/>
  <c r="J278" i="19"/>
  <c r="I278" i="19"/>
  <c r="H278" i="19"/>
  <c r="G278" i="19"/>
  <c r="F278" i="19"/>
  <c r="E278" i="19"/>
  <c r="D278" i="19"/>
  <c r="C278" i="19"/>
  <c r="S277" i="19"/>
  <c r="T277" i="19" s="1"/>
  <c r="L277" i="19"/>
  <c r="L276" i="19" s="1"/>
  <c r="K277" i="19"/>
  <c r="M277" i="19" s="1"/>
  <c r="R275" i="19"/>
  <c r="Q275" i="19"/>
  <c r="P275" i="19"/>
  <c r="O275" i="19"/>
  <c r="J275" i="19"/>
  <c r="I275" i="19"/>
  <c r="H275" i="19"/>
  <c r="G275" i="19"/>
  <c r="F275" i="19"/>
  <c r="E275" i="19"/>
  <c r="D275" i="19"/>
  <c r="C275" i="19"/>
  <c r="R274" i="19"/>
  <c r="Q274" i="19"/>
  <c r="P274" i="19"/>
  <c r="O274" i="19"/>
  <c r="J274" i="19"/>
  <c r="I274" i="19"/>
  <c r="H274" i="19"/>
  <c r="G274" i="19"/>
  <c r="F274" i="19"/>
  <c r="E274" i="19"/>
  <c r="D274" i="19"/>
  <c r="C274" i="19"/>
  <c r="R273" i="19"/>
  <c r="Q273" i="19"/>
  <c r="P273" i="19"/>
  <c r="O273" i="19"/>
  <c r="J273" i="19"/>
  <c r="I273" i="19"/>
  <c r="H273" i="19"/>
  <c r="G273" i="19"/>
  <c r="F273" i="19"/>
  <c r="E273" i="19"/>
  <c r="D273" i="19"/>
  <c r="C273" i="19"/>
  <c r="R272" i="19"/>
  <c r="Q272" i="19"/>
  <c r="P272" i="19"/>
  <c r="O272" i="19"/>
  <c r="J272" i="19"/>
  <c r="I272" i="19"/>
  <c r="H272" i="19"/>
  <c r="G272" i="19"/>
  <c r="F272" i="19"/>
  <c r="E272" i="19"/>
  <c r="D272" i="19"/>
  <c r="C272" i="19"/>
  <c r="S271" i="19"/>
  <c r="T271" i="19" s="1"/>
  <c r="L271" i="19"/>
  <c r="L270" i="19" s="1"/>
  <c r="K271" i="19"/>
  <c r="M271" i="19" s="1"/>
  <c r="R269" i="19"/>
  <c r="Q269" i="19"/>
  <c r="P269" i="19"/>
  <c r="O269" i="19"/>
  <c r="J269" i="19"/>
  <c r="I269" i="19"/>
  <c r="H269" i="19"/>
  <c r="G269" i="19"/>
  <c r="F269" i="19"/>
  <c r="E269" i="19"/>
  <c r="D269" i="19"/>
  <c r="C269" i="19"/>
  <c r="R268" i="19"/>
  <c r="Q268" i="19"/>
  <c r="P268" i="19"/>
  <c r="O268" i="19"/>
  <c r="J268" i="19"/>
  <c r="I268" i="19"/>
  <c r="H268" i="19"/>
  <c r="G268" i="19"/>
  <c r="F268" i="19"/>
  <c r="E268" i="19"/>
  <c r="D268" i="19"/>
  <c r="C268" i="19"/>
  <c r="R267" i="19"/>
  <c r="Q267" i="19"/>
  <c r="P267" i="19"/>
  <c r="O267" i="19"/>
  <c r="J267" i="19"/>
  <c r="I267" i="19"/>
  <c r="H267" i="19"/>
  <c r="G267" i="19"/>
  <c r="F267" i="19"/>
  <c r="E267" i="19"/>
  <c r="D267" i="19"/>
  <c r="C267" i="19"/>
  <c r="S266" i="19"/>
  <c r="T266" i="19" s="1"/>
  <c r="L266" i="19"/>
  <c r="N266" i="19" s="1"/>
  <c r="K266" i="19"/>
  <c r="M266" i="19" s="1"/>
  <c r="R264" i="19"/>
  <c r="Q264" i="19"/>
  <c r="P264" i="19"/>
  <c r="O264" i="19"/>
  <c r="J264" i="19"/>
  <c r="I264" i="19"/>
  <c r="H264" i="19"/>
  <c r="G264" i="19"/>
  <c r="F264" i="19"/>
  <c r="E264" i="19"/>
  <c r="D264" i="19"/>
  <c r="C264" i="19"/>
  <c r="R263" i="19"/>
  <c r="Q263" i="19"/>
  <c r="P263" i="19"/>
  <c r="O263" i="19"/>
  <c r="J263" i="19"/>
  <c r="I263" i="19"/>
  <c r="H263" i="19"/>
  <c r="G263" i="19"/>
  <c r="F263" i="19"/>
  <c r="E263" i="19"/>
  <c r="D263" i="19"/>
  <c r="C263" i="19"/>
  <c r="R262" i="19"/>
  <c r="Q262" i="19"/>
  <c r="P262" i="19"/>
  <c r="O262" i="19"/>
  <c r="J262" i="19"/>
  <c r="I262" i="19"/>
  <c r="H262" i="19"/>
  <c r="G262" i="19"/>
  <c r="F262" i="19"/>
  <c r="E262" i="19"/>
  <c r="D262" i="19"/>
  <c r="C262" i="19"/>
  <c r="R261" i="19"/>
  <c r="Q261" i="19"/>
  <c r="P261" i="19"/>
  <c r="O261" i="19"/>
  <c r="J261" i="19"/>
  <c r="I261" i="19"/>
  <c r="H261" i="19"/>
  <c r="G261" i="19"/>
  <c r="F261" i="19"/>
  <c r="E261" i="19"/>
  <c r="D261" i="19"/>
  <c r="C261" i="19"/>
  <c r="S260" i="19"/>
  <c r="T260" i="19" s="1"/>
  <c r="L260" i="19"/>
  <c r="N260" i="19" s="1"/>
  <c r="K260" i="19"/>
  <c r="M260" i="19" s="1"/>
  <c r="R258" i="19"/>
  <c r="Q258" i="19"/>
  <c r="P258" i="19"/>
  <c r="O258" i="19"/>
  <c r="J258" i="19"/>
  <c r="I258" i="19"/>
  <c r="H258" i="19"/>
  <c r="G258" i="19"/>
  <c r="F258" i="19"/>
  <c r="E258" i="19"/>
  <c r="D258" i="19"/>
  <c r="C258" i="19"/>
  <c r="R257" i="19"/>
  <c r="Q257" i="19"/>
  <c r="P257" i="19"/>
  <c r="O257" i="19"/>
  <c r="J257" i="19"/>
  <c r="I257" i="19"/>
  <c r="H257" i="19"/>
  <c r="G257" i="19"/>
  <c r="F257" i="19"/>
  <c r="E257" i="19"/>
  <c r="D257" i="19"/>
  <c r="C257" i="19"/>
  <c r="S256" i="19"/>
  <c r="S255" i="19" s="1"/>
  <c r="L256" i="19"/>
  <c r="N256" i="19" s="1"/>
  <c r="K256" i="19"/>
  <c r="K255" i="19" s="1"/>
  <c r="R254" i="19"/>
  <c r="Q254" i="19"/>
  <c r="P254" i="19"/>
  <c r="O254" i="19"/>
  <c r="J254" i="19"/>
  <c r="I254" i="19"/>
  <c r="H254" i="19"/>
  <c r="G254" i="19"/>
  <c r="F254" i="19"/>
  <c r="E254" i="19"/>
  <c r="D254" i="19"/>
  <c r="C254" i="19"/>
  <c r="R253" i="19"/>
  <c r="Q253" i="19"/>
  <c r="P253" i="19"/>
  <c r="O253" i="19"/>
  <c r="J253" i="19"/>
  <c r="I253" i="19"/>
  <c r="H253" i="19"/>
  <c r="G253" i="19"/>
  <c r="F253" i="19"/>
  <c r="E253" i="19"/>
  <c r="D253" i="19"/>
  <c r="C253" i="19"/>
  <c r="R252" i="19"/>
  <c r="Q252" i="19"/>
  <c r="P252" i="19"/>
  <c r="O252" i="19"/>
  <c r="J252" i="19"/>
  <c r="I252" i="19"/>
  <c r="H252" i="19"/>
  <c r="G252" i="19"/>
  <c r="F252" i="19"/>
  <c r="E252" i="19"/>
  <c r="D252" i="19"/>
  <c r="C252" i="19"/>
  <c r="R251" i="19"/>
  <c r="Q251" i="19"/>
  <c r="P251" i="19"/>
  <c r="O251" i="19"/>
  <c r="J251" i="19"/>
  <c r="I251" i="19"/>
  <c r="H251" i="19"/>
  <c r="G251" i="19"/>
  <c r="F251" i="19"/>
  <c r="E251" i="19"/>
  <c r="D251" i="19"/>
  <c r="C251" i="19"/>
  <c r="R250" i="19"/>
  <c r="Q250" i="19"/>
  <c r="P250" i="19"/>
  <c r="O250" i="19"/>
  <c r="J250" i="19"/>
  <c r="I250" i="19"/>
  <c r="H250" i="19"/>
  <c r="G250" i="19"/>
  <c r="F250" i="19"/>
  <c r="E250" i="19"/>
  <c r="D250" i="19"/>
  <c r="C250" i="19"/>
  <c r="S249" i="19"/>
  <c r="T249" i="19" s="1"/>
  <c r="L249" i="19"/>
  <c r="N249" i="19" s="1"/>
  <c r="K249" i="19"/>
  <c r="M249" i="19" s="1"/>
  <c r="R247" i="19"/>
  <c r="Q247" i="19"/>
  <c r="P247" i="19"/>
  <c r="O247" i="19"/>
  <c r="J247" i="19"/>
  <c r="I247" i="19"/>
  <c r="H247" i="19"/>
  <c r="G247" i="19"/>
  <c r="F247" i="19"/>
  <c r="E247" i="19"/>
  <c r="D247" i="19"/>
  <c r="C247" i="19"/>
  <c r="R246" i="19"/>
  <c r="Q246" i="19"/>
  <c r="P246" i="19"/>
  <c r="O246" i="19"/>
  <c r="J246" i="19"/>
  <c r="I246" i="19"/>
  <c r="H246" i="19"/>
  <c r="G246" i="19"/>
  <c r="F246" i="19"/>
  <c r="E246" i="19"/>
  <c r="D246" i="19"/>
  <c r="C246" i="19"/>
  <c r="R245" i="19"/>
  <c r="Q245" i="19"/>
  <c r="P245" i="19"/>
  <c r="O245" i="19"/>
  <c r="J245" i="19"/>
  <c r="I245" i="19"/>
  <c r="H245" i="19"/>
  <c r="G245" i="19"/>
  <c r="F245" i="19"/>
  <c r="E245" i="19"/>
  <c r="D245" i="19"/>
  <c r="C245" i="19"/>
  <c r="R244" i="19"/>
  <c r="Q244" i="19"/>
  <c r="P244" i="19"/>
  <c r="O244" i="19"/>
  <c r="J244" i="19"/>
  <c r="I244" i="19"/>
  <c r="H244" i="19"/>
  <c r="G244" i="19"/>
  <c r="F244" i="19"/>
  <c r="E244" i="19"/>
  <c r="D244" i="19"/>
  <c r="C244" i="19"/>
  <c r="S243" i="19"/>
  <c r="T243" i="19" s="1"/>
  <c r="L243" i="19"/>
  <c r="L242" i="19" s="1"/>
  <c r="K243" i="19"/>
  <c r="M243" i="19" s="1"/>
  <c r="R241" i="19"/>
  <c r="Q241" i="19"/>
  <c r="P241" i="19"/>
  <c r="O241" i="19"/>
  <c r="J241" i="19"/>
  <c r="I241" i="19"/>
  <c r="H241" i="19"/>
  <c r="G241" i="19"/>
  <c r="F241" i="19"/>
  <c r="E241" i="19"/>
  <c r="D241" i="19"/>
  <c r="C241" i="19"/>
  <c r="R240" i="19"/>
  <c r="Q240" i="19"/>
  <c r="P240" i="19"/>
  <c r="O240" i="19"/>
  <c r="J240" i="19"/>
  <c r="I240" i="19"/>
  <c r="H240" i="19"/>
  <c r="G240" i="19"/>
  <c r="F240" i="19"/>
  <c r="E240" i="19"/>
  <c r="D240" i="19"/>
  <c r="C240" i="19"/>
  <c r="R239" i="19"/>
  <c r="Q239" i="19"/>
  <c r="P239" i="19"/>
  <c r="O239" i="19"/>
  <c r="J239" i="19"/>
  <c r="I239" i="19"/>
  <c r="H239" i="19"/>
  <c r="G239" i="19"/>
  <c r="F239" i="19"/>
  <c r="E239" i="19"/>
  <c r="D239" i="19"/>
  <c r="C239" i="19"/>
  <c r="S238" i="19"/>
  <c r="T238" i="19" s="1"/>
  <c r="L238" i="19"/>
  <c r="N238" i="19" s="1"/>
  <c r="K238" i="19"/>
  <c r="M238" i="19" s="1"/>
  <c r="R236" i="19"/>
  <c r="Q236" i="19"/>
  <c r="P236" i="19"/>
  <c r="O236" i="19"/>
  <c r="J236" i="19"/>
  <c r="I236" i="19"/>
  <c r="H236" i="19"/>
  <c r="G236" i="19"/>
  <c r="F236" i="19"/>
  <c r="E236" i="19"/>
  <c r="D236" i="19"/>
  <c r="C236" i="19"/>
  <c r="R235" i="19"/>
  <c r="Q235" i="19"/>
  <c r="P235" i="19"/>
  <c r="O235" i="19"/>
  <c r="J235" i="19"/>
  <c r="I235" i="19"/>
  <c r="H235" i="19"/>
  <c r="G235" i="19"/>
  <c r="F235" i="19"/>
  <c r="E235" i="19"/>
  <c r="D235" i="19"/>
  <c r="C235" i="19"/>
  <c r="R234" i="19"/>
  <c r="Q234" i="19"/>
  <c r="P234" i="19"/>
  <c r="O234" i="19"/>
  <c r="J234" i="19"/>
  <c r="I234" i="19"/>
  <c r="H234" i="19"/>
  <c r="G234" i="19"/>
  <c r="F234" i="19"/>
  <c r="E234" i="19"/>
  <c r="D234" i="19"/>
  <c r="C234" i="19"/>
  <c r="S233" i="19"/>
  <c r="T233" i="19" s="1"/>
  <c r="L233" i="19"/>
  <c r="K233" i="19"/>
  <c r="M233" i="19" s="1"/>
  <c r="R231" i="19"/>
  <c r="Q231" i="19"/>
  <c r="P231" i="19"/>
  <c r="O231" i="19"/>
  <c r="J231" i="19"/>
  <c r="I231" i="19"/>
  <c r="H231" i="19"/>
  <c r="G231" i="19"/>
  <c r="F231" i="19"/>
  <c r="E231" i="19"/>
  <c r="D231" i="19"/>
  <c r="C231" i="19"/>
  <c r="R230" i="19"/>
  <c r="Q230" i="19"/>
  <c r="P230" i="19"/>
  <c r="O230" i="19"/>
  <c r="J230" i="19"/>
  <c r="I230" i="19"/>
  <c r="H230" i="19"/>
  <c r="G230" i="19"/>
  <c r="F230" i="19"/>
  <c r="E230" i="19"/>
  <c r="D230" i="19"/>
  <c r="C230" i="19"/>
  <c r="R229" i="19"/>
  <c r="Q229" i="19"/>
  <c r="P229" i="19"/>
  <c r="O229" i="19"/>
  <c r="J229" i="19"/>
  <c r="I229" i="19"/>
  <c r="H229" i="19"/>
  <c r="G229" i="19"/>
  <c r="F229" i="19"/>
  <c r="E229" i="19"/>
  <c r="D229" i="19"/>
  <c r="C229" i="19"/>
  <c r="R228" i="19"/>
  <c r="Q228" i="19"/>
  <c r="P228" i="19"/>
  <c r="O228" i="19"/>
  <c r="J228" i="19"/>
  <c r="I228" i="19"/>
  <c r="H228" i="19"/>
  <c r="G228" i="19"/>
  <c r="F228" i="19"/>
  <c r="E228" i="19"/>
  <c r="D228" i="19"/>
  <c r="C228" i="19"/>
  <c r="R227" i="19"/>
  <c r="Q227" i="19"/>
  <c r="P227" i="19"/>
  <c r="O227" i="19"/>
  <c r="J227" i="19"/>
  <c r="I227" i="19"/>
  <c r="H227" i="19"/>
  <c r="G227" i="19"/>
  <c r="F227" i="19"/>
  <c r="E227" i="19"/>
  <c r="D227" i="19"/>
  <c r="C227" i="19"/>
  <c r="S226" i="19"/>
  <c r="T226" i="19" s="1"/>
  <c r="L226" i="19"/>
  <c r="K226" i="19"/>
  <c r="M226" i="19" s="1"/>
  <c r="R224" i="19"/>
  <c r="Q224" i="19"/>
  <c r="P224" i="19"/>
  <c r="O224" i="19"/>
  <c r="J224" i="19"/>
  <c r="I224" i="19"/>
  <c r="H224" i="19"/>
  <c r="G224" i="19"/>
  <c r="F224" i="19"/>
  <c r="E224" i="19"/>
  <c r="D224" i="19"/>
  <c r="C224" i="19"/>
  <c r="R223" i="19"/>
  <c r="Q223" i="19"/>
  <c r="P223" i="19"/>
  <c r="O223" i="19"/>
  <c r="J223" i="19"/>
  <c r="I223" i="19"/>
  <c r="H223" i="19"/>
  <c r="G223" i="19"/>
  <c r="F223" i="19"/>
  <c r="E223" i="19"/>
  <c r="D223" i="19"/>
  <c r="C223" i="19"/>
  <c r="R222" i="19"/>
  <c r="Q222" i="19"/>
  <c r="P222" i="19"/>
  <c r="O222" i="19"/>
  <c r="J222" i="19"/>
  <c r="I222" i="19"/>
  <c r="H222" i="19"/>
  <c r="G222" i="19"/>
  <c r="F222" i="19"/>
  <c r="E222" i="19"/>
  <c r="D222" i="19"/>
  <c r="C222" i="19"/>
  <c r="R221" i="19"/>
  <c r="Q221" i="19"/>
  <c r="P221" i="19"/>
  <c r="O221" i="19"/>
  <c r="J221" i="19"/>
  <c r="I221" i="19"/>
  <c r="H221" i="19"/>
  <c r="G221" i="19"/>
  <c r="F221" i="19"/>
  <c r="E221" i="19"/>
  <c r="D221" i="19"/>
  <c r="C221" i="19"/>
  <c r="S220" i="19"/>
  <c r="T220" i="19" s="1"/>
  <c r="L220" i="19"/>
  <c r="N220" i="19" s="1"/>
  <c r="K220" i="19"/>
  <c r="R218" i="19"/>
  <c r="Q218" i="19"/>
  <c r="P218" i="19"/>
  <c r="O218" i="19"/>
  <c r="J218" i="19"/>
  <c r="I218" i="19"/>
  <c r="H218" i="19"/>
  <c r="G218" i="19"/>
  <c r="F218" i="19"/>
  <c r="E218" i="19"/>
  <c r="D218" i="19"/>
  <c r="C218" i="19"/>
  <c r="R217" i="19"/>
  <c r="Q217" i="19"/>
  <c r="P217" i="19"/>
  <c r="O217" i="19"/>
  <c r="J217" i="19"/>
  <c r="I217" i="19"/>
  <c r="H217" i="19"/>
  <c r="G217" i="19"/>
  <c r="F217" i="19"/>
  <c r="E217" i="19"/>
  <c r="D217" i="19"/>
  <c r="C217" i="19"/>
  <c r="R216" i="19"/>
  <c r="Q216" i="19"/>
  <c r="P216" i="19"/>
  <c r="O216" i="19"/>
  <c r="J216" i="19"/>
  <c r="I216" i="19"/>
  <c r="H216" i="19"/>
  <c r="G216" i="19"/>
  <c r="F216" i="19"/>
  <c r="E216" i="19"/>
  <c r="D216" i="19"/>
  <c r="C216" i="19"/>
  <c r="R215" i="19"/>
  <c r="Q215" i="19"/>
  <c r="P215" i="19"/>
  <c r="O215" i="19"/>
  <c r="J215" i="19"/>
  <c r="I215" i="19"/>
  <c r="H215" i="19"/>
  <c r="G215" i="19"/>
  <c r="F215" i="19"/>
  <c r="E215" i="19"/>
  <c r="D215" i="19"/>
  <c r="C215" i="19"/>
  <c r="S214" i="19"/>
  <c r="T214" i="19" s="1"/>
  <c r="L214" i="19"/>
  <c r="K214" i="19"/>
  <c r="M214" i="19" s="1"/>
  <c r="R212" i="19"/>
  <c r="Q212" i="19"/>
  <c r="P212" i="19"/>
  <c r="O212" i="19"/>
  <c r="J212" i="19"/>
  <c r="I212" i="19"/>
  <c r="H212" i="19"/>
  <c r="G212" i="19"/>
  <c r="F212" i="19"/>
  <c r="E212" i="19"/>
  <c r="D212" i="19"/>
  <c r="C212" i="19"/>
  <c r="R211" i="19"/>
  <c r="Q211" i="19"/>
  <c r="P211" i="19"/>
  <c r="O211" i="19"/>
  <c r="J211" i="19"/>
  <c r="I211" i="19"/>
  <c r="H211" i="19"/>
  <c r="G211" i="19"/>
  <c r="F211" i="19"/>
  <c r="E211" i="19"/>
  <c r="D211" i="19"/>
  <c r="C211" i="19"/>
  <c r="R210" i="19"/>
  <c r="Q210" i="19"/>
  <c r="P210" i="19"/>
  <c r="O210" i="19"/>
  <c r="J210" i="19"/>
  <c r="I210" i="19"/>
  <c r="H210" i="19"/>
  <c r="G210" i="19"/>
  <c r="F210" i="19"/>
  <c r="E210" i="19"/>
  <c r="D210" i="19"/>
  <c r="C210" i="19"/>
  <c r="S209" i="19"/>
  <c r="L209" i="19"/>
  <c r="N209" i="19" s="1"/>
  <c r="K209" i="19"/>
  <c r="R207" i="19"/>
  <c r="Q207" i="19"/>
  <c r="P207" i="19"/>
  <c r="O207" i="19"/>
  <c r="J207" i="19"/>
  <c r="I207" i="19"/>
  <c r="H207" i="19"/>
  <c r="G207" i="19"/>
  <c r="F207" i="19"/>
  <c r="E207" i="19"/>
  <c r="D207" i="19"/>
  <c r="C207" i="19"/>
  <c r="R206" i="19"/>
  <c r="Q206" i="19"/>
  <c r="P206" i="19"/>
  <c r="O206" i="19"/>
  <c r="J206" i="19"/>
  <c r="I206" i="19"/>
  <c r="H206" i="19"/>
  <c r="G206" i="19"/>
  <c r="F206" i="19"/>
  <c r="E206" i="19"/>
  <c r="D206" i="19"/>
  <c r="C206" i="19"/>
  <c r="R205" i="19"/>
  <c r="Q205" i="19"/>
  <c r="P205" i="19"/>
  <c r="O205" i="19"/>
  <c r="J205" i="19"/>
  <c r="I205" i="19"/>
  <c r="H205" i="19"/>
  <c r="G205" i="19"/>
  <c r="F205" i="19"/>
  <c r="E205" i="19"/>
  <c r="D205" i="19"/>
  <c r="C205" i="19"/>
  <c r="S204" i="19"/>
  <c r="T204" i="19" s="1"/>
  <c r="L204" i="19"/>
  <c r="L203" i="19" s="1"/>
  <c r="K204" i="19"/>
  <c r="M204" i="19" s="1"/>
  <c r="R202" i="19"/>
  <c r="Q202" i="19"/>
  <c r="P202" i="19"/>
  <c r="O202" i="19"/>
  <c r="J202" i="19"/>
  <c r="I202" i="19"/>
  <c r="H202" i="19"/>
  <c r="G202" i="19"/>
  <c r="F202" i="19"/>
  <c r="E202" i="19"/>
  <c r="D202" i="19"/>
  <c r="C202" i="19"/>
  <c r="R201" i="19"/>
  <c r="Q201" i="19"/>
  <c r="P201" i="19"/>
  <c r="O201" i="19"/>
  <c r="J201" i="19"/>
  <c r="I201" i="19"/>
  <c r="H201" i="19"/>
  <c r="G201" i="19"/>
  <c r="F201" i="19"/>
  <c r="E201" i="19"/>
  <c r="D201" i="19"/>
  <c r="C201" i="19"/>
  <c r="R200" i="19"/>
  <c r="Q200" i="19"/>
  <c r="P200" i="19"/>
  <c r="O200" i="19"/>
  <c r="J200" i="19"/>
  <c r="I200" i="19"/>
  <c r="H200" i="19"/>
  <c r="G200" i="19"/>
  <c r="F200" i="19"/>
  <c r="E200" i="19"/>
  <c r="D200" i="19"/>
  <c r="C200" i="19"/>
  <c r="R199" i="19"/>
  <c r="Q199" i="19"/>
  <c r="P199" i="19"/>
  <c r="O199" i="19"/>
  <c r="J199" i="19"/>
  <c r="I199" i="19"/>
  <c r="H199" i="19"/>
  <c r="G199" i="19"/>
  <c r="F199" i="19"/>
  <c r="E199" i="19"/>
  <c r="D199" i="19"/>
  <c r="C199" i="19"/>
  <c r="S198" i="19"/>
  <c r="T198" i="19" s="1"/>
  <c r="L198" i="19"/>
  <c r="K198" i="19"/>
  <c r="M198" i="19" s="1"/>
  <c r="R196" i="19"/>
  <c r="Q196" i="19"/>
  <c r="P196" i="19"/>
  <c r="O196" i="19"/>
  <c r="J196" i="19"/>
  <c r="I196" i="19"/>
  <c r="H196" i="19"/>
  <c r="G196" i="19"/>
  <c r="F196" i="19"/>
  <c r="E196" i="19"/>
  <c r="D196" i="19"/>
  <c r="C196" i="19"/>
  <c r="R195" i="19"/>
  <c r="Q195" i="19"/>
  <c r="P195" i="19"/>
  <c r="O195" i="19"/>
  <c r="J195" i="19"/>
  <c r="I195" i="19"/>
  <c r="H195" i="19"/>
  <c r="G195" i="19"/>
  <c r="F195" i="19"/>
  <c r="E195" i="19"/>
  <c r="D195" i="19"/>
  <c r="C195" i="19"/>
  <c r="R194" i="19"/>
  <c r="Q194" i="19"/>
  <c r="P194" i="19"/>
  <c r="O194" i="19"/>
  <c r="J194" i="19"/>
  <c r="I194" i="19"/>
  <c r="H194" i="19"/>
  <c r="G194" i="19"/>
  <c r="F194" i="19"/>
  <c r="E194" i="19"/>
  <c r="D194" i="19"/>
  <c r="C194" i="19"/>
  <c r="R193" i="19"/>
  <c r="Q193" i="19"/>
  <c r="P193" i="19"/>
  <c r="O193" i="19"/>
  <c r="J193" i="19"/>
  <c r="I193" i="19"/>
  <c r="H193" i="19"/>
  <c r="G193" i="19"/>
  <c r="F193" i="19"/>
  <c r="E193" i="19"/>
  <c r="D193" i="19"/>
  <c r="C193" i="19"/>
  <c r="S192" i="19"/>
  <c r="T192" i="19" s="1"/>
  <c r="L192" i="19"/>
  <c r="N192" i="19" s="1"/>
  <c r="K192" i="19"/>
  <c r="M192" i="19" s="1"/>
  <c r="R190" i="19"/>
  <c r="Q190" i="19"/>
  <c r="P190" i="19"/>
  <c r="O190" i="19"/>
  <c r="J190" i="19"/>
  <c r="I190" i="19"/>
  <c r="H190" i="19"/>
  <c r="G190" i="19"/>
  <c r="F190" i="19"/>
  <c r="E190" i="19"/>
  <c r="D190" i="19"/>
  <c r="C190" i="19"/>
  <c r="R189" i="19"/>
  <c r="Q189" i="19"/>
  <c r="P189" i="19"/>
  <c r="O189" i="19"/>
  <c r="J189" i="19"/>
  <c r="I189" i="19"/>
  <c r="H189" i="19"/>
  <c r="G189" i="19"/>
  <c r="F189" i="19"/>
  <c r="E189" i="19"/>
  <c r="D189" i="19"/>
  <c r="C189" i="19"/>
  <c r="S188" i="19"/>
  <c r="T188" i="19" s="1"/>
  <c r="L188" i="19"/>
  <c r="N188" i="19" s="1"/>
  <c r="K188" i="19"/>
  <c r="M188" i="19" s="1"/>
  <c r="R186" i="19"/>
  <c r="Q186" i="19"/>
  <c r="P186" i="19"/>
  <c r="O186" i="19"/>
  <c r="J186" i="19"/>
  <c r="I186" i="19"/>
  <c r="H186" i="19"/>
  <c r="G186" i="19"/>
  <c r="F186" i="19"/>
  <c r="E186" i="19"/>
  <c r="D186" i="19"/>
  <c r="C186" i="19"/>
  <c r="R185" i="19"/>
  <c r="Q185" i="19"/>
  <c r="P185" i="19"/>
  <c r="O185" i="19"/>
  <c r="J185" i="19"/>
  <c r="I185" i="19"/>
  <c r="H185" i="19"/>
  <c r="G185" i="19"/>
  <c r="F185" i="19"/>
  <c r="E185" i="19"/>
  <c r="D185" i="19"/>
  <c r="C185" i="19"/>
  <c r="R184" i="19"/>
  <c r="Q184" i="19"/>
  <c r="P184" i="19"/>
  <c r="O184" i="19"/>
  <c r="J184" i="19"/>
  <c r="I184" i="19"/>
  <c r="H184" i="19"/>
  <c r="G184" i="19"/>
  <c r="F184" i="19"/>
  <c r="E184" i="19"/>
  <c r="D184" i="19"/>
  <c r="C184" i="19"/>
  <c r="R183" i="19"/>
  <c r="Q183" i="19"/>
  <c r="P183" i="19"/>
  <c r="O183" i="19"/>
  <c r="J183" i="19"/>
  <c r="I183" i="19"/>
  <c r="H183" i="19"/>
  <c r="G183" i="19"/>
  <c r="F183" i="19"/>
  <c r="E183" i="19"/>
  <c r="D183" i="19"/>
  <c r="C183" i="19"/>
  <c r="S182" i="19"/>
  <c r="T182" i="19" s="1"/>
  <c r="L182" i="19"/>
  <c r="N182" i="19" s="1"/>
  <c r="K182" i="19"/>
  <c r="M182" i="19" s="1"/>
  <c r="R180" i="19"/>
  <c r="Q180" i="19"/>
  <c r="P180" i="19"/>
  <c r="O180" i="19"/>
  <c r="J180" i="19"/>
  <c r="I180" i="19"/>
  <c r="H180" i="19"/>
  <c r="G180" i="19"/>
  <c r="F180" i="19"/>
  <c r="E180" i="19"/>
  <c r="D180" i="19"/>
  <c r="C180" i="19"/>
  <c r="R179" i="19"/>
  <c r="Q179" i="19"/>
  <c r="P179" i="19"/>
  <c r="O179" i="19"/>
  <c r="J179" i="19"/>
  <c r="I179" i="19"/>
  <c r="H179" i="19"/>
  <c r="G179" i="19"/>
  <c r="F179" i="19"/>
  <c r="E179" i="19"/>
  <c r="D179" i="19"/>
  <c r="C179" i="19"/>
  <c r="R178" i="19"/>
  <c r="Q178" i="19"/>
  <c r="P178" i="19"/>
  <c r="O178" i="19"/>
  <c r="J178" i="19"/>
  <c r="I178" i="19"/>
  <c r="H178" i="19"/>
  <c r="G178" i="19"/>
  <c r="F178" i="19"/>
  <c r="E178" i="19"/>
  <c r="D178" i="19"/>
  <c r="C178" i="19"/>
  <c r="R177" i="19"/>
  <c r="Q177" i="19"/>
  <c r="P177" i="19"/>
  <c r="O177" i="19"/>
  <c r="J177" i="19"/>
  <c r="I177" i="19"/>
  <c r="H177" i="19"/>
  <c r="G177" i="19"/>
  <c r="F177" i="19"/>
  <c r="E177" i="19"/>
  <c r="D177" i="19"/>
  <c r="C177" i="19"/>
  <c r="R176" i="19"/>
  <c r="Q176" i="19"/>
  <c r="P176" i="19"/>
  <c r="O176" i="19"/>
  <c r="J176" i="19"/>
  <c r="I176" i="19"/>
  <c r="H176" i="19"/>
  <c r="G176" i="19"/>
  <c r="F176" i="19"/>
  <c r="E176" i="19"/>
  <c r="D176" i="19"/>
  <c r="C176" i="19"/>
  <c r="S175" i="19"/>
  <c r="S174" i="19" s="1"/>
  <c r="L175" i="19"/>
  <c r="N175" i="19" s="1"/>
  <c r="K175" i="19"/>
  <c r="M175" i="19" s="1"/>
  <c r="R173" i="19"/>
  <c r="Q173" i="19"/>
  <c r="P173" i="19"/>
  <c r="O173" i="19"/>
  <c r="J173" i="19"/>
  <c r="I173" i="19"/>
  <c r="H173" i="19"/>
  <c r="G173" i="19"/>
  <c r="F173" i="19"/>
  <c r="E173" i="19"/>
  <c r="D173" i="19"/>
  <c r="C173" i="19"/>
  <c r="R172" i="19"/>
  <c r="Q172" i="19"/>
  <c r="P172" i="19"/>
  <c r="O172" i="19"/>
  <c r="J172" i="19"/>
  <c r="I172" i="19"/>
  <c r="H172" i="19"/>
  <c r="G172" i="19"/>
  <c r="F172" i="19"/>
  <c r="E172" i="19"/>
  <c r="D172" i="19"/>
  <c r="C172" i="19"/>
  <c r="R171" i="19"/>
  <c r="Q171" i="19"/>
  <c r="P171" i="19"/>
  <c r="O171" i="19"/>
  <c r="J171" i="19"/>
  <c r="I171" i="19"/>
  <c r="H171" i="19"/>
  <c r="G171" i="19"/>
  <c r="F171" i="19"/>
  <c r="E171" i="19"/>
  <c r="D171" i="19"/>
  <c r="C171" i="19"/>
  <c r="R170" i="19"/>
  <c r="Q170" i="19"/>
  <c r="P170" i="19"/>
  <c r="O170" i="19"/>
  <c r="J170" i="19"/>
  <c r="I170" i="19"/>
  <c r="H170" i="19"/>
  <c r="G170" i="19"/>
  <c r="F170" i="19"/>
  <c r="E170" i="19"/>
  <c r="D170" i="19"/>
  <c r="C170" i="19"/>
  <c r="S169" i="19"/>
  <c r="T169" i="19" s="1"/>
  <c r="L169" i="19"/>
  <c r="L168" i="19" s="1"/>
  <c r="K169" i="19"/>
  <c r="M169" i="19" s="1"/>
  <c r="R167" i="19"/>
  <c r="Q167" i="19"/>
  <c r="P167" i="19"/>
  <c r="O167" i="19"/>
  <c r="J167" i="19"/>
  <c r="I167" i="19"/>
  <c r="H167" i="19"/>
  <c r="G167" i="19"/>
  <c r="F167" i="19"/>
  <c r="E167" i="19"/>
  <c r="D167" i="19"/>
  <c r="C167" i="19"/>
  <c r="R166" i="19"/>
  <c r="Q166" i="19"/>
  <c r="P166" i="19"/>
  <c r="O166" i="19"/>
  <c r="J166" i="19"/>
  <c r="I166" i="19"/>
  <c r="H166" i="19"/>
  <c r="G166" i="19"/>
  <c r="F166" i="19"/>
  <c r="E166" i="19"/>
  <c r="D166" i="19"/>
  <c r="C166" i="19"/>
  <c r="S165" i="19"/>
  <c r="T165" i="19" s="1"/>
  <c r="L165" i="19"/>
  <c r="N165" i="19" s="1"/>
  <c r="K165" i="19"/>
  <c r="R163" i="19"/>
  <c r="Q163" i="19"/>
  <c r="P163" i="19"/>
  <c r="O163" i="19"/>
  <c r="J163" i="19"/>
  <c r="I163" i="19"/>
  <c r="H163" i="19"/>
  <c r="G163" i="19"/>
  <c r="F163" i="19"/>
  <c r="E163" i="19"/>
  <c r="D163" i="19"/>
  <c r="C163" i="19"/>
  <c r="R162" i="19"/>
  <c r="Q162" i="19"/>
  <c r="P162" i="19"/>
  <c r="O162" i="19"/>
  <c r="J162" i="19"/>
  <c r="I162" i="19"/>
  <c r="H162" i="19"/>
  <c r="G162" i="19"/>
  <c r="F162" i="19"/>
  <c r="E162" i="19"/>
  <c r="D162" i="19"/>
  <c r="C162" i="19"/>
  <c r="R161" i="19"/>
  <c r="Q161" i="19"/>
  <c r="P161" i="19"/>
  <c r="O161" i="19"/>
  <c r="J161" i="19"/>
  <c r="I161" i="19"/>
  <c r="H161" i="19"/>
  <c r="G161" i="19"/>
  <c r="F161" i="19"/>
  <c r="E161" i="19"/>
  <c r="D161" i="19"/>
  <c r="C161" i="19"/>
  <c r="R160" i="19"/>
  <c r="Q160" i="19"/>
  <c r="P160" i="19"/>
  <c r="O160" i="19"/>
  <c r="J160" i="19"/>
  <c r="I160" i="19"/>
  <c r="H160" i="19"/>
  <c r="G160" i="19"/>
  <c r="F160" i="19"/>
  <c r="E160" i="19"/>
  <c r="D160" i="19"/>
  <c r="C160" i="19"/>
  <c r="S159" i="19"/>
  <c r="T159" i="19" s="1"/>
  <c r="L159" i="19"/>
  <c r="N159" i="19" s="1"/>
  <c r="K159" i="19"/>
  <c r="M159" i="19" s="1"/>
  <c r="R157" i="19"/>
  <c r="Q157" i="19"/>
  <c r="P157" i="19"/>
  <c r="O157" i="19"/>
  <c r="J157" i="19"/>
  <c r="I157" i="19"/>
  <c r="H157" i="19"/>
  <c r="G157" i="19"/>
  <c r="F157" i="19"/>
  <c r="E157" i="19"/>
  <c r="D157" i="19"/>
  <c r="C157" i="19"/>
  <c r="R156" i="19"/>
  <c r="Q156" i="19"/>
  <c r="P156" i="19"/>
  <c r="O156" i="19"/>
  <c r="J156" i="19"/>
  <c r="I156" i="19"/>
  <c r="H156" i="19"/>
  <c r="G156" i="19"/>
  <c r="F156" i="19"/>
  <c r="E156" i="19"/>
  <c r="D156" i="19"/>
  <c r="C156" i="19"/>
  <c r="R155" i="19"/>
  <c r="Q155" i="19"/>
  <c r="P155" i="19"/>
  <c r="O155" i="19"/>
  <c r="J155" i="19"/>
  <c r="I155" i="19"/>
  <c r="H155" i="19"/>
  <c r="G155" i="19"/>
  <c r="F155" i="19"/>
  <c r="E155" i="19"/>
  <c r="D155" i="19"/>
  <c r="C155" i="19"/>
  <c r="S154" i="19"/>
  <c r="T154" i="19" s="1"/>
  <c r="L154" i="19"/>
  <c r="N154" i="19" s="1"/>
  <c r="K154" i="19"/>
  <c r="M154" i="19" s="1"/>
  <c r="R152" i="19"/>
  <c r="Q152" i="19"/>
  <c r="P152" i="19"/>
  <c r="O152" i="19"/>
  <c r="J152" i="19"/>
  <c r="I152" i="19"/>
  <c r="H152" i="19"/>
  <c r="G152" i="19"/>
  <c r="F152" i="19"/>
  <c r="E152" i="19"/>
  <c r="D152" i="19"/>
  <c r="C152" i="19"/>
  <c r="R151" i="19"/>
  <c r="Q151" i="19"/>
  <c r="P151" i="19"/>
  <c r="O151" i="19"/>
  <c r="J151" i="19"/>
  <c r="I151" i="19"/>
  <c r="H151" i="19"/>
  <c r="G151" i="19"/>
  <c r="F151" i="19"/>
  <c r="E151" i="19"/>
  <c r="D151" i="19"/>
  <c r="C151" i="19"/>
  <c r="R150" i="19"/>
  <c r="Q150" i="19"/>
  <c r="P150" i="19"/>
  <c r="O150" i="19"/>
  <c r="J150" i="19"/>
  <c r="I150" i="19"/>
  <c r="H150" i="19"/>
  <c r="G150" i="19"/>
  <c r="F150" i="19"/>
  <c r="E150" i="19"/>
  <c r="D150" i="19"/>
  <c r="C150" i="19"/>
  <c r="R149" i="19"/>
  <c r="Q149" i="19"/>
  <c r="P149" i="19"/>
  <c r="O149" i="19"/>
  <c r="J149" i="19"/>
  <c r="I149" i="19"/>
  <c r="H149" i="19"/>
  <c r="G149" i="19"/>
  <c r="F149" i="19"/>
  <c r="E149" i="19"/>
  <c r="D149" i="19"/>
  <c r="C149" i="19"/>
  <c r="S148" i="19"/>
  <c r="T148" i="19" s="1"/>
  <c r="L148" i="19"/>
  <c r="N148" i="19" s="1"/>
  <c r="K148" i="19"/>
  <c r="M148" i="19" s="1"/>
  <c r="R146" i="19"/>
  <c r="Q146" i="19"/>
  <c r="P146" i="19"/>
  <c r="O146" i="19"/>
  <c r="J146" i="19"/>
  <c r="I146" i="19"/>
  <c r="H146" i="19"/>
  <c r="G146" i="19"/>
  <c r="F146" i="19"/>
  <c r="E146" i="19"/>
  <c r="D146" i="19"/>
  <c r="C146" i="19"/>
  <c r="R145" i="19"/>
  <c r="Q145" i="19"/>
  <c r="P145" i="19"/>
  <c r="O145" i="19"/>
  <c r="J145" i="19"/>
  <c r="I145" i="19"/>
  <c r="H145" i="19"/>
  <c r="G145" i="19"/>
  <c r="F145" i="19"/>
  <c r="E145" i="19"/>
  <c r="D145" i="19"/>
  <c r="C145" i="19"/>
  <c r="R144" i="19"/>
  <c r="Q144" i="19"/>
  <c r="P144" i="19"/>
  <c r="O144" i="19"/>
  <c r="J144" i="19"/>
  <c r="I144" i="19"/>
  <c r="H144" i="19"/>
  <c r="G144" i="19"/>
  <c r="F144" i="19"/>
  <c r="E144" i="19"/>
  <c r="D144" i="19"/>
  <c r="C144" i="19"/>
  <c r="R143" i="19"/>
  <c r="Q143" i="19"/>
  <c r="P143" i="19"/>
  <c r="O143" i="19"/>
  <c r="J143" i="19"/>
  <c r="I143" i="19"/>
  <c r="H143" i="19"/>
  <c r="G143" i="19"/>
  <c r="F143" i="19"/>
  <c r="E143" i="19"/>
  <c r="D143" i="19"/>
  <c r="C143" i="19"/>
  <c r="R142" i="19"/>
  <c r="Q142" i="19"/>
  <c r="P142" i="19"/>
  <c r="O142" i="19"/>
  <c r="J142" i="19"/>
  <c r="I142" i="19"/>
  <c r="H142" i="19"/>
  <c r="G142" i="19"/>
  <c r="F142" i="19"/>
  <c r="E142" i="19"/>
  <c r="D142" i="19"/>
  <c r="C142" i="19"/>
  <c r="S141" i="19"/>
  <c r="S140" i="19" s="1"/>
  <c r="L141" i="19"/>
  <c r="N141" i="19" s="1"/>
  <c r="K141" i="19"/>
  <c r="M141" i="19" s="1"/>
  <c r="R139" i="19"/>
  <c r="R137" i="19" s="1"/>
  <c r="Q139" i="19"/>
  <c r="Q137" i="19" s="1"/>
  <c r="P139" i="19"/>
  <c r="P137" i="19" s="1"/>
  <c r="O139" i="19"/>
  <c r="O137" i="19" s="1"/>
  <c r="J139" i="19"/>
  <c r="J137" i="19" s="1"/>
  <c r="I139" i="19"/>
  <c r="I137" i="19" s="1"/>
  <c r="H139" i="19"/>
  <c r="H137" i="19" s="1"/>
  <c r="G139" i="19"/>
  <c r="G137" i="19" s="1"/>
  <c r="F139" i="19"/>
  <c r="F137" i="19" s="1"/>
  <c r="E139" i="19"/>
  <c r="E137" i="19" s="1"/>
  <c r="D139" i="19"/>
  <c r="D137" i="19" s="1"/>
  <c r="C139" i="19"/>
  <c r="C137" i="19" s="1"/>
  <c r="S138" i="19"/>
  <c r="T138" i="19" s="1"/>
  <c r="L138" i="19"/>
  <c r="L137" i="19" s="1"/>
  <c r="K138" i="19"/>
  <c r="M138" i="19" s="1"/>
  <c r="R136" i="19"/>
  <c r="Q136" i="19"/>
  <c r="P136" i="19"/>
  <c r="O136" i="19"/>
  <c r="J136" i="19"/>
  <c r="I136" i="19"/>
  <c r="H136" i="19"/>
  <c r="G136" i="19"/>
  <c r="F136" i="19"/>
  <c r="E136" i="19"/>
  <c r="D136" i="19"/>
  <c r="C136" i="19"/>
  <c r="R135" i="19"/>
  <c r="Q135" i="19"/>
  <c r="P135" i="19"/>
  <c r="O135" i="19"/>
  <c r="J135" i="19"/>
  <c r="I135" i="19"/>
  <c r="H135" i="19"/>
  <c r="G135" i="19"/>
  <c r="F135" i="19"/>
  <c r="E135" i="19"/>
  <c r="D135" i="19"/>
  <c r="C135" i="19"/>
  <c r="R134" i="19"/>
  <c r="Q134" i="19"/>
  <c r="P134" i="19"/>
  <c r="O134" i="19"/>
  <c r="J134" i="19"/>
  <c r="I134" i="19"/>
  <c r="H134" i="19"/>
  <c r="G134" i="19"/>
  <c r="F134" i="19"/>
  <c r="E134" i="19"/>
  <c r="D134" i="19"/>
  <c r="C134" i="19"/>
  <c r="S133" i="19"/>
  <c r="S132" i="19" s="1"/>
  <c r="L133" i="19"/>
  <c r="N133" i="19" s="1"/>
  <c r="K133" i="19"/>
  <c r="K132" i="19" s="1"/>
  <c r="R131" i="19"/>
  <c r="Q131" i="19"/>
  <c r="P131" i="19"/>
  <c r="O131" i="19"/>
  <c r="J131" i="19"/>
  <c r="I131" i="19"/>
  <c r="H131" i="19"/>
  <c r="G131" i="19"/>
  <c r="F131" i="19"/>
  <c r="E131" i="19"/>
  <c r="D131" i="19"/>
  <c r="C131" i="19"/>
  <c r="R130" i="19"/>
  <c r="Q130" i="19"/>
  <c r="P130" i="19"/>
  <c r="O130" i="19"/>
  <c r="J130" i="19"/>
  <c r="I130" i="19"/>
  <c r="H130" i="19"/>
  <c r="G130" i="19"/>
  <c r="F130" i="19"/>
  <c r="E130" i="19"/>
  <c r="D130" i="19"/>
  <c r="C130" i="19"/>
  <c r="R129" i="19"/>
  <c r="Q129" i="19"/>
  <c r="P129" i="19"/>
  <c r="O129" i="19"/>
  <c r="J129" i="19"/>
  <c r="I129" i="19"/>
  <c r="H129" i="19"/>
  <c r="G129" i="19"/>
  <c r="F129" i="19"/>
  <c r="E129" i="19"/>
  <c r="D129" i="19"/>
  <c r="C129" i="19"/>
  <c r="R128" i="19"/>
  <c r="Q128" i="19"/>
  <c r="P128" i="19"/>
  <c r="O128" i="19"/>
  <c r="J128" i="19"/>
  <c r="I128" i="19"/>
  <c r="H128" i="19"/>
  <c r="G128" i="19"/>
  <c r="F128" i="19"/>
  <c r="E128" i="19"/>
  <c r="D128" i="19"/>
  <c r="C128" i="19"/>
  <c r="R127" i="19"/>
  <c r="Q127" i="19"/>
  <c r="P127" i="19"/>
  <c r="O127" i="19"/>
  <c r="J127" i="19"/>
  <c r="I127" i="19"/>
  <c r="H127" i="19"/>
  <c r="G127" i="19"/>
  <c r="F127" i="19"/>
  <c r="E127" i="19"/>
  <c r="D127" i="19"/>
  <c r="C127" i="19"/>
  <c r="S126" i="19"/>
  <c r="T126" i="19" s="1"/>
  <c r="L126" i="19"/>
  <c r="N126" i="19" s="1"/>
  <c r="K126" i="19"/>
  <c r="M126" i="19" s="1"/>
  <c r="R124" i="19"/>
  <c r="Q124" i="19"/>
  <c r="P124" i="19"/>
  <c r="O124" i="19"/>
  <c r="J124" i="19"/>
  <c r="I124" i="19"/>
  <c r="H124" i="19"/>
  <c r="G124" i="19"/>
  <c r="F124" i="19"/>
  <c r="E124" i="19"/>
  <c r="D124" i="19"/>
  <c r="C124" i="19"/>
  <c r="R123" i="19"/>
  <c r="Q123" i="19"/>
  <c r="P123" i="19"/>
  <c r="O123" i="19"/>
  <c r="J123" i="19"/>
  <c r="I123" i="19"/>
  <c r="H123" i="19"/>
  <c r="G123" i="19"/>
  <c r="F123" i="19"/>
  <c r="E123" i="19"/>
  <c r="D123" i="19"/>
  <c r="C123" i="19"/>
  <c r="S122" i="19"/>
  <c r="T122" i="19" s="1"/>
  <c r="L122" i="19"/>
  <c r="N122" i="19" s="1"/>
  <c r="K122" i="19"/>
  <c r="K121" i="19" s="1"/>
  <c r="R120" i="19"/>
  <c r="Q120" i="19"/>
  <c r="P120" i="19"/>
  <c r="O120" i="19"/>
  <c r="J120" i="19"/>
  <c r="I120" i="19"/>
  <c r="H120" i="19"/>
  <c r="G120" i="19"/>
  <c r="F120" i="19"/>
  <c r="E120" i="19"/>
  <c r="D120" i="19"/>
  <c r="C120" i="19"/>
  <c r="R119" i="19"/>
  <c r="Q119" i="19"/>
  <c r="P119" i="19"/>
  <c r="O119" i="19"/>
  <c r="J119" i="19"/>
  <c r="I119" i="19"/>
  <c r="H119" i="19"/>
  <c r="G119" i="19"/>
  <c r="F119" i="19"/>
  <c r="E119" i="19"/>
  <c r="D119" i="19"/>
  <c r="C119" i="19"/>
  <c r="R118" i="19"/>
  <c r="Q118" i="19"/>
  <c r="P118" i="19"/>
  <c r="O118" i="19"/>
  <c r="J118" i="19"/>
  <c r="I118" i="19"/>
  <c r="H118" i="19"/>
  <c r="G118" i="19"/>
  <c r="F118" i="19"/>
  <c r="E118" i="19"/>
  <c r="D118" i="19"/>
  <c r="C118" i="19"/>
  <c r="R117" i="19"/>
  <c r="Q117" i="19"/>
  <c r="P117" i="19"/>
  <c r="O117" i="19"/>
  <c r="J117" i="19"/>
  <c r="I117" i="19"/>
  <c r="H117" i="19"/>
  <c r="G117" i="19"/>
  <c r="F117" i="19"/>
  <c r="E117" i="19"/>
  <c r="D117" i="19"/>
  <c r="C117" i="19"/>
  <c r="S116" i="19"/>
  <c r="T116" i="19" s="1"/>
  <c r="L116" i="19"/>
  <c r="N116" i="19" s="1"/>
  <c r="K116" i="19"/>
  <c r="M116" i="19" s="1"/>
  <c r="R114" i="19"/>
  <c r="Q114" i="19"/>
  <c r="P114" i="19"/>
  <c r="O114" i="19"/>
  <c r="J114" i="19"/>
  <c r="I114" i="19"/>
  <c r="H114" i="19"/>
  <c r="G114" i="19"/>
  <c r="F114" i="19"/>
  <c r="E114" i="19"/>
  <c r="D114" i="19"/>
  <c r="C114" i="19"/>
  <c r="R113" i="19"/>
  <c r="Q113" i="19"/>
  <c r="P113" i="19"/>
  <c r="O113" i="19"/>
  <c r="J113" i="19"/>
  <c r="I113" i="19"/>
  <c r="H113" i="19"/>
  <c r="G113" i="19"/>
  <c r="F113" i="19"/>
  <c r="E113" i="19"/>
  <c r="D113" i="19"/>
  <c r="C113" i="19"/>
  <c r="R112" i="19"/>
  <c r="Q112" i="19"/>
  <c r="P112" i="19"/>
  <c r="O112" i="19"/>
  <c r="J112" i="19"/>
  <c r="I112" i="19"/>
  <c r="H112" i="19"/>
  <c r="G112" i="19"/>
  <c r="F112" i="19"/>
  <c r="E112" i="19"/>
  <c r="D112" i="19"/>
  <c r="C112" i="19"/>
  <c r="R111" i="19"/>
  <c r="Q111" i="19"/>
  <c r="P111" i="19"/>
  <c r="O111" i="19"/>
  <c r="J111" i="19"/>
  <c r="I111" i="19"/>
  <c r="H111" i="19"/>
  <c r="G111" i="19"/>
  <c r="F111" i="19"/>
  <c r="E111" i="19"/>
  <c r="D111" i="19"/>
  <c r="C111" i="19"/>
  <c r="R110" i="19"/>
  <c r="Q110" i="19"/>
  <c r="P110" i="19"/>
  <c r="O110" i="19"/>
  <c r="J110" i="19"/>
  <c r="I110" i="19"/>
  <c r="H110" i="19"/>
  <c r="G110" i="19"/>
  <c r="F110" i="19"/>
  <c r="E110" i="19"/>
  <c r="D110" i="19"/>
  <c r="C110" i="19"/>
  <c r="R109" i="19"/>
  <c r="Q109" i="19"/>
  <c r="P109" i="19"/>
  <c r="O109" i="19"/>
  <c r="J109" i="19"/>
  <c r="I109" i="19"/>
  <c r="H109" i="19"/>
  <c r="G109" i="19"/>
  <c r="F109" i="19"/>
  <c r="E109" i="19"/>
  <c r="D109" i="19"/>
  <c r="C109" i="19"/>
  <c r="S108" i="19"/>
  <c r="S107" i="19" s="1"/>
  <c r="L108" i="19"/>
  <c r="L107" i="19" s="1"/>
  <c r="K108" i="19"/>
  <c r="M108" i="19" s="1"/>
  <c r="R106" i="19"/>
  <c r="Q106" i="19"/>
  <c r="P106" i="19"/>
  <c r="O106" i="19"/>
  <c r="J106" i="19"/>
  <c r="I106" i="19"/>
  <c r="H106" i="19"/>
  <c r="G106" i="19"/>
  <c r="F106" i="19"/>
  <c r="E106" i="19"/>
  <c r="D106" i="19"/>
  <c r="C106" i="19"/>
  <c r="R105" i="19"/>
  <c r="Q105" i="19"/>
  <c r="P105" i="19"/>
  <c r="O105" i="19"/>
  <c r="J105" i="19"/>
  <c r="I105" i="19"/>
  <c r="H105" i="19"/>
  <c r="G105" i="19"/>
  <c r="F105" i="19"/>
  <c r="E105" i="19"/>
  <c r="D105" i="19"/>
  <c r="C105" i="19"/>
  <c r="R104" i="19"/>
  <c r="Q104" i="19"/>
  <c r="P104" i="19"/>
  <c r="O104" i="19"/>
  <c r="J104" i="19"/>
  <c r="I104" i="19"/>
  <c r="H104" i="19"/>
  <c r="G104" i="19"/>
  <c r="F104" i="19"/>
  <c r="E104" i="19"/>
  <c r="D104" i="19"/>
  <c r="C104" i="19"/>
  <c r="R103" i="19"/>
  <c r="Q103" i="19"/>
  <c r="P103" i="19"/>
  <c r="O103" i="19"/>
  <c r="J103" i="19"/>
  <c r="I103" i="19"/>
  <c r="H103" i="19"/>
  <c r="G103" i="19"/>
  <c r="F103" i="19"/>
  <c r="E103" i="19"/>
  <c r="D103" i="19"/>
  <c r="C103" i="19"/>
  <c r="R102" i="19"/>
  <c r="Q102" i="19"/>
  <c r="P102" i="19"/>
  <c r="O102" i="19"/>
  <c r="J102" i="19"/>
  <c r="I102" i="19"/>
  <c r="H102" i="19"/>
  <c r="G102" i="19"/>
  <c r="F102" i="19"/>
  <c r="E102" i="19"/>
  <c r="D102" i="19"/>
  <c r="C102" i="19"/>
  <c r="R101" i="19"/>
  <c r="Q101" i="19"/>
  <c r="P101" i="19"/>
  <c r="O101" i="19"/>
  <c r="J101" i="19"/>
  <c r="I101" i="19"/>
  <c r="H101" i="19"/>
  <c r="G101" i="19"/>
  <c r="F101" i="19"/>
  <c r="E101" i="19"/>
  <c r="D101" i="19"/>
  <c r="C101" i="19"/>
  <c r="S100" i="19"/>
  <c r="T100" i="19" s="1"/>
  <c r="L100" i="19"/>
  <c r="N100" i="19" s="1"/>
  <c r="K100" i="19"/>
  <c r="M100" i="19" s="1"/>
  <c r="R98" i="19"/>
  <c r="Q98" i="19"/>
  <c r="P98" i="19"/>
  <c r="O98" i="19"/>
  <c r="J98" i="19"/>
  <c r="I98" i="19"/>
  <c r="H98" i="19"/>
  <c r="G98" i="19"/>
  <c r="F98" i="19"/>
  <c r="E98" i="19"/>
  <c r="D98" i="19"/>
  <c r="C98" i="19"/>
  <c r="R97" i="19"/>
  <c r="Q97" i="19"/>
  <c r="P97" i="19"/>
  <c r="O97" i="19"/>
  <c r="J97" i="19"/>
  <c r="I97" i="19"/>
  <c r="H97" i="19"/>
  <c r="G97" i="19"/>
  <c r="F97" i="19"/>
  <c r="E97" i="19"/>
  <c r="D97" i="19"/>
  <c r="C97" i="19"/>
  <c r="S96" i="19"/>
  <c r="T96" i="19" s="1"/>
  <c r="L96" i="19"/>
  <c r="L95" i="19" s="1"/>
  <c r="K96" i="19"/>
  <c r="M96" i="19" s="1"/>
  <c r="R94" i="19"/>
  <c r="Q94" i="19"/>
  <c r="P94" i="19"/>
  <c r="O94" i="19"/>
  <c r="J94" i="19"/>
  <c r="I94" i="19"/>
  <c r="H94" i="19"/>
  <c r="G94" i="19"/>
  <c r="F94" i="19"/>
  <c r="E94" i="19"/>
  <c r="D94" i="19"/>
  <c r="C94" i="19"/>
  <c r="R93" i="19"/>
  <c r="Q93" i="19"/>
  <c r="P93" i="19"/>
  <c r="O93" i="19"/>
  <c r="J93" i="19"/>
  <c r="I93" i="19"/>
  <c r="H93" i="19"/>
  <c r="G93" i="19"/>
  <c r="F93" i="19"/>
  <c r="E93" i="19"/>
  <c r="D93" i="19"/>
  <c r="C93" i="19"/>
  <c r="R92" i="19"/>
  <c r="Q92" i="19"/>
  <c r="P92" i="19"/>
  <c r="O92" i="19"/>
  <c r="J92" i="19"/>
  <c r="I92" i="19"/>
  <c r="H92" i="19"/>
  <c r="G92" i="19"/>
  <c r="F92" i="19"/>
  <c r="E92" i="19"/>
  <c r="D92" i="19"/>
  <c r="C92" i="19"/>
  <c r="R91" i="19"/>
  <c r="Q91" i="19"/>
  <c r="P91" i="19"/>
  <c r="O91" i="19"/>
  <c r="J91" i="19"/>
  <c r="I91" i="19"/>
  <c r="H91" i="19"/>
  <c r="G91" i="19"/>
  <c r="F91" i="19"/>
  <c r="E91" i="19"/>
  <c r="D91" i="19"/>
  <c r="C91" i="19"/>
  <c r="R90" i="19"/>
  <c r="Q90" i="19"/>
  <c r="P90" i="19"/>
  <c r="O90" i="19"/>
  <c r="J90" i="19"/>
  <c r="I90" i="19"/>
  <c r="H90" i="19"/>
  <c r="G90" i="19"/>
  <c r="F90" i="19"/>
  <c r="E90" i="19"/>
  <c r="D90" i="19"/>
  <c r="C90" i="19"/>
  <c r="S89" i="19"/>
  <c r="T89" i="19" s="1"/>
  <c r="L89" i="19"/>
  <c r="K89" i="19"/>
  <c r="M89" i="19" s="1"/>
  <c r="R87" i="19"/>
  <c r="Q87" i="19"/>
  <c r="P87" i="19"/>
  <c r="O87" i="19"/>
  <c r="J87" i="19"/>
  <c r="I87" i="19"/>
  <c r="H87" i="19"/>
  <c r="G87" i="19"/>
  <c r="F87" i="19"/>
  <c r="E87" i="19"/>
  <c r="D87" i="19"/>
  <c r="C87" i="19"/>
  <c r="R86" i="19"/>
  <c r="Q86" i="19"/>
  <c r="P86" i="19"/>
  <c r="O86" i="19"/>
  <c r="J86" i="19"/>
  <c r="I86" i="19"/>
  <c r="H86" i="19"/>
  <c r="G86" i="19"/>
  <c r="F86" i="19"/>
  <c r="E86" i="19"/>
  <c r="D86" i="19"/>
  <c r="C86" i="19"/>
  <c r="R85" i="19"/>
  <c r="Q85" i="19"/>
  <c r="P85" i="19"/>
  <c r="O85" i="19"/>
  <c r="J85" i="19"/>
  <c r="I85" i="19"/>
  <c r="H85" i="19"/>
  <c r="G85" i="19"/>
  <c r="F85" i="19"/>
  <c r="E85" i="19"/>
  <c r="D85" i="19"/>
  <c r="C85" i="19"/>
  <c r="R84" i="19"/>
  <c r="Q84" i="19"/>
  <c r="P84" i="19"/>
  <c r="O84" i="19"/>
  <c r="J84" i="19"/>
  <c r="I84" i="19"/>
  <c r="H84" i="19"/>
  <c r="G84" i="19"/>
  <c r="F84" i="19"/>
  <c r="E84" i="19"/>
  <c r="D84" i="19"/>
  <c r="C84" i="19"/>
  <c r="R83" i="19"/>
  <c r="Q83" i="19"/>
  <c r="P83" i="19"/>
  <c r="O83" i="19"/>
  <c r="J83" i="19"/>
  <c r="I83" i="19"/>
  <c r="H83" i="19"/>
  <c r="G83" i="19"/>
  <c r="F83" i="19"/>
  <c r="E83" i="19"/>
  <c r="D83" i="19"/>
  <c r="C83" i="19"/>
  <c r="S82" i="19"/>
  <c r="T82" i="19" s="1"/>
  <c r="L82" i="19"/>
  <c r="N82" i="19" s="1"/>
  <c r="K82" i="19"/>
  <c r="M82" i="19" s="1"/>
  <c r="R80" i="19"/>
  <c r="Q80" i="19"/>
  <c r="P80" i="19"/>
  <c r="O80" i="19"/>
  <c r="J80" i="19"/>
  <c r="I80" i="19"/>
  <c r="H80" i="19"/>
  <c r="G80" i="19"/>
  <c r="F80" i="19"/>
  <c r="E80" i="19"/>
  <c r="D80" i="19"/>
  <c r="C80" i="19"/>
  <c r="R79" i="19"/>
  <c r="Q79" i="19"/>
  <c r="P79" i="19"/>
  <c r="O79" i="19"/>
  <c r="J79" i="19"/>
  <c r="I79" i="19"/>
  <c r="H79" i="19"/>
  <c r="G79" i="19"/>
  <c r="F79" i="19"/>
  <c r="E79" i="19"/>
  <c r="D79" i="19"/>
  <c r="C79" i="19"/>
  <c r="R78" i="19"/>
  <c r="Q78" i="19"/>
  <c r="P78" i="19"/>
  <c r="O78" i="19"/>
  <c r="J78" i="19"/>
  <c r="I78" i="19"/>
  <c r="H78" i="19"/>
  <c r="G78" i="19"/>
  <c r="F78" i="19"/>
  <c r="E78" i="19"/>
  <c r="D78" i="19"/>
  <c r="C78" i="19"/>
  <c r="S77" i="19"/>
  <c r="T77" i="19" s="1"/>
  <c r="L77" i="19"/>
  <c r="N77" i="19" s="1"/>
  <c r="K77" i="19"/>
  <c r="M77" i="19" s="1"/>
  <c r="R75" i="19"/>
  <c r="Q75" i="19"/>
  <c r="P75" i="19"/>
  <c r="O75" i="19"/>
  <c r="J75" i="19"/>
  <c r="I75" i="19"/>
  <c r="H75" i="19"/>
  <c r="G75" i="19"/>
  <c r="F75" i="19"/>
  <c r="E75" i="19"/>
  <c r="D75" i="19"/>
  <c r="C75" i="19"/>
  <c r="R74" i="19"/>
  <c r="Q74" i="19"/>
  <c r="P74" i="19"/>
  <c r="O74" i="19"/>
  <c r="J74" i="19"/>
  <c r="I74" i="19"/>
  <c r="H74" i="19"/>
  <c r="G74" i="19"/>
  <c r="F74" i="19"/>
  <c r="E74" i="19"/>
  <c r="D74" i="19"/>
  <c r="C74" i="19"/>
  <c r="R73" i="19"/>
  <c r="Q73" i="19"/>
  <c r="P73" i="19"/>
  <c r="O73" i="19"/>
  <c r="J73" i="19"/>
  <c r="I73" i="19"/>
  <c r="H73" i="19"/>
  <c r="G73" i="19"/>
  <c r="F73" i="19"/>
  <c r="E73" i="19"/>
  <c r="D73" i="19"/>
  <c r="C73" i="19"/>
  <c r="R72" i="19"/>
  <c r="Q72" i="19"/>
  <c r="P72" i="19"/>
  <c r="O72" i="19"/>
  <c r="J72" i="19"/>
  <c r="I72" i="19"/>
  <c r="H72" i="19"/>
  <c r="G72" i="19"/>
  <c r="F72" i="19"/>
  <c r="E72" i="19"/>
  <c r="D72" i="19"/>
  <c r="C72" i="19"/>
  <c r="S71" i="19"/>
  <c r="T71" i="19" s="1"/>
  <c r="L71" i="19"/>
  <c r="N71" i="19" s="1"/>
  <c r="K71" i="19"/>
  <c r="M71" i="19" s="1"/>
  <c r="R69" i="19"/>
  <c r="Q69" i="19"/>
  <c r="P69" i="19"/>
  <c r="O69" i="19"/>
  <c r="J69" i="19"/>
  <c r="I69" i="19"/>
  <c r="H69" i="19"/>
  <c r="G69" i="19"/>
  <c r="F69" i="19"/>
  <c r="E69" i="19"/>
  <c r="D69" i="19"/>
  <c r="C69" i="19"/>
  <c r="R68" i="19"/>
  <c r="Q68" i="19"/>
  <c r="P68" i="19"/>
  <c r="O68" i="19"/>
  <c r="J68" i="19"/>
  <c r="I68" i="19"/>
  <c r="H68" i="19"/>
  <c r="G68" i="19"/>
  <c r="F68" i="19"/>
  <c r="E68" i="19"/>
  <c r="D68" i="19"/>
  <c r="C68" i="19"/>
  <c r="R67" i="19"/>
  <c r="Q67" i="19"/>
  <c r="P67" i="19"/>
  <c r="O67" i="19"/>
  <c r="J67" i="19"/>
  <c r="I67" i="19"/>
  <c r="H67" i="19"/>
  <c r="G67" i="19"/>
  <c r="F67" i="19"/>
  <c r="E67" i="19"/>
  <c r="D67" i="19"/>
  <c r="C67" i="19"/>
  <c r="R66" i="19"/>
  <c r="Q66" i="19"/>
  <c r="P66" i="19"/>
  <c r="O66" i="19"/>
  <c r="J66" i="19"/>
  <c r="I66" i="19"/>
  <c r="H66" i="19"/>
  <c r="G66" i="19"/>
  <c r="F66" i="19"/>
  <c r="E66" i="19"/>
  <c r="D66" i="19"/>
  <c r="C66" i="19"/>
  <c r="S65" i="19"/>
  <c r="T65" i="19" s="1"/>
  <c r="L65" i="19"/>
  <c r="N65" i="19" s="1"/>
  <c r="K65" i="19"/>
  <c r="M65" i="19" s="1"/>
  <c r="R63" i="19"/>
  <c r="Q63" i="19"/>
  <c r="P63" i="19"/>
  <c r="O63" i="19"/>
  <c r="J63" i="19"/>
  <c r="I63" i="19"/>
  <c r="H63" i="19"/>
  <c r="G63" i="19"/>
  <c r="F63" i="19"/>
  <c r="E63" i="19"/>
  <c r="D63" i="19"/>
  <c r="C63" i="19"/>
  <c r="R62" i="19"/>
  <c r="Q62" i="19"/>
  <c r="P62" i="19"/>
  <c r="O62" i="19"/>
  <c r="J62" i="19"/>
  <c r="I62" i="19"/>
  <c r="H62" i="19"/>
  <c r="G62" i="19"/>
  <c r="F62" i="19"/>
  <c r="E62" i="19"/>
  <c r="D62" i="19"/>
  <c r="C62" i="19"/>
  <c r="R61" i="19"/>
  <c r="Q61" i="19"/>
  <c r="P61" i="19"/>
  <c r="O61" i="19"/>
  <c r="J61" i="19"/>
  <c r="I61" i="19"/>
  <c r="H61" i="19"/>
  <c r="G61" i="19"/>
  <c r="F61" i="19"/>
  <c r="E61" i="19"/>
  <c r="D61" i="19"/>
  <c r="C61" i="19"/>
  <c r="R60" i="19"/>
  <c r="Q60" i="19"/>
  <c r="P60" i="19"/>
  <c r="O60" i="19"/>
  <c r="J60" i="19"/>
  <c r="I60" i="19"/>
  <c r="H60" i="19"/>
  <c r="G60" i="19"/>
  <c r="F60" i="19"/>
  <c r="E60" i="19"/>
  <c r="D60" i="19"/>
  <c r="C60" i="19"/>
  <c r="R59" i="19"/>
  <c r="Q59" i="19"/>
  <c r="P59" i="19"/>
  <c r="O59" i="19"/>
  <c r="J59" i="19"/>
  <c r="I59" i="19"/>
  <c r="H59" i="19"/>
  <c r="G59" i="19"/>
  <c r="F59" i="19"/>
  <c r="E59" i="19"/>
  <c r="D59" i="19"/>
  <c r="C59" i="19"/>
  <c r="R58" i="19"/>
  <c r="Q58" i="19"/>
  <c r="P58" i="19"/>
  <c r="O58" i="19"/>
  <c r="J58" i="19"/>
  <c r="I58" i="19"/>
  <c r="H58" i="19"/>
  <c r="G58" i="19"/>
  <c r="F58" i="19"/>
  <c r="E58" i="19"/>
  <c r="D58" i="19"/>
  <c r="C58" i="19"/>
  <c r="S57" i="19"/>
  <c r="T57" i="19" s="1"/>
  <c r="L57" i="19"/>
  <c r="N57" i="19" s="1"/>
  <c r="K57" i="19"/>
  <c r="M57" i="19" s="1"/>
  <c r="R55" i="19"/>
  <c r="Q55" i="19"/>
  <c r="P55" i="19"/>
  <c r="O55" i="19"/>
  <c r="J55" i="19"/>
  <c r="I55" i="19"/>
  <c r="H55" i="19"/>
  <c r="G55" i="19"/>
  <c r="F55" i="19"/>
  <c r="E55" i="19"/>
  <c r="D55" i="19"/>
  <c r="C55" i="19"/>
  <c r="R54" i="19"/>
  <c r="Q54" i="19"/>
  <c r="P54" i="19"/>
  <c r="O54" i="19"/>
  <c r="J54" i="19"/>
  <c r="I54" i="19"/>
  <c r="H54" i="19"/>
  <c r="G54" i="19"/>
  <c r="F54" i="19"/>
  <c r="E54" i="19"/>
  <c r="D54" i="19"/>
  <c r="C54" i="19"/>
  <c r="R53" i="19"/>
  <c r="Q53" i="19"/>
  <c r="P53" i="19"/>
  <c r="O53" i="19"/>
  <c r="J53" i="19"/>
  <c r="I53" i="19"/>
  <c r="H53" i="19"/>
  <c r="G53" i="19"/>
  <c r="F53" i="19"/>
  <c r="E53" i="19"/>
  <c r="D53" i="19"/>
  <c r="C53" i="19"/>
  <c r="S52" i="19"/>
  <c r="T52" i="19" s="1"/>
  <c r="L52" i="19"/>
  <c r="N52" i="19" s="1"/>
  <c r="K52" i="19"/>
  <c r="M52" i="19" s="1"/>
  <c r="R50" i="19"/>
  <c r="R48" i="19" s="1"/>
  <c r="Q50" i="19"/>
  <c r="Q48" i="19" s="1"/>
  <c r="P50" i="19"/>
  <c r="P48" i="19" s="1"/>
  <c r="O50" i="19"/>
  <c r="O48" i="19" s="1"/>
  <c r="J50" i="19"/>
  <c r="J48" i="19" s="1"/>
  <c r="I50" i="19"/>
  <c r="I48" i="19" s="1"/>
  <c r="H50" i="19"/>
  <c r="H48" i="19" s="1"/>
  <c r="G50" i="19"/>
  <c r="G48" i="19" s="1"/>
  <c r="F50" i="19"/>
  <c r="F48" i="19" s="1"/>
  <c r="E50" i="19"/>
  <c r="E48" i="19" s="1"/>
  <c r="D50" i="19"/>
  <c r="C50" i="19"/>
  <c r="S49" i="19"/>
  <c r="T49" i="19" s="1"/>
  <c r="L49" i="19"/>
  <c r="N49" i="19" s="1"/>
  <c r="K49" i="19"/>
  <c r="M49" i="19" s="1"/>
  <c r="R47" i="19"/>
  <c r="Q47" i="19"/>
  <c r="P47" i="19"/>
  <c r="O47" i="19"/>
  <c r="J47" i="19"/>
  <c r="I47" i="19"/>
  <c r="H47" i="19"/>
  <c r="G47" i="19"/>
  <c r="F47" i="19"/>
  <c r="E47" i="19"/>
  <c r="D47" i="19"/>
  <c r="C47" i="19"/>
  <c r="R46" i="19"/>
  <c r="Q46" i="19"/>
  <c r="P46" i="19"/>
  <c r="O46" i="19"/>
  <c r="J46" i="19"/>
  <c r="I46" i="19"/>
  <c r="H46" i="19"/>
  <c r="G46" i="19"/>
  <c r="F46" i="19"/>
  <c r="E46" i="19"/>
  <c r="D46" i="19"/>
  <c r="C46" i="19"/>
  <c r="R45" i="19"/>
  <c r="Q45" i="19"/>
  <c r="P45" i="19"/>
  <c r="O45" i="19"/>
  <c r="J45" i="19"/>
  <c r="I45" i="19"/>
  <c r="H45" i="19"/>
  <c r="G45" i="19"/>
  <c r="F45" i="19"/>
  <c r="E45" i="19"/>
  <c r="D45" i="19"/>
  <c r="C45" i="19"/>
  <c r="R44" i="19"/>
  <c r="Q44" i="19"/>
  <c r="P44" i="19"/>
  <c r="O44" i="19"/>
  <c r="J44" i="19"/>
  <c r="I44" i="19"/>
  <c r="H44" i="19"/>
  <c r="G44" i="19"/>
  <c r="F44" i="19"/>
  <c r="E44" i="19"/>
  <c r="D44" i="19"/>
  <c r="C44" i="19"/>
  <c r="S43" i="19"/>
  <c r="L43" i="19"/>
  <c r="N43" i="19" s="1"/>
  <c r="K43" i="19"/>
  <c r="K42" i="19" s="1"/>
  <c r="R41" i="19"/>
  <c r="Q41" i="19"/>
  <c r="P41" i="19"/>
  <c r="O41" i="19"/>
  <c r="J41" i="19"/>
  <c r="I41" i="19"/>
  <c r="H41" i="19"/>
  <c r="G41" i="19"/>
  <c r="F41" i="19"/>
  <c r="E41" i="19"/>
  <c r="D41" i="19"/>
  <c r="C41" i="19"/>
  <c r="R40" i="19"/>
  <c r="Q40" i="19"/>
  <c r="P40" i="19"/>
  <c r="O40" i="19"/>
  <c r="J40" i="19"/>
  <c r="I40" i="19"/>
  <c r="H40" i="19"/>
  <c r="G40" i="19"/>
  <c r="F40" i="19"/>
  <c r="E40" i="19"/>
  <c r="D40" i="19"/>
  <c r="C40" i="19"/>
  <c r="R39" i="19"/>
  <c r="Q39" i="19"/>
  <c r="P39" i="19"/>
  <c r="O39" i="19"/>
  <c r="J39" i="19"/>
  <c r="I39" i="19"/>
  <c r="H39" i="19"/>
  <c r="G39" i="19"/>
  <c r="F39" i="19"/>
  <c r="E39" i="19"/>
  <c r="D39" i="19"/>
  <c r="C39" i="19"/>
  <c r="R38" i="19"/>
  <c r="Q38" i="19"/>
  <c r="P38" i="19"/>
  <c r="O38" i="19"/>
  <c r="J38" i="19"/>
  <c r="I38" i="19"/>
  <c r="H38" i="19"/>
  <c r="G38" i="19"/>
  <c r="F38" i="19"/>
  <c r="E38" i="19"/>
  <c r="D38" i="19"/>
  <c r="C38" i="19"/>
  <c r="R37" i="19"/>
  <c r="Q37" i="19"/>
  <c r="P37" i="19"/>
  <c r="O37" i="19"/>
  <c r="J37" i="19"/>
  <c r="I37" i="19"/>
  <c r="H37" i="19"/>
  <c r="G37" i="19"/>
  <c r="F37" i="19"/>
  <c r="E37" i="19"/>
  <c r="D37" i="19"/>
  <c r="C37" i="19"/>
  <c r="R36" i="19"/>
  <c r="Q36" i="19"/>
  <c r="P36" i="19"/>
  <c r="O36" i="19"/>
  <c r="J36" i="19"/>
  <c r="I36" i="19"/>
  <c r="H36" i="19"/>
  <c r="G36" i="19"/>
  <c r="F36" i="19"/>
  <c r="E36" i="19"/>
  <c r="D36" i="19"/>
  <c r="C36" i="19"/>
  <c r="R35" i="19"/>
  <c r="Q35" i="19"/>
  <c r="P35" i="19"/>
  <c r="O35" i="19"/>
  <c r="J35" i="19"/>
  <c r="I35" i="19"/>
  <c r="H35" i="19"/>
  <c r="G35" i="19"/>
  <c r="F35" i="19"/>
  <c r="E35" i="19"/>
  <c r="D35" i="19"/>
  <c r="C35" i="19"/>
  <c r="S34" i="19"/>
  <c r="T34" i="19" s="1"/>
  <c r="L34" i="19"/>
  <c r="N34" i="19" s="1"/>
  <c r="K34" i="19"/>
  <c r="R32" i="19"/>
  <c r="Q32" i="19"/>
  <c r="P32" i="19"/>
  <c r="O32" i="19"/>
  <c r="J32" i="19"/>
  <c r="I32" i="19"/>
  <c r="H32" i="19"/>
  <c r="G32" i="19"/>
  <c r="F32" i="19"/>
  <c r="E32" i="19"/>
  <c r="D32" i="19"/>
  <c r="C32" i="19"/>
  <c r="R31" i="19"/>
  <c r="Q31" i="19"/>
  <c r="P31" i="19"/>
  <c r="O31" i="19"/>
  <c r="J31" i="19"/>
  <c r="I31" i="19"/>
  <c r="H31" i="19"/>
  <c r="G31" i="19"/>
  <c r="F31" i="19"/>
  <c r="E31" i="19"/>
  <c r="D31" i="19"/>
  <c r="C31" i="19"/>
  <c r="R30" i="19"/>
  <c r="Q30" i="19"/>
  <c r="P30" i="19"/>
  <c r="O30" i="19"/>
  <c r="J30" i="19"/>
  <c r="I30" i="19"/>
  <c r="H30" i="19"/>
  <c r="G30" i="19"/>
  <c r="F30" i="19"/>
  <c r="E30" i="19"/>
  <c r="D30" i="19"/>
  <c r="C30" i="19"/>
  <c r="R29" i="19"/>
  <c r="Q29" i="19"/>
  <c r="P29" i="19"/>
  <c r="O29" i="19"/>
  <c r="J29" i="19"/>
  <c r="I29" i="19"/>
  <c r="H29" i="19"/>
  <c r="G29" i="19"/>
  <c r="F29" i="19"/>
  <c r="E29" i="19"/>
  <c r="D29" i="19"/>
  <c r="C29" i="19"/>
  <c r="S28" i="19"/>
  <c r="T28" i="19" s="1"/>
  <c r="L28" i="19"/>
  <c r="N28" i="19" s="1"/>
  <c r="K28" i="19"/>
  <c r="R26" i="19"/>
  <c r="Q26" i="19"/>
  <c r="P26" i="19"/>
  <c r="O26" i="19"/>
  <c r="J26" i="19"/>
  <c r="I26" i="19"/>
  <c r="H26" i="19"/>
  <c r="G26" i="19"/>
  <c r="F26" i="19"/>
  <c r="E26" i="19"/>
  <c r="D26" i="19"/>
  <c r="C26" i="19"/>
  <c r="R25" i="19"/>
  <c r="Q25" i="19"/>
  <c r="P25" i="19"/>
  <c r="O25" i="19"/>
  <c r="J25" i="19"/>
  <c r="I25" i="19"/>
  <c r="H25" i="19"/>
  <c r="G25" i="19"/>
  <c r="F25" i="19"/>
  <c r="E25" i="19"/>
  <c r="D25" i="19"/>
  <c r="C25" i="19"/>
  <c r="R24" i="19"/>
  <c r="Q24" i="19"/>
  <c r="P24" i="19"/>
  <c r="O24" i="19"/>
  <c r="J24" i="19"/>
  <c r="I24" i="19"/>
  <c r="H24" i="19"/>
  <c r="G24" i="19"/>
  <c r="F24" i="19"/>
  <c r="E24" i="19"/>
  <c r="D24" i="19"/>
  <c r="C24" i="19"/>
  <c r="R23" i="19"/>
  <c r="Q23" i="19"/>
  <c r="P23" i="19"/>
  <c r="O23" i="19"/>
  <c r="J23" i="19"/>
  <c r="I23" i="19"/>
  <c r="H23" i="19"/>
  <c r="G23" i="19"/>
  <c r="F23" i="19"/>
  <c r="E23" i="19"/>
  <c r="D23" i="19"/>
  <c r="C23" i="19"/>
  <c r="S22" i="19"/>
  <c r="T22" i="19" s="1"/>
  <c r="L22" i="19"/>
  <c r="K22" i="19"/>
  <c r="M22" i="19" s="1"/>
  <c r="R20" i="19"/>
  <c r="Q20" i="19"/>
  <c r="P20" i="19"/>
  <c r="O20" i="19"/>
  <c r="J20" i="19"/>
  <c r="I20" i="19"/>
  <c r="H20" i="19"/>
  <c r="G20" i="19"/>
  <c r="F20" i="19"/>
  <c r="E20" i="19"/>
  <c r="D20" i="19"/>
  <c r="C20" i="19"/>
  <c r="R19" i="19"/>
  <c r="Q19" i="19"/>
  <c r="P19" i="19"/>
  <c r="O19" i="19"/>
  <c r="J19" i="19"/>
  <c r="I19" i="19"/>
  <c r="H19" i="19"/>
  <c r="G19" i="19"/>
  <c r="F19" i="19"/>
  <c r="E19" i="19"/>
  <c r="D19" i="19"/>
  <c r="C19" i="19"/>
  <c r="R18" i="19"/>
  <c r="Q18" i="19"/>
  <c r="P18" i="19"/>
  <c r="O18" i="19"/>
  <c r="J18" i="19"/>
  <c r="I18" i="19"/>
  <c r="H18" i="19"/>
  <c r="G18" i="19"/>
  <c r="F18" i="19"/>
  <c r="E18" i="19"/>
  <c r="D18" i="19"/>
  <c r="C18" i="19"/>
  <c r="R17" i="19"/>
  <c r="Q17" i="19"/>
  <c r="P17" i="19"/>
  <c r="O17" i="19"/>
  <c r="J17" i="19"/>
  <c r="I17" i="19"/>
  <c r="H17" i="19"/>
  <c r="G17" i="19"/>
  <c r="F17" i="19"/>
  <c r="E17" i="19"/>
  <c r="D17" i="19"/>
  <c r="C17" i="19"/>
  <c r="S16" i="19"/>
  <c r="T16" i="19" s="1"/>
  <c r="L16" i="19"/>
  <c r="K16" i="19"/>
  <c r="R14" i="19"/>
  <c r="Q14" i="19"/>
  <c r="P14" i="19"/>
  <c r="O14" i="19"/>
  <c r="J14" i="19"/>
  <c r="I14" i="19"/>
  <c r="H14" i="19"/>
  <c r="G14" i="19"/>
  <c r="F14" i="19"/>
  <c r="E14" i="19"/>
  <c r="D14" i="19"/>
  <c r="C14" i="19"/>
  <c r="R13" i="19"/>
  <c r="Q13" i="19"/>
  <c r="P13" i="19"/>
  <c r="O13" i="19"/>
  <c r="J13" i="19"/>
  <c r="I13" i="19"/>
  <c r="H13" i="19"/>
  <c r="G13" i="19"/>
  <c r="F13" i="19"/>
  <c r="E13" i="19"/>
  <c r="D13" i="19"/>
  <c r="C13" i="19"/>
  <c r="R12" i="19"/>
  <c r="Q12" i="19"/>
  <c r="P12" i="19"/>
  <c r="O12" i="19"/>
  <c r="J12" i="19"/>
  <c r="I12" i="19"/>
  <c r="H12" i="19"/>
  <c r="G12" i="19"/>
  <c r="F12" i="19"/>
  <c r="E12" i="19"/>
  <c r="D12" i="19"/>
  <c r="C12" i="19"/>
  <c r="R11" i="19"/>
  <c r="Q11" i="19"/>
  <c r="P11" i="19"/>
  <c r="O11" i="19"/>
  <c r="J11" i="19"/>
  <c r="I11" i="19"/>
  <c r="H11" i="19"/>
  <c r="G11" i="19"/>
  <c r="F11" i="19"/>
  <c r="E11" i="19"/>
  <c r="D11" i="19"/>
  <c r="C11" i="19"/>
  <c r="R10" i="19"/>
  <c r="Q10" i="19"/>
  <c r="P10" i="19"/>
  <c r="O10" i="19"/>
  <c r="J10" i="19"/>
  <c r="I10" i="19"/>
  <c r="H10" i="19"/>
  <c r="G10" i="19"/>
  <c r="F10" i="19"/>
  <c r="E10" i="19"/>
  <c r="D10" i="19"/>
  <c r="C10" i="19"/>
  <c r="R9" i="19"/>
  <c r="Q9" i="19"/>
  <c r="P9" i="19"/>
  <c r="O9" i="19"/>
  <c r="J9" i="19"/>
  <c r="I9" i="19"/>
  <c r="H9" i="19"/>
  <c r="G9" i="19"/>
  <c r="F9" i="19"/>
  <c r="E9" i="19"/>
  <c r="D9" i="19"/>
  <c r="C9" i="19"/>
  <c r="S8" i="19"/>
  <c r="T8" i="19" s="1"/>
  <c r="L8" i="19"/>
  <c r="K8" i="19"/>
  <c r="M8" i="19" s="1"/>
  <c r="V11" i="12"/>
  <c r="U11" i="12"/>
  <c r="T11" i="12"/>
  <c r="S11" i="12"/>
  <c r="R11" i="12"/>
  <c r="Q11" i="12"/>
  <c r="P11" i="12"/>
  <c r="O11" i="12"/>
  <c r="N11" i="12"/>
  <c r="M11" i="12"/>
  <c r="L11" i="12"/>
  <c r="K11" i="12"/>
  <c r="H11" i="12"/>
  <c r="G11" i="12"/>
  <c r="F11" i="12"/>
  <c r="D11" i="12"/>
  <c r="C11" i="12"/>
  <c r="B11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H10" i="12"/>
  <c r="G10" i="12"/>
  <c r="F10" i="12"/>
  <c r="D10" i="12"/>
  <c r="C10" i="12"/>
  <c r="B10" i="12"/>
  <c r="V9" i="12"/>
  <c r="U9" i="12"/>
  <c r="T9" i="12"/>
  <c r="S9" i="12"/>
  <c r="R9" i="12"/>
  <c r="Q9" i="12"/>
  <c r="P9" i="12"/>
  <c r="O9" i="12"/>
  <c r="N9" i="12"/>
  <c r="M9" i="12"/>
  <c r="L9" i="12"/>
  <c r="K9" i="12"/>
  <c r="H9" i="12"/>
  <c r="G9" i="12"/>
  <c r="F9" i="12"/>
  <c r="D9" i="12"/>
  <c r="C9" i="12"/>
  <c r="B9" i="12"/>
  <c r="V8" i="12"/>
  <c r="U8" i="12"/>
  <c r="T8" i="12"/>
  <c r="S8" i="12"/>
  <c r="R8" i="12"/>
  <c r="Q8" i="12"/>
  <c r="P8" i="12"/>
  <c r="O8" i="12"/>
  <c r="N8" i="12"/>
  <c r="M8" i="12"/>
  <c r="L8" i="12"/>
  <c r="K8" i="12"/>
  <c r="H8" i="12"/>
  <c r="G8" i="12"/>
  <c r="F8" i="12"/>
  <c r="D8" i="12"/>
  <c r="C8" i="12"/>
  <c r="B8" i="12"/>
  <c r="M6" i="16"/>
  <c r="L6" i="16"/>
  <c r="K6" i="16"/>
  <c r="J6" i="16"/>
  <c r="I6" i="16"/>
  <c r="G6" i="16"/>
  <c r="F6" i="16"/>
  <c r="E6" i="16"/>
  <c r="D6" i="16"/>
  <c r="C6" i="16"/>
  <c r="L20" i="13"/>
  <c r="K20" i="13"/>
  <c r="J20" i="13"/>
  <c r="I20" i="13"/>
  <c r="H20" i="13"/>
  <c r="E20" i="13"/>
  <c r="D20" i="13"/>
  <c r="C20" i="13"/>
  <c r="B20" i="13"/>
  <c r="L19" i="13"/>
  <c r="K19" i="13"/>
  <c r="J19" i="13"/>
  <c r="I19" i="13"/>
  <c r="H19" i="13"/>
  <c r="E19" i="13"/>
  <c r="D19" i="13"/>
  <c r="C19" i="13"/>
  <c r="B19" i="13"/>
  <c r="L18" i="13"/>
  <c r="K18" i="13"/>
  <c r="J18" i="13"/>
  <c r="I18" i="13"/>
  <c r="H18" i="13"/>
  <c r="E18" i="13"/>
  <c r="D18" i="13"/>
  <c r="C18" i="13"/>
  <c r="B18" i="13"/>
  <c r="J17" i="13"/>
  <c r="H17" i="13"/>
  <c r="J16" i="13"/>
  <c r="H16" i="13"/>
  <c r="J15" i="13"/>
  <c r="H15" i="13"/>
  <c r="J14" i="13"/>
  <c r="H14" i="13"/>
  <c r="J13" i="13"/>
  <c r="H13" i="13"/>
  <c r="J12" i="13"/>
  <c r="H12" i="13"/>
  <c r="J11" i="13"/>
  <c r="H11" i="13"/>
  <c r="J10" i="13"/>
  <c r="H10" i="13"/>
  <c r="J9" i="13"/>
  <c r="H9" i="13"/>
  <c r="X104" i="17"/>
  <c r="W104" i="17"/>
  <c r="X103" i="17"/>
  <c r="W103" i="17"/>
  <c r="X102" i="17"/>
  <c r="W102" i="17"/>
  <c r="X101" i="17"/>
  <c r="W101" i="17"/>
  <c r="X100" i="17"/>
  <c r="W100" i="17"/>
  <c r="X99" i="17"/>
  <c r="W99" i="17"/>
  <c r="X98" i="17"/>
  <c r="W98" i="17"/>
  <c r="X97" i="17"/>
  <c r="W97" i="17"/>
  <c r="X96" i="17"/>
  <c r="W96" i="17"/>
  <c r="X95" i="17"/>
  <c r="W95" i="17"/>
  <c r="X93" i="17"/>
  <c r="W93" i="17"/>
  <c r="X92" i="17"/>
  <c r="W92" i="17"/>
  <c r="X91" i="17"/>
  <c r="W91" i="17"/>
  <c r="X90" i="17"/>
  <c r="W90" i="17"/>
  <c r="X89" i="17"/>
  <c r="W89" i="17"/>
  <c r="X88" i="17"/>
  <c r="W88" i="17"/>
  <c r="X87" i="17"/>
  <c r="W87" i="17"/>
  <c r="X86" i="17"/>
  <c r="W86" i="17"/>
  <c r="X85" i="17"/>
  <c r="W85" i="17"/>
  <c r="X84" i="17"/>
  <c r="W84" i="17"/>
  <c r="X83" i="17"/>
  <c r="W83" i="17"/>
  <c r="X81" i="17"/>
  <c r="W81" i="17"/>
  <c r="X80" i="17"/>
  <c r="W80" i="17"/>
  <c r="X79" i="17"/>
  <c r="W79" i="17"/>
  <c r="X78" i="17"/>
  <c r="W78" i="17"/>
  <c r="X77" i="17"/>
  <c r="W77" i="17"/>
  <c r="X76" i="17"/>
  <c r="W76" i="17"/>
  <c r="X75" i="17"/>
  <c r="W75" i="17"/>
  <c r="X74" i="17"/>
  <c r="W74" i="17"/>
  <c r="X73" i="17"/>
  <c r="W73" i="17"/>
  <c r="X72" i="17"/>
  <c r="W72" i="17"/>
  <c r="X71" i="17"/>
  <c r="W71" i="17"/>
  <c r="X69" i="17"/>
  <c r="W69" i="17"/>
  <c r="X68" i="17"/>
  <c r="W68" i="17"/>
  <c r="X67" i="17"/>
  <c r="W67" i="17"/>
  <c r="X66" i="17"/>
  <c r="W66" i="17"/>
  <c r="X65" i="17"/>
  <c r="W65" i="17"/>
  <c r="X64" i="17"/>
  <c r="W64" i="17"/>
  <c r="X63" i="17"/>
  <c r="W63" i="17"/>
  <c r="X62" i="17"/>
  <c r="W62" i="17"/>
  <c r="X60" i="17"/>
  <c r="W60" i="17"/>
  <c r="X59" i="17"/>
  <c r="W59" i="17"/>
  <c r="X58" i="17"/>
  <c r="W58" i="17"/>
  <c r="X57" i="17"/>
  <c r="W57" i="17"/>
  <c r="X56" i="17"/>
  <c r="W56" i="17"/>
  <c r="X55" i="17"/>
  <c r="W55" i="17"/>
  <c r="X54" i="17"/>
  <c r="W54" i="17"/>
  <c r="X53" i="17"/>
  <c r="W53" i="17"/>
  <c r="X52" i="17"/>
  <c r="W52" i="17"/>
  <c r="X50" i="17"/>
  <c r="W50" i="17"/>
  <c r="X49" i="17"/>
  <c r="W49" i="17"/>
  <c r="X48" i="17"/>
  <c r="W48" i="17"/>
  <c r="X47" i="17"/>
  <c r="W47" i="17"/>
  <c r="X46" i="17"/>
  <c r="W46" i="17"/>
  <c r="X45" i="17"/>
  <c r="W45" i="17"/>
  <c r="X44" i="17"/>
  <c r="W44" i="17"/>
  <c r="X43" i="17"/>
  <c r="W43" i="17"/>
  <c r="X41" i="17"/>
  <c r="W41" i="17"/>
  <c r="X40" i="17"/>
  <c r="W40" i="17"/>
  <c r="X39" i="17"/>
  <c r="W39" i="17"/>
  <c r="X38" i="17"/>
  <c r="W38" i="17"/>
  <c r="X37" i="17"/>
  <c r="W37" i="17"/>
  <c r="X36" i="17"/>
  <c r="W36" i="17"/>
  <c r="X35" i="17"/>
  <c r="W35" i="17"/>
  <c r="X34" i="17"/>
  <c r="W34" i="17"/>
  <c r="X33" i="17"/>
  <c r="W33" i="17"/>
  <c r="X32" i="17"/>
  <c r="W32" i="17"/>
  <c r="X31" i="17"/>
  <c r="W31" i="17"/>
  <c r="X29" i="17"/>
  <c r="W29" i="17"/>
  <c r="X28" i="17"/>
  <c r="W28" i="17"/>
  <c r="X27" i="17"/>
  <c r="W27" i="17"/>
  <c r="X26" i="17"/>
  <c r="W26" i="17"/>
  <c r="X25" i="17"/>
  <c r="W25" i="17"/>
  <c r="X24" i="17"/>
  <c r="W24" i="17"/>
  <c r="X23" i="17"/>
  <c r="W23" i="17"/>
  <c r="X22" i="17"/>
  <c r="W22" i="17"/>
  <c r="X21" i="17"/>
  <c r="W21" i="17"/>
  <c r="X20" i="17"/>
  <c r="W20" i="17"/>
  <c r="X19" i="17"/>
  <c r="W19" i="17"/>
  <c r="X17" i="17"/>
  <c r="W17" i="17"/>
  <c r="X16" i="17"/>
  <c r="W16" i="17"/>
  <c r="X15" i="17"/>
  <c r="W15" i="17"/>
  <c r="X14" i="17"/>
  <c r="W14" i="17"/>
  <c r="X13" i="17"/>
  <c r="W13" i="17"/>
  <c r="X12" i="17"/>
  <c r="W12" i="17"/>
  <c r="X11" i="17"/>
  <c r="W11" i="17"/>
  <c r="X10" i="17"/>
  <c r="W10" i="17"/>
  <c r="X9" i="17"/>
  <c r="W9" i="17"/>
  <c r="O7" i="17"/>
  <c r="R301" i="6"/>
  <c r="Q301" i="6"/>
  <c r="P301" i="6"/>
  <c r="O301" i="6"/>
  <c r="J301" i="6"/>
  <c r="I301" i="6"/>
  <c r="H301" i="6"/>
  <c r="G301" i="6"/>
  <c r="F301" i="6"/>
  <c r="E301" i="6"/>
  <c r="D301" i="6"/>
  <c r="C301" i="6"/>
  <c r="R300" i="6"/>
  <c r="Q300" i="6"/>
  <c r="P300" i="6"/>
  <c r="O300" i="6"/>
  <c r="J300" i="6"/>
  <c r="I300" i="6"/>
  <c r="H300" i="6"/>
  <c r="G300" i="6"/>
  <c r="F300" i="6"/>
  <c r="E300" i="6"/>
  <c r="D300" i="6"/>
  <c r="C300" i="6"/>
  <c r="R299" i="6"/>
  <c r="Q299" i="6"/>
  <c r="P299" i="6"/>
  <c r="O299" i="6"/>
  <c r="J299" i="6"/>
  <c r="I299" i="6"/>
  <c r="H299" i="6"/>
  <c r="G299" i="6"/>
  <c r="F299" i="6"/>
  <c r="E299" i="6"/>
  <c r="D299" i="6"/>
  <c r="C299" i="6"/>
  <c r="R298" i="6"/>
  <c r="Q298" i="6"/>
  <c r="P298" i="6"/>
  <c r="O298" i="6"/>
  <c r="J298" i="6"/>
  <c r="I298" i="6"/>
  <c r="H298" i="6"/>
  <c r="G298" i="6"/>
  <c r="F298" i="6"/>
  <c r="E298" i="6"/>
  <c r="D298" i="6"/>
  <c r="C298" i="6"/>
  <c r="R297" i="6"/>
  <c r="Q297" i="6"/>
  <c r="P297" i="6"/>
  <c r="O297" i="6"/>
  <c r="J297" i="6"/>
  <c r="I297" i="6"/>
  <c r="H297" i="6"/>
  <c r="G297" i="6"/>
  <c r="F297" i="6"/>
  <c r="E297" i="6"/>
  <c r="D297" i="6"/>
  <c r="C297" i="6"/>
  <c r="R296" i="6"/>
  <c r="Q296" i="6"/>
  <c r="P296" i="6"/>
  <c r="O296" i="6"/>
  <c r="J296" i="6"/>
  <c r="I296" i="6"/>
  <c r="H296" i="6"/>
  <c r="G296" i="6"/>
  <c r="F296" i="6"/>
  <c r="E296" i="6"/>
  <c r="D296" i="6"/>
  <c r="C296" i="6"/>
  <c r="R295" i="6"/>
  <c r="Q295" i="6"/>
  <c r="P295" i="6"/>
  <c r="O295" i="6"/>
  <c r="J295" i="6"/>
  <c r="I295" i="6"/>
  <c r="H295" i="6"/>
  <c r="G295" i="6"/>
  <c r="F295" i="6"/>
  <c r="E295" i="6"/>
  <c r="D295" i="6"/>
  <c r="C295" i="6"/>
  <c r="S294" i="6"/>
  <c r="T294" i="6" s="1"/>
  <c r="L294" i="6"/>
  <c r="N294" i="6" s="1"/>
  <c r="K294" i="6"/>
  <c r="M294" i="6" s="1"/>
  <c r="R292" i="6"/>
  <c r="Q292" i="6"/>
  <c r="P292" i="6"/>
  <c r="O292" i="6"/>
  <c r="J292" i="6"/>
  <c r="I292" i="6"/>
  <c r="H292" i="6"/>
  <c r="G292" i="6"/>
  <c r="F292" i="6"/>
  <c r="E292" i="6"/>
  <c r="D292" i="6"/>
  <c r="C292" i="6"/>
  <c r="R291" i="6"/>
  <c r="Q291" i="6"/>
  <c r="P291" i="6"/>
  <c r="O291" i="6"/>
  <c r="J291" i="6"/>
  <c r="I291" i="6"/>
  <c r="H291" i="6"/>
  <c r="G291" i="6"/>
  <c r="F291" i="6"/>
  <c r="E291" i="6"/>
  <c r="D291" i="6"/>
  <c r="C291" i="6"/>
  <c r="R290" i="6"/>
  <c r="Q290" i="6"/>
  <c r="P290" i="6"/>
  <c r="O290" i="6"/>
  <c r="J290" i="6"/>
  <c r="I290" i="6"/>
  <c r="H290" i="6"/>
  <c r="G290" i="6"/>
  <c r="F290" i="6"/>
  <c r="E290" i="6"/>
  <c r="D290" i="6"/>
  <c r="C290" i="6"/>
  <c r="S289" i="6"/>
  <c r="T289" i="6" s="1"/>
  <c r="L289" i="6"/>
  <c r="N289" i="6" s="1"/>
  <c r="K289" i="6"/>
  <c r="M289" i="6" s="1"/>
  <c r="R287" i="6"/>
  <c r="Q287" i="6"/>
  <c r="P287" i="6"/>
  <c r="O287" i="6"/>
  <c r="J287" i="6"/>
  <c r="I287" i="6"/>
  <c r="H287" i="6"/>
  <c r="G287" i="6"/>
  <c r="F287" i="6"/>
  <c r="E287" i="6"/>
  <c r="D287" i="6"/>
  <c r="C287" i="6"/>
  <c r="R286" i="6"/>
  <c r="Q286" i="6"/>
  <c r="P286" i="6"/>
  <c r="O286" i="6"/>
  <c r="J286" i="6"/>
  <c r="I286" i="6"/>
  <c r="H286" i="6"/>
  <c r="G286" i="6"/>
  <c r="F286" i="6"/>
  <c r="E286" i="6"/>
  <c r="D286" i="6"/>
  <c r="C286" i="6"/>
  <c r="R285" i="6"/>
  <c r="Q285" i="6"/>
  <c r="P285" i="6"/>
  <c r="O285" i="6"/>
  <c r="J285" i="6"/>
  <c r="I285" i="6"/>
  <c r="H285" i="6"/>
  <c r="G285" i="6"/>
  <c r="F285" i="6"/>
  <c r="E285" i="6"/>
  <c r="D285" i="6"/>
  <c r="C285" i="6"/>
  <c r="R284" i="6"/>
  <c r="Q284" i="6"/>
  <c r="P284" i="6"/>
  <c r="O284" i="6"/>
  <c r="J284" i="6"/>
  <c r="I284" i="6"/>
  <c r="H284" i="6"/>
  <c r="G284" i="6"/>
  <c r="F284" i="6"/>
  <c r="E284" i="6"/>
  <c r="D284" i="6"/>
  <c r="C284" i="6"/>
  <c r="R283" i="6"/>
  <c r="Q283" i="6"/>
  <c r="P283" i="6"/>
  <c r="O283" i="6"/>
  <c r="J283" i="6"/>
  <c r="I283" i="6"/>
  <c r="H283" i="6"/>
  <c r="G283" i="6"/>
  <c r="F283" i="6"/>
  <c r="E283" i="6"/>
  <c r="D283" i="6"/>
  <c r="C283" i="6"/>
  <c r="R282" i="6"/>
  <c r="Q282" i="6"/>
  <c r="P282" i="6"/>
  <c r="O282" i="6"/>
  <c r="J282" i="6"/>
  <c r="I282" i="6"/>
  <c r="H282" i="6"/>
  <c r="G282" i="6"/>
  <c r="F282" i="6"/>
  <c r="E282" i="6"/>
  <c r="D282" i="6"/>
  <c r="C282" i="6"/>
  <c r="S281" i="6"/>
  <c r="T281" i="6" s="1"/>
  <c r="L281" i="6"/>
  <c r="N281" i="6" s="1"/>
  <c r="K281" i="6"/>
  <c r="M281" i="6" s="1"/>
  <c r="R279" i="6"/>
  <c r="Q279" i="6"/>
  <c r="P279" i="6"/>
  <c r="O279" i="6"/>
  <c r="J279" i="6"/>
  <c r="I279" i="6"/>
  <c r="H279" i="6"/>
  <c r="G279" i="6"/>
  <c r="F279" i="6"/>
  <c r="E279" i="6"/>
  <c r="D279" i="6"/>
  <c r="C279" i="6"/>
  <c r="R278" i="6"/>
  <c r="Q278" i="6"/>
  <c r="P278" i="6"/>
  <c r="O278" i="6"/>
  <c r="J278" i="6"/>
  <c r="I278" i="6"/>
  <c r="H278" i="6"/>
  <c r="G278" i="6"/>
  <c r="F278" i="6"/>
  <c r="E278" i="6"/>
  <c r="D278" i="6"/>
  <c r="C278" i="6"/>
  <c r="S277" i="6"/>
  <c r="T277" i="6" s="1"/>
  <c r="L277" i="6"/>
  <c r="N277" i="6" s="1"/>
  <c r="K277" i="6"/>
  <c r="M277" i="6" s="1"/>
  <c r="R275" i="6"/>
  <c r="Q275" i="6"/>
  <c r="P275" i="6"/>
  <c r="O275" i="6"/>
  <c r="J275" i="6"/>
  <c r="I275" i="6"/>
  <c r="H275" i="6"/>
  <c r="G275" i="6"/>
  <c r="F275" i="6"/>
  <c r="E275" i="6"/>
  <c r="D275" i="6"/>
  <c r="C275" i="6"/>
  <c r="R274" i="6"/>
  <c r="Q274" i="6"/>
  <c r="P274" i="6"/>
  <c r="O274" i="6"/>
  <c r="J274" i="6"/>
  <c r="I274" i="6"/>
  <c r="H274" i="6"/>
  <c r="G274" i="6"/>
  <c r="F274" i="6"/>
  <c r="E274" i="6"/>
  <c r="D274" i="6"/>
  <c r="C274" i="6"/>
  <c r="R273" i="6"/>
  <c r="Q273" i="6"/>
  <c r="P273" i="6"/>
  <c r="O273" i="6"/>
  <c r="J273" i="6"/>
  <c r="I273" i="6"/>
  <c r="H273" i="6"/>
  <c r="G273" i="6"/>
  <c r="F273" i="6"/>
  <c r="E273" i="6"/>
  <c r="D273" i="6"/>
  <c r="C273" i="6"/>
  <c r="R272" i="6"/>
  <c r="Q272" i="6"/>
  <c r="P272" i="6"/>
  <c r="O272" i="6"/>
  <c r="J272" i="6"/>
  <c r="I272" i="6"/>
  <c r="H272" i="6"/>
  <c r="G272" i="6"/>
  <c r="F272" i="6"/>
  <c r="E272" i="6"/>
  <c r="D272" i="6"/>
  <c r="C272" i="6"/>
  <c r="S271" i="6"/>
  <c r="T271" i="6" s="1"/>
  <c r="L271" i="6"/>
  <c r="N271" i="6" s="1"/>
  <c r="K271" i="6"/>
  <c r="M271" i="6" s="1"/>
  <c r="R269" i="6"/>
  <c r="Q269" i="6"/>
  <c r="P269" i="6"/>
  <c r="O269" i="6"/>
  <c r="J269" i="6"/>
  <c r="I269" i="6"/>
  <c r="H269" i="6"/>
  <c r="G269" i="6"/>
  <c r="F269" i="6"/>
  <c r="E269" i="6"/>
  <c r="D269" i="6"/>
  <c r="C269" i="6"/>
  <c r="R268" i="6"/>
  <c r="Q268" i="6"/>
  <c r="P268" i="6"/>
  <c r="O268" i="6"/>
  <c r="J268" i="6"/>
  <c r="I268" i="6"/>
  <c r="H268" i="6"/>
  <c r="G268" i="6"/>
  <c r="F268" i="6"/>
  <c r="E268" i="6"/>
  <c r="D268" i="6"/>
  <c r="C268" i="6"/>
  <c r="R267" i="6"/>
  <c r="Q267" i="6"/>
  <c r="P267" i="6"/>
  <c r="O267" i="6"/>
  <c r="J267" i="6"/>
  <c r="I267" i="6"/>
  <c r="H267" i="6"/>
  <c r="G267" i="6"/>
  <c r="F267" i="6"/>
  <c r="E267" i="6"/>
  <c r="D267" i="6"/>
  <c r="C267" i="6"/>
  <c r="S266" i="6"/>
  <c r="T266" i="6" s="1"/>
  <c r="L266" i="6"/>
  <c r="N266" i="6" s="1"/>
  <c r="K266" i="6"/>
  <c r="M266" i="6" s="1"/>
  <c r="R264" i="6"/>
  <c r="Q264" i="6"/>
  <c r="P264" i="6"/>
  <c r="O264" i="6"/>
  <c r="J264" i="6"/>
  <c r="I264" i="6"/>
  <c r="H264" i="6"/>
  <c r="G264" i="6"/>
  <c r="F264" i="6"/>
  <c r="E264" i="6"/>
  <c r="D264" i="6"/>
  <c r="C264" i="6"/>
  <c r="R263" i="6"/>
  <c r="Q263" i="6"/>
  <c r="P263" i="6"/>
  <c r="O263" i="6"/>
  <c r="J263" i="6"/>
  <c r="I263" i="6"/>
  <c r="H263" i="6"/>
  <c r="G263" i="6"/>
  <c r="F263" i="6"/>
  <c r="E263" i="6"/>
  <c r="D263" i="6"/>
  <c r="C263" i="6"/>
  <c r="R262" i="6"/>
  <c r="Q262" i="6"/>
  <c r="P262" i="6"/>
  <c r="O262" i="6"/>
  <c r="J262" i="6"/>
  <c r="I262" i="6"/>
  <c r="H262" i="6"/>
  <c r="G262" i="6"/>
  <c r="F262" i="6"/>
  <c r="E262" i="6"/>
  <c r="D262" i="6"/>
  <c r="C262" i="6"/>
  <c r="R261" i="6"/>
  <c r="Q261" i="6"/>
  <c r="P261" i="6"/>
  <c r="O261" i="6"/>
  <c r="J261" i="6"/>
  <c r="I261" i="6"/>
  <c r="H261" i="6"/>
  <c r="G261" i="6"/>
  <c r="F261" i="6"/>
  <c r="E261" i="6"/>
  <c r="D261" i="6"/>
  <c r="C261" i="6"/>
  <c r="S260" i="6"/>
  <c r="T260" i="6" s="1"/>
  <c r="L260" i="6"/>
  <c r="L259" i="6" s="1"/>
  <c r="K260" i="6"/>
  <c r="M260" i="6" s="1"/>
  <c r="R258" i="6"/>
  <c r="Q258" i="6"/>
  <c r="P258" i="6"/>
  <c r="O258" i="6"/>
  <c r="J258" i="6"/>
  <c r="I258" i="6"/>
  <c r="H258" i="6"/>
  <c r="G258" i="6"/>
  <c r="F258" i="6"/>
  <c r="E258" i="6"/>
  <c r="D258" i="6"/>
  <c r="C258" i="6"/>
  <c r="R257" i="6"/>
  <c r="Q257" i="6"/>
  <c r="P257" i="6"/>
  <c r="O257" i="6"/>
  <c r="J257" i="6"/>
  <c r="I257" i="6"/>
  <c r="H257" i="6"/>
  <c r="G257" i="6"/>
  <c r="F257" i="6"/>
  <c r="E257" i="6"/>
  <c r="D257" i="6"/>
  <c r="C257" i="6"/>
  <c r="S256" i="6"/>
  <c r="L256" i="6"/>
  <c r="N256" i="6" s="1"/>
  <c r="K256" i="6"/>
  <c r="M256" i="6" s="1"/>
  <c r="R254" i="6"/>
  <c r="Q254" i="6"/>
  <c r="P254" i="6"/>
  <c r="O254" i="6"/>
  <c r="J254" i="6"/>
  <c r="I254" i="6"/>
  <c r="H254" i="6"/>
  <c r="G254" i="6"/>
  <c r="F254" i="6"/>
  <c r="E254" i="6"/>
  <c r="D254" i="6"/>
  <c r="C254" i="6"/>
  <c r="R253" i="6"/>
  <c r="Q253" i="6"/>
  <c r="P253" i="6"/>
  <c r="O253" i="6"/>
  <c r="J253" i="6"/>
  <c r="I253" i="6"/>
  <c r="H253" i="6"/>
  <c r="G253" i="6"/>
  <c r="F253" i="6"/>
  <c r="E253" i="6"/>
  <c r="D253" i="6"/>
  <c r="C253" i="6"/>
  <c r="R252" i="6"/>
  <c r="Q252" i="6"/>
  <c r="P252" i="6"/>
  <c r="O252" i="6"/>
  <c r="J252" i="6"/>
  <c r="I252" i="6"/>
  <c r="H252" i="6"/>
  <c r="G252" i="6"/>
  <c r="F252" i="6"/>
  <c r="E252" i="6"/>
  <c r="D252" i="6"/>
  <c r="C252" i="6"/>
  <c r="R251" i="6"/>
  <c r="Q251" i="6"/>
  <c r="P251" i="6"/>
  <c r="O251" i="6"/>
  <c r="J251" i="6"/>
  <c r="I251" i="6"/>
  <c r="H251" i="6"/>
  <c r="G251" i="6"/>
  <c r="F251" i="6"/>
  <c r="E251" i="6"/>
  <c r="D251" i="6"/>
  <c r="C251" i="6"/>
  <c r="R250" i="6"/>
  <c r="Q250" i="6"/>
  <c r="P250" i="6"/>
  <c r="O250" i="6"/>
  <c r="J250" i="6"/>
  <c r="I250" i="6"/>
  <c r="H250" i="6"/>
  <c r="G250" i="6"/>
  <c r="F250" i="6"/>
  <c r="E250" i="6"/>
  <c r="D250" i="6"/>
  <c r="C250" i="6"/>
  <c r="S249" i="6"/>
  <c r="S248" i="6" s="1"/>
  <c r="L249" i="6"/>
  <c r="N249" i="6" s="1"/>
  <c r="K249" i="6"/>
  <c r="K248" i="6" s="1"/>
  <c r="R247" i="6"/>
  <c r="Q247" i="6"/>
  <c r="P247" i="6"/>
  <c r="O247" i="6"/>
  <c r="J247" i="6"/>
  <c r="I247" i="6"/>
  <c r="H247" i="6"/>
  <c r="G247" i="6"/>
  <c r="F247" i="6"/>
  <c r="E247" i="6"/>
  <c r="D247" i="6"/>
  <c r="C247" i="6"/>
  <c r="R246" i="6"/>
  <c r="Q246" i="6"/>
  <c r="P246" i="6"/>
  <c r="O246" i="6"/>
  <c r="J246" i="6"/>
  <c r="I246" i="6"/>
  <c r="H246" i="6"/>
  <c r="G246" i="6"/>
  <c r="F246" i="6"/>
  <c r="E246" i="6"/>
  <c r="D246" i="6"/>
  <c r="C246" i="6"/>
  <c r="R245" i="6"/>
  <c r="Q245" i="6"/>
  <c r="P245" i="6"/>
  <c r="O245" i="6"/>
  <c r="J245" i="6"/>
  <c r="I245" i="6"/>
  <c r="H245" i="6"/>
  <c r="G245" i="6"/>
  <c r="F245" i="6"/>
  <c r="E245" i="6"/>
  <c r="D245" i="6"/>
  <c r="C245" i="6"/>
  <c r="R244" i="6"/>
  <c r="Q244" i="6"/>
  <c r="P244" i="6"/>
  <c r="O244" i="6"/>
  <c r="J244" i="6"/>
  <c r="I244" i="6"/>
  <c r="H244" i="6"/>
  <c r="G244" i="6"/>
  <c r="F244" i="6"/>
  <c r="E244" i="6"/>
  <c r="D244" i="6"/>
  <c r="C244" i="6"/>
  <c r="S243" i="6"/>
  <c r="L243" i="6"/>
  <c r="N243" i="6" s="1"/>
  <c r="K243" i="6"/>
  <c r="M243" i="6" s="1"/>
  <c r="R241" i="6"/>
  <c r="Q241" i="6"/>
  <c r="P241" i="6"/>
  <c r="O241" i="6"/>
  <c r="J241" i="6"/>
  <c r="I241" i="6"/>
  <c r="H241" i="6"/>
  <c r="G241" i="6"/>
  <c r="F241" i="6"/>
  <c r="E241" i="6"/>
  <c r="D241" i="6"/>
  <c r="C241" i="6"/>
  <c r="R240" i="6"/>
  <c r="Q240" i="6"/>
  <c r="P240" i="6"/>
  <c r="O240" i="6"/>
  <c r="J240" i="6"/>
  <c r="I240" i="6"/>
  <c r="H240" i="6"/>
  <c r="G240" i="6"/>
  <c r="F240" i="6"/>
  <c r="E240" i="6"/>
  <c r="D240" i="6"/>
  <c r="C240" i="6"/>
  <c r="R239" i="6"/>
  <c r="Q239" i="6"/>
  <c r="P239" i="6"/>
  <c r="O239" i="6"/>
  <c r="J239" i="6"/>
  <c r="I239" i="6"/>
  <c r="H239" i="6"/>
  <c r="G239" i="6"/>
  <c r="F239" i="6"/>
  <c r="E239" i="6"/>
  <c r="D239" i="6"/>
  <c r="C239" i="6"/>
  <c r="S238" i="6"/>
  <c r="T238" i="6" s="1"/>
  <c r="L238" i="6"/>
  <c r="N238" i="6" s="1"/>
  <c r="K238" i="6"/>
  <c r="K237" i="6" s="1"/>
  <c r="R236" i="6"/>
  <c r="Q236" i="6"/>
  <c r="P236" i="6"/>
  <c r="O236" i="6"/>
  <c r="J236" i="6"/>
  <c r="I236" i="6"/>
  <c r="H236" i="6"/>
  <c r="G236" i="6"/>
  <c r="F236" i="6"/>
  <c r="E236" i="6"/>
  <c r="D236" i="6"/>
  <c r="C236" i="6"/>
  <c r="R235" i="6"/>
  <c r="Q235" i="6"/>
  <c r="P235" i="6"/>
  <c r="O235" i="6"/>
  <c r="J235" i="6"/>
  <c r="I235" i="6"/>
  <c r="H235" i="6"/>
  <c r="G235" i="6"/>
  <c r="F235" i="6"/>
  <c r="E235" i="6"/>
  <c r="D235" i="6"/>
  <c r="C235" i="6"/>
  <c r="R234" i="6"/>
  <c r="Q234" i="6"/>
  <c r="P234" i="6"/>
  <c r="O234" i="6"/>
  <c r="J234" i="6"/>
  <c r="I234" i="6"/>
  <c r="H234" i="6"/>
  <c r="G234" i="6"/>
  <c r="F234" i="6"/>
  <c r="E234" i="6"/>
  <c r="D234" i="6"/>
  <c r="C234" i="6"/>
  <c r="S233" i="6"/>
  <c r="T233" i="6" s="1"/>
  <c r="L233" i="6"/>
  <c r="N233" i="6" s="1"/>
  <c r="K233" i="6"/>
  <c r="M233" i="6" s="1"/>
  <c r="R231" i="6"/>
  <c r="Q231" i="6"/>
  <c r="P231" i="6"/>
  <c r="O231" i="6"/>
  <c r="J231" i="6"/>
  <c r="I231" i="6"/>
  <c r="H231" i="6"/>
  <c r="G231" i="6"/>
  <c r="F231" i="6"/>
  <c r="E231" i="6"/>
  <c r="D231" i="6"/>
  <c r="C231" i="6"/>
  <c r="R230" i="6"/>
  <c r="Q230" i="6"/>
  <c r="P230" i="6"/>
  <c r="O230" i="6"/>
  <c r="J230" i="6"/>
  <c r="I230" i="6"/>
  <c r="H230" i="6"/>
  <c r="G230" i="6"/>
  <c r="F230" i="6"/>
  <c r="E230" i="6"/>
  <c r="D230" i="6"/>
  <c r="C230" i="6"/>
  <c r="R229" i="6"/>
  <c r="Q229" i="6"/>
  <c r="P229" i="6"/>
  <c r="O229" i="6"/>
  <c r="J229" i="6"/>
  <c r="I229" i="6"/>
  <c r="H229" i="6"/>
  <c r="G229" i="6"/>
  <c r="F229" i="6"/>
  <c r="E229" i="6"/>
  <c r="D229" i="6"/>
  <c r="C229" i="6"/>
  <c r="R228" i="6"/>
  <c r="Q228" i="6"/>
  <c r="P228" i="6"/>
  <c r="O228" i="6"/>
  <c r="J228" i="6"/>
  <c r="I228" i="6"/>
  <c r="H228" i="6"/>
  <c r="G228" i="6"/>
  <c r="F228" i="6"/>
  <c r="E228" i="6"/>
  <c r="D228" i="6"/>
  <c r="C228" i="6"/>
  <c r="R227" i="6"/>
  <c r="Q227" i="6"/>
  <c r="P227" i="6"/>
  <c r="O227" i="6"/>
  <c r="J227" i="6"/>
  <c r="I227" i="6"/>
  <c r="H227" i="6"/>
  <c r="G227" i="6"/>
  <c r="F227" i="6"/>
  <c r="E227" i="6"/>
  <c r="D227" i="6"/>
  <c r="C227" i="6"/>
  <c r="S226" i="6"/>
  <c r="T226" i="6" s="1"/>
  <c r="L226" i="6"/>
  <c r="N226" i="6" s="1"/>
  <c r="K226" i="6"/>
  <c r="M226" i="6" s="1"/>
  <c r="R224" i="6"/>
  <c r="Q224" i="6"/>
  <c r="P224" i="6"/>
  <c r="O224" i="6"/>
  <c r="J224" i="6"/>
  <c r="I224" i="6"/>
  <c r="H224" i="6"/>
  <c r="G224" i="6"/>
  <c r="F224" i="6"/>
  <c r="E224" i="6"/>
  <c r="D224" i="6"/>
  <c r="C224" i="6"/>
  <c r="R223" i="6"/>
  <c r="Q223" i="6"/>
  <c r="P223" i="6"/>
  <c r="O223" i="6"/>
  <c r="J223" i="6"/>
  <c r="I223" i="6"/>
  <c r="H223" i="6"/>
  <c r="G223" i="6"/>
  <c r="F223" i="6"/>
  <c r="E223" i="6"/>
  <c r="D223" i="6"/>
  <c r="C223" i="6"/>
  <c r="R222" i="6"/>
  <c r="Q222" i="6"/>
  <c r="P222" i="6"/>
  <c r="O222" i="6"/>
  <c r="J222" i="6"/>
  <c r="I222" i="6"/>
  <c r="H222" i="6"/>
  <c r="G222" i="6"/>
  <c r="F222" i="6"/>
  <c r="E222" i="6"/>
  <c r="D222" i="6"/>
  <c r="C222" i="6"/>
  <c r="R221" i="6"/>
  <c r="Q221" i="6"/>
  <c r="P221" i="6"/>
  <c r="O221" i="6"/>
  <c r="J221" i="6"/>
  <c r="I221" i="6"/>
  <c r="H221" i="6"/>
  <c r="G221" i="6"/>
  <c r="F221" i="6"/>
  <c r="E221" i="6"/>
  <c r="D221" i="6"/>
  <c r="C221" i="6"/>
  <c r="S220" i="6"/>
  <c r="S219" i="6" s="1"/>
  <c r="L220" i="6"/>
  <c r="N220" i="6" s="1"/>
  <c r="K220" i="6"/>
  <c r="M220" i="6" s="1"/>
  <c r="R218" i="6"/>
  <c r="Q218" i="6"/>
  <c r="P218" i="6"/>
  <c r="O218" i="6"/>
  <c r="J218" i="6"/>
  <c r="I218" i="6"/>
  <c r="H218" i="6"/>
  <c r="G218" i="6"/>
  <c r="F218" i="6"/>
  <c r="E218" i="6"/>
  <c r="D218" i="6"/>
  <c r="C218" i="6"/>
  <c r="R217" i="6"/>
  <c r="Q217" i="6"/>
  <c r="P217" i="6"/>
  <c r="O217" i="6"/>
  <c r="J217" i="6"/>
  <c r="I217" i="6"/>
  <c r="H217" i="6"/>
  <c r="G217" i="6"/>
  <c r="F217" i="6"/>
  <c r="E217" i="6"/>
  <c r="D217" i="6"/>
  <c r="C217" i="6"/>
  <c r="R216" i="6"/>
  <c r="Q216" i="6"/>
  <c r="P216" i="6"/>
  <c r="O216" i="6"/>
  <c r="J216" i="6"/>
  <c r="I216" i="6"/>
  <c r="H216" i="6"/>
  <c r="G216" i="6"/>
  <c r="F216" i="6"/>
  <c r="E216" i="6"/>
  <c r="D216" i="6"/>
  <c r="C216" i="6"/>
  <c r="R215" i="6"/>
  <c r="Q215" i="6"/>
  <c r="P215" i="6"/>
  <c r="O215" i="6"/>
  <c r="J215" i="6"/>
  <c r="I215" i="6"/>
  <c r="H215" i="6"/>
  <c r="G215" i="6"/>
  <c r="F215" i="6"/>
  <c r="E215" i="6"/>
  <c r="D215" i="6"/>
  <c r="C215" i="6"/>
  <c r="S214" i="6"/>
  <c r="T214" i="6" s="1"/>
  <c r="L214" i="6"/>
  <c r="L213" i="6" s="1"/>
  <c r="K214" i="6"/>
  <c r="M214" i="6" s="1"/>
  <c r="R212" i="6"/>
  <c r="Q212" i="6"/>
  <c r="P212" i="6"/>
  <c r="O212" i="6"/>
  <c r="J212" i="6"/>
  <c r="I212" i="6"/>
  <c r="H212" i="6"/>
  <c r="G212" i="6"/>
  <c r="F212" i="6"/>
  <c r="E212" i="6"/>
  <c r="D212" i="6"/>
  <c r="C212" i="6"/>
  <c r="R211" i="6"/>
  <c r="Q211" i="6"/>
  <c r="P211" i="6"/>
  <c r="O211" i="6"/>
  <c r="J211" i="6"/>
  <c r="I211" i="6"/>
  <c r="H211" i="6"/>
  <c r="G211" i="6"/>
  <c r="F211" i="6"/>
  <c r="E211" i="6"/>
  <c r="D211" i="6"/>
  <c r="C211" i="6"/>
  <c r="R210" i="6"/>
  <c r="Q210" i="6"/>
  <c r="P210" i="6"/>
  <c r="O210" i="6"/>
  <c r="J210" i="6"/>
  <c r="I210" i="6"/>
  <c r="H210" i="6"/>
  <c r="G210" i="6"/>
  <c r="F210" i="6"/>
  <c r="E210" i="6"/>
  <c r="D210" i="6"/>
  <c r="C210" i="6"/>
  <c r="S209" i="6"/>
  <c r="T209" i="6" s="1"/>
  <c r="L209" i="6"/>
  <c r="N209" i="6" s="1"/>
  <c r="K209" i="6"/>
  <c r="M209" i="6" s="1"/>
  <c r="R207" i="6"/>
  <c r="Q207" i="6"/>
  <c r="P207" i="6"/>
  <c r="O207" i="6"/>
  <c r="J207" i="6"/>
  <c r="I207" i="6"/>
  <c r="H207" i="6"/>
  <c r="G207" i="6"/>
  <c r="F207" i="6"/>
  <c r="E207" i="6"/>
  <c r="D207" i="6"/>
  <c r="C207" i="6"/>
  <c r="R206" i="6"/>
  <c r="Q206" i="6"/>
  <c r="P206" i="6"/>
  <c r="O206" i="6"/>
  <c r="J206" i="6"/>
  <c r="I206" i="6"/>
  <c r="H206" i="6"/>
  <c r="G206" i="6"/>
  <c r="F206" i="6"/>
  <c r="E206" i="6"/>
  <c r="D206" i="6"/>
  <c r="C206" i="6"/>
  <c r="R205" i="6"/>
  <c r="Q205" i="6"/>
  <c r="P205" i="6"/>
  <c r="O205" i="6"/>
  <c r="J205" i="6"/>
  <c r="I205" i="6"/>
  <c r="H205" i="6"/>
  <c r="G205" i="6"/>
  <c r="F205" i="6"/>
  <c r="E205" i="6"/>
  <c r="D205" i="6"/>
  <c r="C205" i="6"/>
  <c r="S204" i="6"/>
  <c r="T204" i="6" s="1"/>
  <c r="L204" i="6"/>
  <c r="N204" i="6" s="1"/>
  <c r="K204" i="6"/>
  <c r="M204" i="6" s="1"/>
  <c r="R202" i="6"/>
  <c r="Q202" i="6"/>
  <c r="P202" i="6"/>
  <c r="O202" i="6"/>
  <c r="J202" i="6"/>
  <c r="I202" i="6"/>
  <c r="H202" i="6"/>
  <c r="G202" i="6"/>
  <c r="F202" i="6"/>
  <c r="E202" i="6"/>
  <c r="D202" i="6"/>
  <c r="C202" i="6"/>
  <c r="R201" i="6"/>
  <c r="Q201" i="6"/>
  <c r="P201" i="6"/>
  <c r="O201" i="6"/>
  <c r="J201" i="6"/>
  <c r="I201" i="6"/>
  <c r="H201" i="6"/>
  <c r="G201" i="6"/>
  <c r="F201" i="6"/>
  <c r="E201" i="6"/>
  <c r="D201" i="6"/>
  <c r="C201" i="6"/>
  <c r="R200" i="6"/>
  <c r="Q200" i="6"/>
  <c r="P200" i="6"/>
  <c r="O200" i="6"/>
  <c r="J200" i="6"/>
  <c r="I200" i="6"/>
  <c r="H200" i="6"/>
  <c r="G200" i="6"/>
  <c r="F200" i="6"/>
  <c r="E200" i="6"/>
  <c r="D200" i="6"/>
  <c r="C200" i="6"/>
  <c r="R199" i="6"/>
  <c r="Q199" i="6"/>
  <c r="P199" i="6"/>
  <c r="O199" i="6"/>
  <c r="J199" i="6"/>
  <c r="I199" i="6"/>
  <c r="H199" i="6"/>
  <c r="G199" i="6"/>
  <c r="F199" i="6"/>
  <c r="E199" i="6"/>
  <c r="D199" i="6"/>
  <c r="C199" i="6"/>
  <c r="S198" i="6"/>
  <c r="T198" i="6" s="1"/>
  <c r="L198" i="6"/>
  <c r="N198" i="6" s="1"/>
  <c r="K198" i="6"/>
  <c r="M198" i="6" s="1"/>
  <c r="R196" i="6"/>
  <c r="Q196" i="6"/>
  <c r="P196" i="6"/>
  <c r="O196" i="6"/>
  <c r="J196" i="6"/>
  <c r="I196" i="6"/>
  <c r="H196" i="6"/>
  <c r="G196" i="6"/>
  <c r="F196" i="6"/>
  <c r="E196" i="6"/>
  <c r="D196" i="6"/>
  <c r="C196" i="6"/>
  <c r="R195" i="6"/>
  <c r="Q195" i="6"/>
  <c r="P195" i="6"/>
  <c r="O195" i="6"/>
  <c r="J195" i="6"/>
  <c r="I195" i="6"/>
  <c r="H195" i="6"/>
  <c r="G195" i="6"/>
  <c r="F195" i="6"/>
  <c r="E195" i="6"/>
  <c r="D195" i="6"/>
  <c r="C195" i="6"/>
  <c r="R194" i="6"/>
  <c r="Q194" i="6"/>
  <c r="P194" i="6"/>
  <c r="O194" i="6"/>
  <c r="J194" i="6"/>
  <c r="I194" i="6"/>
  <c r="H194" i="6"/>
  <c r="G194" i="6"/>
  <c r="F194" i="6"/>
  <c r="E194" i="6"/>
  <c r="D194" i="6"/>
  <c r="C194" i="6"/>
  <c r="R193" i="6"/>
  <c r="Q193" i="6"/>
  <c r="P193" i="6"/>
  <c r="O193" i="6"/>
  <c r="J193" i="6"/>
  <c r="I193" i="6"/>
  <c r="H193" i="6"/>
  <c r="G193" i="6"/>
  <c r="F193" i="6"/>
  <c r="E193" i="6"/>
  <c r="D193" i="6"/>
  <c r="C193" i="6"/>
  <c r="S192" i="6"/>
  <c r="T192" i="6" s="1"/>
  <c r="L192" i="6"/>
  <c r="N192" i="6" s="1"/>
  <c r="K192" i="6"/>
  <c r="M192" i="6" s="1"/>
  <c r="R190" i="6"/>
  <c r="Q190" i="6"/>
  <c r="P190" i="6"/>
  <c r="O190" i="6"/>
  <c r="J190" i="6"/>
  <c r="I190" i="6"/>
  <c r="H190" i="6"/>
  <c r="G190" i="6"/>
  <c r="F190" i="6"/>
  <c r="E190" i="6"/>
  <c r="D190" i="6"/>
  <c r="C190" i="6"/>
  <c r="R189" i="6"/>
  <c r="Q189" i="6"/>
  <c r="P189" i="6"/>
  <c r="O189" i="6"/>
  <c r="J189" i="6"/>
  <c r="I189" i="6"/>
  <c r="H189" i="6"/>
  <c r="G189" i="6"/>
  <c r="F189" i="6"/>
  <c r="E189" i="6"/>
  <c r="D189" i="6"/>
  <c r="C189" i="6"/>
  <c r="S188" i="6"/>
  <c r="T188" i="6" s="1"/>
  <c r="L188" i="6"/>
  <c r="N188" i="6" s="1"/>
  <c r="K188" i="6"/>
  <c r="K187" i="6" s="1"/>
  <c r="R186" i="6"/>
  <c r="Q186" i="6"/>
  <c r="P186" i="6"/>
  <c r="O186" i="6"/>
  <c r="J186" i="6"/>
  <c r="I186" i="6"/>
  <c r="H186" i="6"/>
  <c r="G186" i="6"/>
  <c r="F186" i="6"/>
  <c r="E186" i="6"/>
  <c r="D186" i="6"/>
  <c r="C186" i="6"/>
  <c r="R185" i="6"/>
  <c r="Q185" i="6"/>
  <c r="P185" i="6"/>
  <c r="O185" i="6"/>
  <c r="J185" i="6"/>
  <c r="I185" i="6"/>
  <c r="H185" i="6"/>
  <c r="G185" i="6"/>
  <c r="F185" i="6"/>
  <c r="E185" i="6"/>
  <c r="D185" i="6"/>
  <c r="C185" i="6"/>
  <c r="R184" i="6"/>
  <c r="Q184" i="6"/>
  <c r="P184" i="6"/>
  <c r="O184" i="6"/>
  <c r="J184" i="6"/>
  <c r="I184" i="6"/>
  <c r="H184" i="6"/>
  <c r="G184" i="6"/>
  <c r="F184" i="6"/>
  <c r="E184" i="6"/>
  <c r="D184" i="6"/>
  <c r="C184" i="6"/>
  <c r="R183" i="6"/>
  <c r="Q183" i="6"/>
  <c r="P183" i="6"/>
  <c r="O183" i="6"/>
  <c r="J183" i="6"/>
  <c r="I183" i="6"/>
  <c r="H183" i="6"/>
  <c r="G183" i="6"/>
  <c r="F183" i="6"/>
  <c r="E183" i="6"/>
  <c r="D183" i="6"/>
  <c r="C183" i="6"/>
  <c r="S182" i="6"/>
  <c r="L182" i="6"/>
  <c r="K182" i="6"/>
  <c r="R180" i="6"/>
  <c r="Q180" i="6"/>
  <c r="P180" i="6"/>
  <c r="O180" i="6"/>
  <c r="J180" i="6"/>
  <c r="I180" i="6"/>
  <c r="H180" i="6"/>
  <c r="G180" i="6"/>
  <c r="F180" i="6"/>
  <c r="E180" i="6"/>
  <c r="D180" i="6"/>
  <c r="C180" i="6"/>
  <c r="R179" i="6"/>
  <c r="Q179" i="6"/>
  <c r="P179" i="6"/>
  <c r="O179" i="6"/>
  <c r="J179" i="6"/>
  <c r="I179" i="6"/>
  <c r="H179" i="6"/>
  <c r="G179" i="6"/>
  <c r="F179" i="6"/>
  <c r="E179" i="6"/>
  <c r="D179" i="6"/>
  <c r="C179" i="6"/>
  <c r="R178" i="6"/>
  <c r="Q178" i="6"/>
  <c r="P178" i="6"/>
  <c r="O178" i="6"/>
  <c r="J178" i="6"/>
  <c r="I178" i="6"/>
  <c r="H178" i="6"/>
  <c r="G178" i="6"/>
  <c r="F178" i="6"/>
  <c r="E178" i="6"/>
  <c r="D178" i="6"/>
  <c r="C178" i="6"/>
  <c r="R177" i="6"/>
  <c r="Q177" i="6"/>
  <c r="P177" i="6"/>
  <c r="O177" i="6"/>
  <c r="J177" i="6"/>
  <c r="I177" i="6"/>
  <c r="H177" i="6"/>
  <c r="G177" i="6"/>
  <c r="F177" i="6"/>
  <c r="E177" i="6"/>
  <c r="D177" i="6"/>
  <c r="C177" i="6"/>
  <c r="R176" i="6"/>
  <c r="Q176" i="6"/>
  <c r="P176" i="6"/>
  <c r="O176" i="6"/>
  <c r="J176" i="6"/>
  <c r="I176" i="6"/>
  <c r="H176" i="6"/>
  <c r="G176" i="6"/>
  <c r="F176" i="6"/>
  <c r="E176" i="6"/>
  <c r="D176" i="6"/>
  <c r="C176" i="6"/>
  <c r="S175" i="6"/>
  <c r="T175" i="6" s="1"/>
  <c r="L175" i="6"/>
  <c r="L174" i="6" s="1"/>
  <c r="K175" i="6"/>
  <c r="M175" i="6" s="1"/>
  <c r="R173" i="6"/>
  <c r="Q173" i="6"/>
  <c r="P173" i="6"/>
  <c r="O173" i="6"/>
  <c r="J173" i="6"/>
  <c r="I173" i="6"/>
  <c r="H173" i="6"/>
  <c r="G173" i="6"/>
  <c r="F173" i="6"/>
  <c r="E173" i="6"/>
  <c r="D173" i="6"/>
  <c r="C173" i="6"/>
  <c r="R172" i="6"/>
  <c r="Q172" i="6"/>
  <c r="P172" i="6"/>
  <c r="O172" i="6"/>
  <c r="J172" i="6"/>
  <c r="I172" i="6"/>
  <c r="H172" i="6"/>
  <c r="G172" i="6"/>
  <c r="F172" i="6"/>
  <c r="E172" i="6"/>
  <c r="D172" i="6"/>
  <c r="C172" i="6"/>
  <c r="R171" i="6"/>
  <c r="Q171" i="6"/>
  <c r="P171" i="6"/>
  <c r="O171" i="6"/>
  <c r="J171" i="6"/>
  <c r="I171" i="6"/>
  <c r="H171" i="6"/>
  <c r="G171" i="6"/>
  <c r="F171" i="6"/>
  <c r="E171" i="6"/>
  <c r="D171" i="6"/>
  <c r="C171" i="6"/>
  <c r="R170" i="6"/>
  <c r="Q170" i="6"/>
  <c r="P170" i="6"/>
  <c r="O170" i="6"/>
  <c r="J170" i="6"/>
  <c r="I170" i="6"/>
  <c r="H170" i="6"/>
  <c r="G170" i="6"/>
  <c r="F170" i="6"/>
  <c r="E170" i="6"/>
  <c r="D170" i="6"/>
  <c r="C170" i="6"/>
  <c r="S169" i="6"/>
  <c r="T169" i="6" s="1"/>
  <c r="L169" i="6"/>
  <c r="N169" i="6" s="1"/>
  <c r="K169" i="6"/>
  <c r="M169" i="6" s="1"/>
  <c r="R167" i="6"/>
  <c r="Q167" i="6"/>
  <c r="P167" i="6"/>
  <c r="O167" i="6"/>
  <c r="J167" i="6"/>
  <c r="I167" i="6"/>
  <c r="H167" i="6"/>
  <c r="G167" i="6"/>
  <c r="F167" i="6"/>
  <c r="E167" i="6"/>
  <c r="D167" i="6"/>
  <c r="C167" i="6"/>
  <c r="R166" i="6"/>
  <c r="Q166" i="6"/>
  <c r="P166" i="6"/>
  <c r="O166" i="6"/>
  <c r="J166" i="6"/>
  <c r="I166" i="6"/>
  <c r="H166" i="6"/>
  <c r="G166" i="6"/>
  <c r="F166" i="6"/>
  <c r="E166" i="6"/>
  <c r="D166" i="6"/>
  <c r="C166" i="6"/>
  <c r="S165" i="6"/>
  <c r="T165" i="6" s="1"/>
  <c r="L165" i="6"/>
  <c r="N165" i="6" s="1"/>
  <c r="K165" i="6"/>
  <c r="M165" i="6" s="1"/>
  <c r="R163" i="6"/>
  <c r="Q163" i="6"/>
  <c r="P163" i="6"/>
  <c r="O163" i="6"/>
  <c r="J163" i="6"/>
  <c r="I163" i="6"/>
  <c r="H163" i="6"/>
  <c r="G163" i="6"/>
  <c r="F163" i="6"/>
  <c r="E163" i="6"/>
  <c r="D163" i="6"/>
  <c r="C163" i="6"/>
  <c r="R162" i="6"/>
  <c r="Q162" i="6"/>
  <c r="P162" i="6"/>
  <c r="O162" i="6"/>
  <c r="J162" i="6"/>
  <c r="I162" i="6"/>
  <c r="H162" i="6"/>
  <c r="G162" i="6"/>
  <c r="F162" i="6"/>
  <c r="E162" i="6"/>
  <c r="D162" i="6"/>
  <c r="C162" i="6"/>
  <c r="R161" i="6"/>
  <c r="Q161" i="6"/>
  <c r="P161" i="6"/>
  <c r="O161" i="6"/>
  <c r="J161" i="6"/>
  <c r="I161" i="6"/>
  <c r="H161" i="6"/>
  <c r="G161" i="6"/>
  <c r="F161" i="6"/>
  <c r="E161" i="6"/>
  <c r="D161" i="6"/>
  <c r="C161" i="6"/>
  <c r="R160" i="6"/>
  <c r="Q160" i="6"/>
  <c r="P160" i="6"/>
  <c r="O160" i="6"/>
  <c r="J160" i="6"/>
  <c r="I160" i="6"/>
  <c r="H160" i="6"/>
  <c r="G160" i="6"/>
  <c r="F160" i="6"/>
  <c r="E160" i="6"/>
  <c r="D160" i="6"/>
  <c r="C160" i="6"/>
  <c r="S159" i="6"/>
  <c r="T159" i="6" s="1"/>
  <c r="L159" i="6"/>
  <c r="N159" i="6" s="1"/>
  <c r="K159" i="6"/>
  <c r="M159" i="6" s="1"/>
  <c r="R157" i="6"/>
  <c r="Q157" i="6"/>
  <c r="P157" i="6"/>
  <c r="O157" i="6"/>
  <c r="J157" i="6"/>
  <c r="I157" i="6"/>
  <c r="H157" i="6"/>
  <c r="G157" i="6"/>
  <c r="F157" i="6"/>
  <c r="E157" i="6"/>
  <c r="D157" i="6"/>
  <c r="C157" i="6"/>
  <c r="R156" i="6"/>
  <c r="Q156" i="6"/>
  <c r="P156" i="6"/>
  <c r="O156" i="6"/>
  <c r="J156" i="6"/>
  <c r="I156" i="6"/>
  <c r="H156" i="6"/>
  <c r="G156" i="6"/>
  <c r="F156" i="6"/>
  <c r="E156" i="6"/>
  <c r="D156" i="6"/>
  <c r="C156" i="6"/>
  <c r="R155" i="6"/>
  <c r="Q155" i="6"/>
  <c r="P155" i="6"/>
  <c r="O155" i="6"/>
  <c r="J155" i="6"/>
  <c r="I155" i="6"/>
  <c r="H155" i="6"/>
  <c r="G155" i="6"/>
  <c r="F155" i="6"/>
  <c r="E155" i="6"/>
  <c r="D155" i="6"/>
  <c r="C155" i="6"/>
  <c r="S154" i="6"/>
  <c r="T154" i="6" s="1"/>
  <c r="L154" i="6"/>
  <c r="N154" i="6" s="1"/>
  <c r="K154" i="6"/>
  <c r="M154" i="6" s="1"/>
  <c r="R152" i="6"/>
  <c r="Q152" i="6"/>
  <c r="P152" i="6"/>
  <c r="O152" i="6"/>
  <c r="J152" i="6"/>
  <c r="I152" i="6"/>
  <c r="H152" i="6"/>
  <c r="G152" i="6"/>
  <c r="F152" i="6"/>
  <c r="E152" i="6"/>
  <c r="D152" i="6"/>
  <c r="C152" i="6"/>
  <c r="R151" i="6"/>
  <c r="Q151" i="6"/>
  <c r="P151" i="6"/>
  <c r="O151" i="6"/>
  <c r="J151" i="6"/>
  <c r="I151" i="6"/>
  <c r="H151" i="6"/>
  <c r="G151" i="6"/>
  <c r="F151" i="6"/>
  <c r="E151" i="6"/>
  <c r="D151" i="6"/>
  <c r="C151" i="6"/>
  <c r="R150" i="6"/>
  <c r="Q150" i="6"/>
  <c r="P150" i="6"/>
  <c r="O150" i="6"/>
  <c r="J150" i="6"/>
  <c r="I150" i="6"/>
  <c r="H150" i="6"/>
  <c r="G150" i="6"/>
  <c r="F150" i="6"/>
  <c r="E150" i="6"/>
  <c r="D150" i="6"/>
  <c r="C150" i="6"/>
  <c r="R149" i="6"/>
  <c r="Q149" i="6"/>
  <c r="P149" i="6"/>
  <c r="O149" i="6"/>
  <c r="J149" i="6"/>
  <c r="I149" i="6"/>
  <c r="H149" i="6"/>
  <c r="G149" i="6"/>
  <c r="F149" i="6"/>
  <c r="E149" i="6"/>
  <c r="D149" i="6"/>
  <c r="C149" i="6"/>
  <c r="S148" i="6"/>
  <c r="T148" i="6" s="1"/>
  <c r="L148" i="6"/>
  <c r="N148" i="6" s="1"/>
  <c r="K148" i="6"/>
  <c r="M148" i="6" s="1"/>
  <c r="R146" i="6"/>
  <c r="Q146" i="6"/>
  <c r="P146" i="6"/>
  <c r="O146" i="6"/>
  <c r="J146" i="6"/>
  <c r="I146" i="6"/>
  <c r="H146" i="6"/>
  <c r="G146" i="6"/>
  <c r="F146" i="6"/>
  <c r="E146" i="6"/>
  <c r="D146" i="6"/>
  <c r="C146" i="6"/>
  <c r="R145" i="6"/>
  <c r="Q145" i="6"/>
  <c r="P145" i="6"/>
  <c r="O145" i="6"/>
  <c r="J145" i="6"/>
  <c r="I145" i="6"/>
  <c r="H145" i="6"/>
  <c r="G145" i="6"/>
  <c r="F145" i="6"/>
  <c r="E145" i="6"/>
  <c r="D145" i="6"/>
  <c r="C145" i="6"/>
  <c r="R144" i="6"/>
  <c r="Q144" i="6"/>
  <c r="P144" i="6"/>
  <c r="O144" i="6"/>
  <c r="J144" i="6"/>
  <c r="I144" i="6"/>
  <c r="H144" i="6"/>
  <c r="G144" i="6"/>
  <c r="F144" i="6"/>
  <c r="E144" i="6"/>
  <c r="D144" i="6"/>
  <c r="C144" i="6"/>
  <c r="R143" i="6"/>
  <c r="Q143" i="6"/>
  <c r="P143" i="6"/>
  <c r="O143" i="6"/>
  <c r="J143" i="6"/>
  <c r="I143" i="6"/>
  <c r="H143" i="6"/>
  <c r="G143" i="6"/>
  <c r="F143" i="6"/>
  <c r="E143" i="6"/>
  <c r="D143" i="6"/>
  <c r="C143" i="6"/>
  <c r="R142" i="6"/>
  <c r="Q142" i="6"/>
  <c r="P142" i="6"/>
  <c r="O142" i="6"/>
  <c r="J142" i="6"/>
  <c r="I142" i="6"/>
  <c r="H142" i="6"/>
  <c r="G142" i="6"/>
  <c r="F142" i="6"/>
  <c r="E142" i="6"/>
  <c r="D142" i="6"/>
  <c r="C142" i="6"/>
  <c r="S141" i="6"/>
  <c r="T141" i="6" s="1"/>
  <c r="L141" i="6"/>
  <c r="N141" i="6" s="1"/>
  <c r="K141" i="6"/>
  <c r="M141" i="6" s="1"/>
  <c r="R139" i="6"/>
  <c r="R137" i="6" s="1"/>
  <c r="Q139" i="6"/>
  <c r="Q137" i="6" s="1"/>
  <c r="P139" i="6"/>
  <c r="P137" i="6" s="1"/>
  <c r="O139" i="6"/>
  <c r="J139" i="6"/>
  <c r="J137" i="6" s="1"/>
  <c r="I139" i="6"/>
  <c r="I137" i="6" s="1"/>
  <c r="H139" i="6"/>
  <c r="H137" i="6" s="1"/>
  <c r="G139" i="6"/>
  <c r="G137" i="6" s="1"/>
  <c r="F139" i="6"/>
  <c r="F137" i="6" s="1"/>
  <c r="E139" i="6"/>
  <c r="E137" i="6" s="1"/>
  <c r="D139" i="6"/>
  <c r="D137" i="6" s="1"/>
  <c r="C139" i="6"/>
  <c r="S138" i="6"/>
  <c r="S137" i="6" s="1"/>
  <c r="L138" i="6"/>
  <c r="N138" i="6" s="1"/>
  <c r="K138" i="6"/>
  <c r="K137" i="6" s="1"/>
  <c r="R136" i="6"/>
  <c r="Q136" i="6"/>
  <c r="P136" i="6"/>
  <c r="O136" i="6"/>
  <c r="J136" i="6"/>
  <c r="I136" i="6"/>
  <c r="H136" i="6"/>
  <c r="G136" i="6"/>
  <c r="F136" i="6"/>
  <c r="E136" i="6"/>
  <c r="D136" i="6"/>
  <c r="C136" i="6"/>
  <c r="R135" i="6"/>
  <c r="Q135" i="6"/>
  <c r="P135" i="6"/>
  <c r="O135" i="6"/>
  <c r="J135" i="6"/>
  <c r="I135" i="6"/>
  <c r="H135" i="6"/>
  <c r="G135" i="6"/>
  <c r="F135" i="6"/>
  <c r="E135" i="6"/>
  <c r="D135" i="6"/>
  <c r="C135" i="6"/>
  <c r="R134" i="6"/>
  <c r="Q134" i="6"/>
  <c r="P134" i="6"/>
  <c r="O134" i="6"/>
  <c r="J134" i="6"/>
  <c r="I134" i="6"/>
  <c r="H134" i="6"/>
  <c r="G134" i="6"/>
  <c r="F134" i="6"/>
  <c r="E134" i="6"/>
  <c r="D134" i="6"/>
  <c r="C134" i="6"/>
  <c r="S133" i="6"/>
  <c r="T133" i="6" s="1"/>
  <c r="L133" i="6"/>
  <c r="N133" i="6" s="1"/>
  <c r="K133" i="6"/>
  <c r="K132" i="6" s="1"/>
  <c r="R131" i="6"/>
  <c r="Q131" i="6"/>
  <c r="P131" i="6"/>
  <c r="O131" i="6"/>
  <c r="J131" i="6"/>
  <c r="I131" i="6"/>
  <c r="H131" i="6"/>
  <c r="G131" i="6"/>
  <c r="F131" i="6"/>
  <c r="E131" i="6"/>
  <c r="D131" i="6"/>
  <c r="C131" i="6"/>
  <c r="R130" i="6"/>
  <c r="Q130" i="6"/>
  <c r="P130" i="6"/>
  <c r="O130" i="6"/>
  <c r="J130" i="6"/>
  <c r="I130" i="6"/>
  <c r="H130" i="6"/>
  <c r="G130" i="6"/>
  <c r="F130" i="6"/>
  <c r="E130" i="6"/>
  <c r="D130" i="6"/>
  <c r="C130" i="6"/>
  <c r="R129" i="6"/>
  <c r="Q129" i="6"/>
  <c r="P129" i="6"/>
  <c r="O129" i="6"/>
  <c r="J129" i="6"/>
  <c r="I129" i="6"/>
  <c r="H129" i="6"/>
  <c r="G129" i="6"/>
  <c r="F129" i="6"/>
  <c r="E129" i="6"/>
  <c r="D129" i="6"/>
  <c r="C129" i="6"/>
  <c r="R128" i="6"/>
  <c r="Q128" i="6"/>
  <c r="P128" i="6"/>
  <c r="O128" i="6"/>
  <c r="J128" i="6"/>
  <c r="I128" i="6"/>
  <c r="H128" i="6"/>
  <c r="G128" i="6"/>
  <c r="F128" i="6"/>
  <c r="E128" i="6"/>
  <c r="D128" i="6"/>
  <c r="C128" i="6"/>
  <c r="R127" i="6"/>
  <c r="Q127" i="6"/>
  <c r="P127" i="6"/>
  <c r="O127" i="6"/>
  <c r="J127" i="6"/>
  <c r="I127" i="6"/>
  <c r="H127" i="6"/>
  <c r="G127" i="6"/>
  <c r="F127" i="6"/>
  <c r="E127" i="6"/>
  <c r="D127" i="6"/>
  <c r="C127" i="6"/>
  <c r="S126" i="6"/>
  <c r="T126" i="6" s="1"/>
  <c r="L126" i="6"/>
  <c r="N126" i="6" s="1"/>
  <c r="K126" i="6"/>
  <c r="M126" i="6" s="1"/>
  <c r="R124" i="6"/>
  <c r="Q124" i="6"/>
  <c r="P124" i="6"/>
  <c r="O124" i="6"/>
  <c r="J124" i="6"/>
  <c r="I124" i="6"/>
  <c r="H124" i="6"/>
  <c r="G124" i="6"/>
  <c r="F124" i="6"/>
  <c r="E124" i="6"/>
  <c r="D124" i="6"/>
  <c r="C124" i="6"/>
  <c r="R123" i="6"/>
  <c r="Q123" i="6"/>
  <c r="P123" i="6"/>
  <c r="O123" i="6"/>
  <c r="J123" i="6"/>
  <c r="I123" i="6"/>
  <c r="H123" i="6"/>
  <c r="G123" i="6"/>
  <c r="F123" i="6"/>
  <c r="E123" i="6"/>
  <c r="D123" i="6"/>
  <c r="C123" i="6"/>
  <c r="S122" i="6"/>
  <c r="T122" i="6" s="1"/>
  <c r="L122" i="6"/>
  <c r="N122" i="6" s="1"/>
  <c r="K122" i="6"/>
  <c r="M122" i="6" s="1"/>
  <c r="R120" i="6"/>
  <c r="Q120" i="6"/>
  <c r="P120" i="6"/>
  <c r="O120" i="6"/>
  <c r="J120" i="6"/>
  <c r="I120" i="6"/>
  <c r="H120" i="6"/>
  <c r="G120" i="6"/>
  <c r="F120" i="6"/>
  <c r="E120" i="6"/>
  <c r="D120" i="6"/>
  <c r="C120" i="6"/>
  <c r="R119" i="6"/>
  <c r="Q119" i="6"/>
  <c r="P119" i="6"/>
  <c r="O119" i="6"/>
  <c r="J119" i="6"/>
  <c r="I119" i="6"/>
  <c r="H119" i="6"/>
  <c r="G119" i="6"/>
  <c r="F119" i="6"/>
  <c r="E119" i="6"/>
  <c r="D119" i="6"/>
  <c r="C119" i="6"/>
  <c r="R118" i="6"/>
  <c r="Q118" i="6"/>
  <c r="P118" i="6"/>
  <c r="O118" i="6"/>
  <c r="J118" i="6"/>
  <c r="I118" i="6"/>
  <c r="H118" i="6"/>
  <c r="G118" i="6"/>
  <c r="F118" i="6"/>
  <c r="E118" i="6"/>
  <c r="D118" i="6"/>
  <c r="C118" i="6"/>
  <c r="R117" i="6"/>
  <c r="Q117" i="6"/>
  <c r="P117" i="6"/>
  <c r="O117" i="6"/>
  <c r="J117" i="6"/>
  <c r="I117" i="6"/>
  <c r="H117" i="6"/>
  <c r="G117" i="6"/>
  <c r="F117" i="6"/>
  <c r="E117" i="6"/>
  <c r="D117" i="6"/>
  <c r="C117" i="6"/>
  <c r="S116" i="6"/>
  <c r="T116" i="6" s="1"/>
  <c r="L116" i="6"/>
  <c r="K116" i="6"/>
  <c r="M116" i="6" s="1"/>
  <c r="R114" i="6"/>
  <c r="Q114" i="6"/>
  <c r="P114" i="6"/>
  <c r="O114" i="6"/>
  <c r="J114" i="6"/>
  <c r="I114" i="6"/>
  <c r="H114" i="6"/>
  <c r="G114" i="6"/>
  <c r="F114" i="6"/>
  <c r="E114" i="6"/>
  <c r="D114" i="6"/>
  <c r="C114" i="6"/>
  <c r="R113" i="6"/>
  <c r="Q113" i="6"/>
  <c r="P113" i="6"/>
  <c r="O113" i="6"/>
  <c r="J113" i="6"/>
  <c r="I113" i="6"/>
  <c r="H113" i="6"/>
  <c r="G113" i="6"/>
  <c r="F113" i="6"/>
  <c r="E113" i="6"/>
  <c r="D113" i="6"/>
  <c r="C113" i="6"/>
  <c r="R112" i="6"/>
  <c r="Q112" i="6"/>
  <c r="P112" i="6"/>
  <c r="O112" i="6"/>
  <c r="J112" i="6"/>
  <c r="I112" i="6"/>
  <c r="H112" i="6"/>
  <c r="G112" i="6"/>
  <c r="F112" i="6"/>
  <c r="E112" i="6"/>
  <c r="D112" i="6"/>
  <c r="C112" i="6"/>
  <c r="R111" i="6"/>
  <c r="Q111" i="6"/>
  <c r="P111" i="6"/>
  <c r="O111" i="6"/>
  <c r="J111" i="6"/>
  <c r="I111" i="6"/>
  <c r="H111" i="6"/>
  <c r="G111" i="6"/>
  <c r="F111" i="6"/>
  <c r="E111" i="6"/>
  <c r="D111" i="6"/>
  <c r="C111" i="6"/>
  <c r="R110" i="6"/>
  <c r="Q110" i="6"/>
  <c r="P110" i="6"/>
  <c r="O110" i="6"/>
  <c r="J110" i="6"/>
  <c r="I110" i="6"/>
  <c r="H110" i="6"/>
  <c r="G110" i="6"/>
  <c r="F110" i="6"/>
  <c r="E110" i="6"/>
  <c r="D110" i="6"/>
  <c r="C110" i="6"/>
  <c r="R109" i="6"/>
  <c r="Q109" i="6"/>
  <c r="P109" i="6"/>
  <c r="O109" i="6"/>
  <c r="J109" i="6"/>
  <c r="I109" i="6"/>
  <c r="H109" i="6"/>
  <c r="G109" i="6"/>
  <c r="F109" i="6"/>
  <c r="E109" i="6"/>
  <c r="D109" i="6"/>
  <c r="C109" i="6"/>
  <c r="S108" i="6"/>
  <c r="T108" i="6" s="1"/>
  <c r="L108" i="6"/>
  <c r="N108" i="6" s="1"/>
  <c r="K108" i="6"/>
  <c r="M108" i="6" s="1"/>
  <c r="R106" i="6"/>
  <c r="Q106" i="6"/>
  <c r="P106" i="6"/>
  <c r="O106" i="6"/>
  <c r="J106" i="6"/>
  <c r="I106" i="6"/>
  <c r="H106" i="6"/>
  <c r="G106" i="6"/>
  <c r="F106" i="6"/>
  <c r="E106" i="6"/>
  <c r="D106" i="6"/>
  <c r="C106" i="6"/>
  <c r="R105" i="6"/>
  <c r="Q105" i="6"/>
  <c r="P105" i="6"/>
  <c r="O105" i="6"/>
  <c r="J105" i="6"/>
  <c r="I105" i="6"/>
  <c r="H105" i="6"/>
  <c r="G105" i="6"/>
  <c r="F105" i="6"/>
  <c r="E105" i="6"/>
  <c r="D105" i="6"/>
  <c r="C105" i="6"/>
  <c r="R104" i="6"/>
  <c r="Q104" i="6"/>
  <c r="P104" i="6"/>
  <c r="O104" i="6"/>
  <c r="J104" i="6"/>
  <c r="I104" i="6"/>
  <c r="H104" i="6"/>
  <c r="G104" i="6"/>
  <c r="F104" i="6"/>
  <c r="E104" i="6"/>
  <c r="D104" i="6"/>
  <c r="C104" i="6"/>
  <c r="R103" i="6"/>
  <c r="Q103" i="6"/>
  <c r="P103" i="6"/>
  <c r="O103" i="6"/>
  <c r="J103" i="6"/>
  <c r="I103" i="6"/>
  <c r="H103" i="6"/>
  <c r="G103" i="6"/>
  <c r="F103" i="6"/>
  <c r="E103" i="6"/>
  <c r="D103" i="6"/>
  <c r="C103" i="6"/>
  <c r="R102" i="6"/>
  <c r="Q102" i="6"/>
  <c r="P102" i="6"/>
  <c r="O102" i="6"/>
  <c r="J102" i="6"/>
  <c r="I102" i="6"/>
  <c r="H102" i="6"/>
  <c r="G102" i="6"/>
  <c r="F102" i="6"/>
  <c r="E102" i="6"/>
  <c r="D102" i="6"/>
  <c r="C102" i="6"/>
  <c r="R101" i="6"/>
  <c r="Q101" i="6"/>
  <c r="P101" i="6"/>
  <c r="O101" i="6"/>
  <c r="J101" i="6"/>
  <c r="I101" i="6"/>
  <c r="H101" i="6"/>
  <c r="G101" i="6"/>
  <c r="F101" i="6"/>
  <c r="E101" i="6"/>
  <c r="D101" i="6"/>
  <c r="C101" i="6"/>
  <c r="S100" i="6"/>
  <c r="T100" i="6" s="1"/>
  <c r="L100" i="6"/>
  <c r="N100" i="6" s="1"/>
  <c r="K100" i="6"/>
  <c r="M100" i="6" s="1"/>
  <c r="R98" i="6"/>
  <c r="Q98" i="6"/>
  <c r="P98" i="6"/>
  <c r="O98" i="6"/>
  <c r="J98" i="6"/>
  <c r="I98" i="6"/>
  <c r="H98" i="6"/>
  <c r="G98" i="6"/>
  <c r="F98" i="6"/>
  <c r="E98" i="6"/>
  <c r="D98" i="6"/>
  <c r="C98" i="6"/>
  <c r="R97" i="6"/>
  <c r="Q97" i="6"/>
  <c r="P97" i="6"/>
  <c r="O97" i="6"/>
  <c r="J97" i="6"/>
  <c r="I97" i="6"/>
  <c r="H97" i="6"/>
  <c r="G97" i="6"/>
  <c r="F97" i="6"/>
  <c r="E97" i="6"/>
  <c r="D97" i="6"/>
  <c r="C97" i="6"/>
  <c r="S96" i="6"/>
  <c r="L96" i="6"/>
  <c r="N96" i="6" s="1"/>
  <c r="K96" i="6"/>
  <c r="M96" i="6" s="1"/>
  <c r="R94" i="6"/>
  <c r="Q94" i="6"/>
  <c r="P94" i="6"/>
  <c r="O94" i="6"/>
  <c r="J94" i="6"/>
  <c r="I94" i="6"/>
  <c r="H94" i="6"/>
  <c r="G94" i="6"/>
  <c r="F94" i="6"/>
  <c r="E94" i="6"/>
  <c r="D94" i="6"/>
  <c r="C94" i="6"/>
  <c r="R93" i="6"/>
  <c r="Q93" i="6"/>
  <c r="P93" i="6"/>
  <c r="O93" i="6"/>
  <c r="J93" i="6"/>
  <c r="I93" i="6"/>
  <c r="H93" i="6"/>
  <c r="G93" i="6"/>
  <c r="F93" i="6"/>
  <c r="E93" i="6"/>
  <c r="D93" i="6"/>
  <c r="C93" i="6"/>
  <c r="R92" i="6"/>
  <c r="Q92" i="6"/>
  <c r="P92" i="6"/>
  <c r="O92" i="6"/>
  <c r="J92" i="6"/>
  <c r="I92" i="6"/>
  <c r="H92" i="6"/>
  <c r="G92" i="6"/>
  <c r="F92" i="6"/>
  <c r="E92" i="6"/>
  <c r="D92" i="6"/>
  <c r="C92" i="6"/>
  <c r="R91" i="6"/>
  <c r="Q91" i="6"/>
  <c r="P91" i="6"/>
  <c r="O91" i="6"/>
  <c r="J91" i="6"/>
  <c r="I91" i="6"/>
  <c r="H91" i="6"/>
  <c r="G91" i="6"/>
  <c r="F91" i="6"/>
  <c r="E91" i="6"/>
  <c r="D91" i="6"/>
  <c r="C91" i="6"/>
  <c r="R90" i="6"/>
  <c r="Q90" i="6"/>
  <c r="P90" i="6"/>
  <c r="O90" i="6"/>
  <c r="J90" i="6"/>
  <c r="I90" i="6"/>
  <c r="H90" i="6"/>
  <c r="G90" i="6"/>
  <c r="F90" i="6"/>
  <c r="E90" i="6"/>
  <c r="D90" i="6"/>
  <c r="C90" i="6"/>
  <c r="S89" i="6"/>
  <c r="T89" i="6" s="1"/>
  <c r="L89" i="6"/>
  <c r="K89" i="6"/>
  <c r="M89" i="6" s="1"/>
  <c r="R87" i="6"/>
  <c r="Q87" i="6"/>
  <c r="P87" i="6"/>
  <c r="O87" i="6"/>
  <c r="J87" i="6"/>
  <c r="I87" i="6"/>
  <c r="H87" i="6"/>
  <c r="G87" i="6"/>
  <c r="F87" i="6"/>
  <c r="E87" i="6"/>
  <c r="D87" i="6"/>
  <c r="C87" i="6"/>
  <c r="R86" i="6"/>
  <c r="Q86" i="6"/>
  <c r="P86" i="6"/>
  <c r="O86" i="6"/>
  <c r="J86" i="6"/>
  <c r="I86" i="6"/>
  <c r="H86" i="6"/>
  <c r="G86" i="6"/>
  <c r="F86" i="6"/>
  <c r="E86" i="6"/>
  <c r="D86" i="6"/>
  <c r="C86" i="6"/>
  <c r="R85" i="6"/>
  <c r="Q85" i="6"/>
  <c r="P85" i="6"/>
  <c r="O85" i="6"/>
  <c r="J85" i="6"/>
  <c r="I85" i="6"/>
  <c r="H85" i="6"/>
  <c r="G85" i="6"/>
  <c r="F85" i="6"/>
  <c r="E85" i="6"/>
  <c r="D85" i="6"/>
  <c r="C85" i="6"/>
  <c r="R84" i="6"/>
  <c r="Q84" i="6"/>
  <c r="P84" i="6"/>
  <c r="O84" i="6"/>
  <c r="J84" i="6"/>
  <c r="I84" i="6"/>
  <c r="H84" i="6"/>
  <c r="G84" i="6"/>
  <c r="F84" i="6"/>
  <c r="E84" i="6"/>
  <c r="D84" i="6"/>
  <c r="C84" i="6"/>
  <c r="R83" i="6"/>
  <c r="Q83" i="6"/>
  <c r="P83" i="6"/>
  <c r="O83" i="6"/>
  <c r="J83" i="6"/>
  <c r="I83" i="6"/>
  <c r="H83" i="6"/>
  <c r="G83" i="6"/>
  <c r="F83" i="6"/>
  <c r="E83" i="6"/>
  <c r="D83" i="6"/>
  <c r="C83" i="6"/>
  <c r="S82" i="6"/>
  <c r="T82" i="6" s="1"/>
  <c r="L82" i="6"/>
  <c r="N82" i="6" s="1"/>
  <c r="K82" i="6"/>
  <c r="M82" i="6" s="1"/>
  <c r="R80" i="6"/>
  <c r="Q80" i="6"/>
  <c r="P80" i="6"/>
  <c r="O80" i="6"/>
  <c r="J80" i="6"/>
  <c r="I80" i="6"/>
  <c r="H80" i="6"/>
  <c r="G80" i="6"/>
  <c r="F80" i="6"/>
  <c r="E80" i="6"/>
  <c r="D80" i="6"/>
  <c r="C80" i="6"/>
  <c r="R79" i="6"/>
  <c r="Q79" i="6"/>
  <c r="P79" i="6"/>
  <c r="O79" i="6"/>
  <c r="J79" i="6"/>
  <c r="I79" i="6"/>
  <c r="H79" i="6"/>
  <c r="G79" i="6"/>
  <c r="F79" i="6"/>
  <c r="E79" i="6"/>
  <c r="D79" i="6"/>
  <c r="C79" i="6"/>
  <c r="R78" i="6"/>
  <c r="Q78" i="6"/>
  <c r="P78" i="6"/>
  <c r="O78" i="6"/>
  <c r="J78" i="6"/>
  <c r="I78" i="6"/>
  <c r="H78" i="6"/>
  <c r="G78" i="6"/>
  <c r="F78" i="6"/>
  <c r="E78" i="6"/>
  <c r="D78" i="6"/>
  <c r="C78" i="6"/>
  <c r="S77" i="6"/>
  <c r="T77" i="6" s="1"/>
  <c r="L77" i="6"/>
  <c r="L76" i="6" s="1"/>
  <c r="K77" i="6"/>
  <c r="K76" i="6" s="1"/>
  <c r="R75" i="6"/>
  <c r="Q75" i="6"/>
  <c r="P75" i="6"/>
  <c r="O75" i="6"/>
  <c r="J75" i="6"/>
  <c r="I75" i="6"/>
  <c r="H75" i="6"/>
  <c r="G75" i="6"/>
  <c r="F75" i="6"/>
  <c r="E75" i="6"/>
  <c r="D75" i="6"/>
  <c r="C75" i="6"/>
  <c r="R74" i="6"/>
  <c r="Q74" i="6"/>
  <c r="P74" i="6"/>
  <c r="O74" i="6"/>
  <c r="J74" i="6"/>
  <c r="I74" i="6"/>
  <c r="H74" i="6"/>
  <c r="G74" i="6"/>
  <c r="F74" i="6"/>
  <c r="E74" i="6"/>
  <c r="D74" i="6"/>
  <c r="C74" i="6"/>
  <c r="R73" i="6"/>
  <c r="Q73" i="6"/>
  <c r="P73" i="6"/>
  <c r="O73" i="6"/>
  <c r="J73" i="6"/>
  <c r="I73" i="6"/>
  <c r="H73" i="6"/>
  <c r="G73" i="6"/>
  <c r="F73" i="6"/>
  <c r="E73" i="6"/>
  <c r="D73" i="6"/>
  <c r="C73" i="6"/>
  <c r="R72" i="6"/>
  <c r="Q72" i="6"/>
  <c r="P72" i="6"/>
  <c r="O72" i="6"/>
  <c r="J72" i="6"/>
  <c r="I72" i="6"/>
  <c r="H72" i="6"/>
  <c r="G72" i="6"/>
  <c r="F72" i="6"/>
  <c r="E72" i="6"/>
  <c r="D72" i="6"/>
  <c r="C72" i="6"/>
  <c r="S71" i="6"/>
  <c r="T71" i="6" s="1"/>
  <c r="L71" i="6"/>
  <c r="N71" i="6" s="1"/>
  <c r="K71" i="6"/>
  <c r="M71" i="6" s="1"/>
  <c r="R69" i="6"/>
  <c r="Q69" i="6"/>
  <c r="P69" i="6"/>
  <c r="O69" i="6"/>
  <c r="J69" i="6"/>
  <c r="I69" i="6"/>
  <c r="H69" i="6"/>
  <c r="G69" i="6"/>
  <c r="F69" i="6"/>
  <c r="E69" i="6"/>
  <c r="D69" i="6"/>
  <c r="C69" i="6"/>
  <c r="R68" i="6"/>
  <c r="Q68" i="6"/>
  <c r="P68" i="6"/>
  <c r="O68" i="6"/>
  <c r="J68" i="6"/>
  <c r="I68" i="6"/>
  <c r="H68" i="6"/>
  <c r="G68" i="6"/>
  <c r="F68" i="6"/>
  <c r="E68" i="6"/>
  <c r="D68" i="6"/>
  <c r="C68" i="6"/>
  <c r="R67" i="6"/>
  <c r="Q67" i="6"/>
  <c r="P67" i="6"/>
  <c r="O67" i="6"/>
  <c r="J67" i="6"/>
  <c r="I67" i="6"/>
  <c r="H67" i="6"/>
  <c r="G67" i="6"/>
  <c r="F67" i="6"/>
  <c r="E67" i="6"/>
  <c r="D67" i="6"/>
  <c r="C67" i="6"/>
  <c r="R66" i="6"/>
  <c r="Q66" i="6"/>
  <c r="P66" i="6"/>
  <c r="O66" i="6"/>
  <c r="J66" i="6"/>
  <c r="I66" i="6"/>
  <c r="H66" i="6"/>
  <c r="G66" i="6"/>
  <c r="F66" i="6"/>
  <c r="E66" i="6"/>
  <c r="D66" i="6"/>
  <c r="C66" i="6"/>
  <c r="S65" i="6"/>
  <c r="T65" i="6" s="1"/>
  <c r="L65" i="6"/>
  <c r="N65" i="6" s="1"/>
  <c r="K65" i="6"/>
  <c r="M65" i="6" s="1"/>
  <c r="R63" i="6"/>
  <c r="Q63" i="6"/>
  <c r="P63" i="6"/>
  <c r="O63" i="6"/>
  <c r="J63" i="6"/>
  <c r="I63" i="6"/>
  <c r="H63" i="6"/>
  <c r="G63" i="6"/>
  <c r="F63" i="6"/>
  <c r="E63" i="6"/>
  <c r="D63" i="6"/>
  <c r="C63" i="6"/>
  <c r="R62" i="6"/>
  <c r="Q62" i="6"/>
  <c r="P62" i="6"/>
  <c r="O62" i="6"/>
  <c r="J62" i="6"/>
  <c r="I62" i="6"/>
  <c r="H62" i="6"/>
  <c r="G62" i="6"/>
  <c r="F62" i="6"/>
  <c r="E62" i="6"/>
  <c r="D62" i="6"/>
  <c r="C62" i="6"/>
  <c r="R61" i="6"/>
  <c r="Q61" i="6"/>
  <c r="P61" i="6"/>
  <c r="O61" i="6"/>
  <c r="J61" i="6"/>
  <c r="I61" i="6"/>
  <c r="H61" i="6"/>
  <c r="G61" i="6"/>
  <c r="F61" i="6"/>
  <c r="E61" i="6"/>
  <c r="D61" i="6"/>
  <c r="C61" i="6"/>
  <c r="R60" i="6"/>
  <c r="Q60" i="6"/>
  <c r="P60" i="6"/>
  <c r="O60" i="6"/>
  <c r="J60" i="6"/>
  <c r="I60" i="6"/>
  <c r="H60" i="6"/>
  <c r="G60" i="6"/>
  <c r="F60" i="6"/>
  <c r="E60" i="6"/>
  <c r="D60" i="6"/>
  <c r="C60" i="6"/>
  <c r="R59" i="6"/>
  <c r="Q59" i="6"/>
  <c r="P59" i="6"/>
  <c r="O59" i="6"/>
  <c r="J59" i="6"/>
  <c r="I59" i="6"/>
  <c r="H59" i="6"/>
  <c r="G59" i="6"/>
  <c r="F59" i="6"/>
  <c r="E59" i="6"/>
  <c r="D59" i="6"/>
  <c r="C59" i="6"/>
  <c r="R58" i="6"/>
  <c r="Q58" i="6"/>
  <c r="P58" i="6"/>
  <c r="O58" i="6"/>
  <c r="J58" i="6"/>
  <c r="I58" i="6"/>
  <c r="H58" i="6"/>
  <c r="G58" i="6"/>
  <c r="F58" i="6"/>
  <c r="E58" i="6"/>
  <c r="D58" i="6"/>
  <c r="C58" i="6"/>
  <c r="S57" i="6"/>
  <c r="T57" i="6" s="1"/>
  <c r="L57" i="6"/>
  <c r="N57" i="6" s="1"/>
  <c r="K57" i="6"/>
  <c r="M57" i="6" s="1"/>
  <c r="R55" i="6"/>
  <c r="Q55" i="6"/>
  <c r="P55" i="6"/>
  <c r="O55" i="6"/>
  <c r="J55" i="6"/>
  <c r="I55" i="6"/>
  <c r="H55" i="6"/>
  <c r="G55" i="6"/>
  <c r="F55" i="6"/>
  <c r="E55" i="6"/>
  <c r="D55" i="6"/>
  <c r="C55" i="6"/>
  <c r="R54" i="6"/>
  <c r="Q54" i="6"/>
  <c r="P54" i="6"/>
  <c r="O54" i="6"/>
  <c r="J54" i="6"/>
  <c r="I54" i="6"/>
  <c r="H54" i="6"/>
  <c r="G54" i="6"/>
  <c r="F54" i="6"/>
  <c r="E54" i="6"/>
  <c r="D54" i="6"/>
  <c r="C54" i="6"/>
  <c r="R53" i="6"/>
  <c r="Q53" i="6"/>
  <c r="P53" i="6"/>
  <c r="O53" i="6"/>
  <c r="J53" i="6"/>
  <c r="I53" i="6"/>
  <c r="H53" i="6"/>
  <c r="G53" i="6"/>
  <c r="F53" i="6"/>
  <c r="E53" i="6"/>
  <c r="D53" i="6"/>
  <c r="C53" i="6"/>
  <c r="S52" i="6"/>
  <c r="T52" i="6" s="1"/>
  <c r="L52" i="6"/>
  <c r="L51" i="6" s="1"/>
  <c r="K52" i="6"/>
  <c r="M52" i="6" s="1"/>
  <c r="R50" i="6"/>
  <c r="R48" i="6" s="1"/>
  <c r="Q50" i="6"/>
  <c r="Q48" i="6" s="1"/>
  <c r="P50" i="6"/>
  <c r="P48" i="6" s="1"/>
  <c r="O50" i="6"/>
  <c r="J50" i="6"/>
  <c r="J48" i="6" s="1"/>
  <c r="I50" i="6"/>
  <c r="I48" i="6" s="1"/>
  <c r="H50" i="6"/>
  <c r="H48" i="6" s="1"/>
  <c r="G50" i="6"/>
  <c r="G48" i="6" s="1"/>
  <c r="F50" i="6"/>
  <c r="F48" i="6" s="1"/>
  <c r="E50" i="6"/>
  <c r="E48" i="6" s="1"/>
  <c r="D50" i="6"/>
  <c r="D48" i="6" s="1"/>
  <c r="C50" i="6"/>
  <c r="S49" i="6"/>
  <c r="T49" i="6" s="1"/>
  <c r="L49" i="6"/>
  <c r="N49" i="6" s="1"/>
  <c r="K49" i="6"/>
  <c r="M49" i="6" s="1"/>
  <c r="R47" i="6"/>
  <c r="Q47" i="6"/>
  <c r="P47" i="6"/>
  <c r="O47" i="6"/>
  <c r="J47" i="6"/>
  <c r="I47" i="6"/>
  <c r="H47" i="6"/>
  <c r="G47" i="6"/>
  <c r="F47" i="6"/>
  <c r="E47" i="6"/>
  <c r="D47" i="6"/>
  <c r="C47" i="6"/>
  <c r="R46" i="6"/>
  <c r="Q46" i="6"/>
  <c r="P46" i="6"/>
  <c r="O46" i="6"/>
  <c r="J46" i="6"/>
  <c r="I46" i="6"/>
  <c r="H46" i="6"/>
  <c r="G46" i="6"/>
  <c r="F46" i="6"/>
  <c r="E46" i="6"/>
  <c r="D46" i="6"/>
  <c r="C46" i="6"/>
  <c r="R45" i="6"/>
  <c r="Q45" i="6"/>
  <c r="P45" i="6"/>
  <c r="O45" i="6"/>
  <c r="J45" i="6"/>
  <c r="I45" i="6"/>
  <c r="H45" i="6"/>
  <c r="G45" i="6"/>
  <c r="F45" i="6"/>
  <c r="E45" i="6"/>
  <c r="D45" i="6"/>
  <c r="C45" i="6"/>
  <c r="R44" i="6"/>
  <c r="Q44" i="6"/>
  <c r="P44" i="6"/>
  <c r="O44" i="6"/>
  <c r="J44" i="6"/>
  <c r="I44" i="6"/>
  <c r="H44" i="6"/>
  <c r="G44" i="6"/>
  <c r="F44" i="6"/>
  <c r="E44" i="6"/>
  <c r="D44" i="6"/>
  <c r="C44" i="6"/>
  <c r="S43" i="6"/>
  <c r="T43" i="6" s="1"/>
  <c r="L43" i="6"/>
  <c r="N43" i="6" s="1"/>
  <c r="K43" i="6"/>
  <c r="M43" i="6" s="1"/>
  <c r="R41" i="6"/>
  <c r="Q41" i="6"/>
  <c r="P41" i="6"/>
  <c r="O41" i="6"/>
  <c r="J41" i="6"/>
  <c r="I41" i="6"/>
  <c r="H41" i="6"/>
  <c r="G41" i="6"/>
  <c r="F41" i="6"/>
  <c r="E41" i="6"/>
  <c r="D41" i="6"/>
  <c r="C41" i="6"/>
  <c r="R40" i="6"/>
  <c r="Q40" i="6"/>
  <c r="P40" i="6"/>
  <c r="O40" i="6"/>
  <c r="J40" i="6"/>
  <c r="I40" i="6"/>
  <c r="H40" i="6"/>
  <c r="G40" i="6"/>
  <c r="F40" i="6"/>
  <c r="E40" i="6"/>
  <c r="D40" i="6"/>
  <c r="C40" i="6"/>
  <c r="R39" i="6"/>
  <c r="Q39" i="6"/>
  <c r="P39" i="6"/>
  <c r="O39" i="6"/>
  <c r="J39" i="6"/>
  <c r="I39" i="6"/>
  <c r="H39" i="6"/>
  <c r="G39" i="6"/>
  <c r="F39" i="6"/>
  <c r="E39" i="6"/>
  <c r="D39" i="6"/>
  <c r="C39" i="6"/>
  <c r="R38" i="6"/>
  <c r="Q38" i="6"/>
  <c r="P38" i="6"/>
  <c r="O38" i="6"/>
  <c r="J38" i="6"/>
  <c r="I38" i="6"/>
  <c r="H38" i="6"/>
  <c r="G38" i="6"/>
  <c r="F38" i="6"/>
  <c r="E38" i="6"/>
  <c r="D38" i="6"/>
  <c r="C38" i="6"/>
  <c r="R37" i="6"/>
  <c r="Q37" i="6"/>
  <c r="P37" i="6"/>
  <c r="O37" i="6"/>
  <c r="J37" i="6"/>
  <c r="I37" i="6"/>
  <c r="H37" i="6"/>
  <c r="G37" i="6"/>
  <c r="F37" i="6"/>
  <c r="E37" i="6"/>
  <c r="D37" i="6"/>
  <c r="C37" i="6"/>
  <c r="R36" i="6"/>
  <c r="Q36" i="6"/>
  <c r="P36" i="6"/>
  <c r="O36" i="6"/>
  <c r="J36" i="6"/>
  <c r="I36" i="6"/>
  <c r="H36" i="6"/>
  <c r="G36" i="6"/>
  <c r="F36" i="6"/>
  <c r="E36" i="6"/>
  <c r="D36" i="6"/>
  <c r="C36" i="6"/>
  <c r="R35" i="6"/>
  <c r="Q35" i="6"/>
  <c r="P35" i="6"/>
  <c r="O35" i="6"/>
  <c r="J35" i="6"/>
  <c r="I35" i="6"/>
  <c r="H35" i="6"/>
  <c r="G35" i="6"/>
  <c r="F35" i="6"/>
  <c r="E35" i="6"/>
  <c r="D35" i="6"/>
  <c r="C35" i="6"/>
  <c r="S34" i="6"/>
  <c r="T34" i="6" s="1"/>
  <c r="L34" i="6"/>
  <c r="N34" i="6" s="1"/>
  <c r="K34" i="6"/>
  <c r="M34" i="6" s="1"/>
  <c r="R32" i="6"/>
  <c r="Q32" i="6"/>
  <c r="P32" i="6"/>
  <c r="O32" i="6"/>
  <c r="J32" i="6"/>
  <c r="I32" i="6"/>
  <c r="H32" i="6"/>
  <c r="G32" i="6"/>
  <c r="F32" i="6"/>
  <c r="E32" i="6"/>
  <c r="D32" i="6"/>
  <c r="C32" i="6"/>
  <c r="R31" i="6"/>
  <c r="Q31" i="6"/>
  <c r="P31" i="6"/>
  <c r="O31" i="6"/>
  <c r="J31" i="6"/>
  <c r="I31" i="6"/>
  <c r="H31" i="6"/>
  <c r="G31" i="6"/>
  <c r="F31" i="6"/>
  <c r="E31" i="6"/>
  <c r="D31" i="6"/>
  <c r="C31" i="6"/>
  <c r="R30" i="6"/>
  <c r="Q30" i="6"/>
  <c r="P30" i="6"/>
  <c r="O30" i="6"/>
  <c r="J30" i="6"/>
  <c r="I30" i="6"/>
  <c r="H30" i="6"/>
  <c r="G30" i="6"/>
  <c r="F30" i="6"/>
  <c r="E30" i="6"/>
  <c r="D30" i="6"/>
  <c r="C30" i="6"/>
  <c r="R29" i="6"/>
  <c r="Q29" i="6"/>
  <c r="P29" i="6"/>
  <c r="O29" i="6"/>
  <c r="J29" i="6"/>
  <c r="I29" i="6"/>
  <c r="H29" i="6"/>
  <c r="G29" i="6"/>
  <c r="F29" i="6"/>
  <c r="E29" i="6"/>
  <c r="D29" i="6"/>
  <c r="C29" i="6"/>
  <c r="S28" i="6"/>
  <c r="T28" i="6" s="1"/>
  <c r="L28" i="6"/>
  <c r="N28" i="6" s="1"/>
  <c r="K28" i="6"/>
  <c r="M28" i="6" s="1"/>
  <c r="R26" i="6"/>
  <c r="Q26" i="6"/>
  <c r="P26" i="6"/>
  <c r="O26" i="6"/>
  <c r="J26" i="6"/>
  <c r="I26" i="6"/>
  <c r="H26" i="6"/>
  <c r="G26" i="6"/>
  <c r="F26" i="6"/>
  <c r="E26" i="6"/>
  <c r="D26" i="6"/>
  <c r="C26" i="6"/>
  <c r="R25" i="6"/>
  <c r="Q25" i="6"/>
  <c r="P25" i="6"/>
  <c r="O25" i="6"/>
  <c r="J25" i="6"/>
  <c r="I25" i="6"/>
  <c r="H25" i="6"/>
  <c r="G25" i="6"/>
  <c r="F25" i="6"/>
  <c r="E25" i="6"/>
  <c r="D25" i="6"/>
  <c r="C25" i="6"/>
  <c r="R24" i="6"/>
  <c r="Q24" i="6"/>
  <c r="P24" i="6"/>
  <c r="O24" i="6"/>
  <c r="J24" i="6"/>
  <c r="I24" i="6"/>
  <c r="H24" i="6"/>
  <c r="G24" i="6"/>
  <c r="F24" i="6"/>
  <c r="E24" i="6"/>
  <c r="D24" i="6"/>
  <c r="C24" i="6"/>
  <c r="R23" i="6"/>
  <c r="Q23" i="6"/>
  <c r="P23" i="6"/>
  <c r="O23" i="6"/>
  <c r="J23" i="6"/>
  <c r="I23" i="6"/>
  <c r="H23" i="6"/>
  <c r="G23" i="6"/>
  <c r="F23" i="6"/>
  <c r="E23" i="6"/>
  <c r="D23" i="6"/>
  <c r="C23" i="6"/>
  <c r="S22" i="6"/>
  <c r="L22" i="6"/>
  <c r="K22" i="6"/>
  <c r="M22" i="6" s="1"/>
  <c r="R20" i="6"/>
  <c r="Q20" i="6"/>
  <c r="P20" i="6"/>
  <c r="O20" i="6"/>
  <c r="J20" i="6"/>
  <c r="I20" i="6"/>
  <c r="H20" i="6"/>
  <c r="G20" i="6"/>
  <c r="F20" i="6"/>
  <c r="E20" i="6"/>
  <c r="D20" i="6"/>
  <c r="C20" i="6"/>
  <c r="R19" i="6"/>
  <c r="Q19" i="6"/>
  <c r="P19" i="6"/>
  <c r="O19" i="6"/>
  <c r="J19" i="6"/>
  <c r="I19" i="6"/>
  <c r="H19" i="6"/>
  <c r="G19" i="6"/>
  <c r="F19" i="6"/>
  <c r="E19" i="6"/>
  <c r="D19" i="6"/>
  <c r="C19" i="6"/>
  <c r="R18" i="6"/>
  <c r="Q18" i="6"/>
  <c r="P18" i="6"/>
  <c r="O18" i="6"/>
  <c r="J18" i="6"/>
  <c r="I18" i="6"/>
  <c r="H18" i="6"/>
  <c r="G18" i="6"/>
  <c r="F18" i="6"/>
  <c r="E18" i="6"/>
  <c r="D18" i="6"/>
  <c r="C18" i="6"/>
  <c r="R17" i="6"/>
  <c r="Q17" i="6"/>
  <c r="P17" i="6"/>
  <c r="O17" i="6"/>
  <c r="J17" i="6"/>
  <c r="I17" i="6"/>
  <c r="H17" i="6"/>
  <c r="G17" i="6"/>
  <c r="F17" i="6"/>
  <c r="E17" i="6"/>
  <c r="D17" i="6"/>
  <c r="C17" i="6"/>
  <c r="S16" i="6"/>
  <c r="T16" i="6" s="1"/>
  <c r="L16" i="6"/>
  <c r="N16" i="6" s="1"/>
  <c r="K16" i="6"/>
  <c r="M16" i="6" s="1"/>
  <c r="R14" i="6"/>
  <c r="Q14" i="6"/>
  <c r="P14" i="6"/>
  <c r="O14" i="6"/>
  <c r="J14" i="6"/>
  <c r="I14" i="6"/>
  <c r="H14" i="6"/>
  <c r="G14" i="6"/>
  <c r="F14" i="6"/>
  <c r="E14" i="6"/>
  <c r="D14" i="6"/>
  <c r="C14" i="6"/>
  <c r="R13" i="6"/>
  <c r="Q13" i="6"/>
  <c r="P13" i="6"/>
  <c r="O13" i="6"/>
  <c r="J13" i="6"/>
  <c r="I13" i="6"/>
  <c r="H13" i="6"/>
  <c r="G13" i="6"/>
  <c r="F13" i="6"/>
  <c r="E13" i="6"/>
  <c r="D13" i="6"/>
  <c r="C13" i="6"/>
  <c r="R12" i="6"/>
  <c r="Q12" i="6"/>
  <c r="P12" i="6"/>
  <c r="O12" i="6"/>
  <c r="J12" i="6"/>
  <c r="I12" i="6"/>
  <c r="H12" i="6"/>
  <c r="G12" i="6"/>
  <c r="F12" i="6"/>
  <c r="E12" i="6"/>
  <c r="D12" i="6"/>
  <c r="C12" i="6"/>
  <c r="R11" i="6"/>
  <c r="Q11" i="6"/>
  <c r="P11" i="6"/>
  <c r="O11" i="6"/>
  <c r="J11" i="6"/>
  <c r="I11" i="6"/>
  <c r="H11" i="6"/>
  <c r="G11" i="6"/>
  <c r="F11" i="6"/>
  <c r="E11" i="6"/>
  <c r="D11" i="6"/>
  <c r="C11" i="6"/>
  <c r="R10" i="6"/>
  <c r="Q10" i="6"/>
  <c r="P10" i="6"/>
  <c r="O10" i="6"/>
  <c r="J10" i="6"/>
  <c r="I10" i="6"/>
  <c r="H10" i="6"/>
  <c r="G10" i="6"/>
  <c r="F10" i="6"/>
  <c r="E10" i="6"/>
  <c r="D10" i="6"/>
  <c r="C10" i="6"/>
  <c r="R9" i="6"/>
  <c r="Q9" i="6"/>
  <c r="P9" i="6"/>
  <c r="O9" i="6"/>
  <c r="J9" i="6"/>
  <c r="I9" i="6"/>
  <c r="H9" i="6"/>
  <c r="G9" i="6"/>
  <c r="F9" i="6"/>
  <c r="E9" i="6"/>
  <c r="D9" i="6"/>
  <c r="C9" i="6"/>
  <c r="S8" i="6"/>
  <c r="T8" i="6" s="1"/>
  <c r="L8" i="6"/>
  <c r="N8" i="6" s="1"/>
  <c r="K8" i="6"/>
  <c r="M8" i="6" s="1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O12" i="3"/>
  <c r="N12" i="3"/>
  <c r="M12" i="3"/>
  <c r="L12" i="3"/>
  <c r="K12" i="3"/>
  <c r="H12" i="3"/>
  <c r="G12" i="3"/>
  <c r="F12" i="3"/>
  <c r="D12" i="3"/>
  <c r="C12" i="3"/>
  <c r="B12" i="3"/>
  <c r="O11" i="3"/>
  <c r="N11" i="3"/>
  <c r="M11" i="3"/>
  <c r="L11" i="3"/>
  <c r="K11" i="3"/>
  <c r="H11" i="3"/>
  <c r="G11" i="3"/>
  <c r="F11" i="3"/>
  <c r="D11" i="3"/>
  <c r="C11" i="3"/>
  <c r="B11" i="3"/>
  <c r="O10" i="3"/>
  <c r="N10" i="3"/>
  <c r="M10" i="3"/>
  <c r="L10" i="3"/>
  <c r="K10" i="3"/>
  <c r="H10" i="3"/>
  <c r="G10" i="3"/>
  <c r="F10" i="3"/>
  <c r="D10" i="3"/>
  <c r="C10" i="3"/>
  <c r="B10" i="3"/>
  <c r="O9" i="3"/>
  <c r="N9" i="3"/>
  <c r="M9" i="3"/>
  <c r="L9" i="3"/>
  <c r="K9" i="3"/>
  <c r="H9" i="3"/>
  <c r="G9" i="3"/>
  <c r="F9" i="3"/>
  <c r="D9" i="3"/>
  <c r="C9" i="3"/>
  <c r="B9" i="3"/>
  <c r="O8" i="3"/>
  <c r="N8" i="3"/>
  <c r="M8" i="3"/>
  <c r="L8" i="3"/>
  <c r="K8" i="3"/>
  <c r="H8" i="3"/>
  <c r="G8" i="3"/>
  <c r="F8" i="3"/>
  <c r="D8" i="3"/>
  <c r="C8" i="3"/>
  <c r="B8" i="3"/>
  <c r="L76" i="16"/>
  <c r="F72" i="5" l="1"/>
  <c r="M21" i="16"/>
  <c r="F87" i="16"/>
  <c r="J33" i="16"/>
  <c r="F16" i="16"/>
  <c r="G39" i="16"/>
  <c r="H9" i="5"/>
  <c r="L34" i="17"/>
  <c r="M52" i="16"/>
  <c r="R11" i="5"/>
  <c r="H66" i="17"/>
  <c r="E61" i="16"/>
  <c r="Q17" i="5"/>
  <c r="F65" i="16"/>
  <c r="J34" i="5"/>
  <c r="G66" i="16"/>
  <c r="H62" i="5"/>
  <c r="G15" i="17"/>
  <c r="L98" i="17"/>
  <c r="J71" i="16"/>
  <c r="J65" i="5"/>
  <c r="J82" i="16"/>
  <c r="J81" i="5"/>
  <c r="M90" i="16"/>
  <c r="E92" i="5"/>
  <c r="S69" i="17"/>
  <c r="J95" i="16"/>
  <c r="I93" i="5"/>
  <c r="G17" i="17"/>
  <c r="L98" i="16"/>
  <c r="R9" i="17"/>
  <c r="L39" i="17"/>
  <c r="K62" i="17"/>
  <c r="F81" i="17"/>
  <c r="Q72" i="17"/>
  <c r="K92" i="17"/>
  <c r="E8" i="16"/>
  <c r="L10" i="16"/>
  <c r="I17" i="5"/>
  <c r="E62" i="5"/>
  <c r="I69" i="5"/>
  <c r="E91" i="5"/>
  <c r="H63" i="17"/>
  <c r="R76" i="17"/>
  <c r="H83" i="17"/>
  <c r="S93" i="17"/>
  <c r="J14" i="16"/>
  <c r="D33" i="16"/>
  <c r="D46" i="16"/>
  <c r="L63" i="16"/>
  <c r="D70" i="16"/>
  <c r="J86" i="16"/>
  <c r="K92" i="16"/>
  <c r="J17" i="5"/>
  <c r="F62" i="5"/>
  <c r="J69" i="5"/>
  <c r="F91" i="5"/>
  <c r="K9" i="17"/>
  <c r="Q63" i="17"/>
  <c r="Q83" i="17"/>
  <c r="D16" i="16"/>
  <c r="F33" i="16"/>
  <c r="J46" i="16"/>
  <c r="L64" i="16"/>
  <c r="J70" i="16"/>
  <c r="L86" i="16"/>
  <c r="D95" i="16"/>
  <c r="G9" i="5"/>
  <c r="P17" i="5"/>
  <c r="G62" i="5"/>
  <c r="E72" i="5"/>
  <c r="P91" i="5"/>
  <c r="Q9" i="17"/>
  <c r="E16" i="16"/>
  <c r="G33" i="16"/>
  <c r="F49" i="16"/>
  <c r="D65" i="16"/>
  <c r="D71" i="16"/>
  <c r="M86" i="16"/>
  <c r="E95" i="16"/>
  <c r="I9" i="5"/>
  <c r="R17" i="5"/>
  <c r="P62" i="5"/>
  <c r="P72" i="5"/>
  <c r="F92" i="5"/>
  <c r="H15" i="17"/>
  <c r="S39" i="17"/>
  <c r="L64" i="17"/>
  <c r="F91" i="17"/>
  <c r="J8" i="16"/>
  <c r="G16" i="16"/>
  <c r="L33" i="16"/>
  <c r="G54" i="16"/>
  <c r="G65" i="16"/>
  <c r="D75" i="16"/>
  <c r="J87" i="16"/>
  <c r="K95" i="16"/>
  <c r="R288" i="19"/>
  <c r="J9" i="5"/>
  <c r="G26" i="5"/>
  <c r="R62" i="5"/>
  <c r="Q76" i="5"/>
  <c r="G92" i="5"/>
  <c r="Q15" i="17"/>
  <c r="H91" i="17"/>
  <c r="G96" i="17"/>
  <c r="K8" i="16"/>
  <c r="J16" i="16"/>
  <c r="M33" i="16"/>
  <c r="J54" i="16"/>
  <c r="J65" i="16"/>
  <c r="E75" i="16"/>
  <c r="L87" i="16"/>
  <c r="M95" i="16"/>
  <c r="P9" i="5"/>
  <c r="H26" i="5"/>
  <c r="E63" i="5"/>
  <c r="E81" i="5"/>
  <c r="H92" i="5"/>
  <c r="Q91" i="17"/>
  <c r="Q96" i="17"/>
  <c r="J9" i="16"/>
  <c r="L16" i="16"/>
  <c r="D35" i="16"/>
  <c r="F58" i="16"/>
  <c r="L65" i="16"/>
  <c r="J75" i="16"/>
  <c r="G89" i="16"/>
  <c r="F97" i="16"/>
  <c r="Q9" i="5"/>
  <c r="Q26" i="5"/>
  <c r="I64" i="5"/>
  <c r="F81" i="5"/>
  <c r="I92" i="5"/>
  <c r="G40" i="17"/>
  <c r="D10" i="16"/>
  <c r="M16" i="16"/>
  <c r="J35" i="16"/>
  <c r="J58" i="16"/>
  <c r="M65" i="16"/>
  <c r="K75" i="16"/>
  <c r="K89" i="16"/>
  <c r="G97" i="16"/>
  <c r="R9" i="5"/>
  <c r="I27" i="5"/>
  <c r="J64" i="5"/>
  <c r="G81" i="5"/>
  <c r="J92" i="5"/>
  <c r="L11" i="17"/>
  <c r="Q40" i="17"/>
  <c r="F62" i="17"/>
  <c r="F72" i="17"/>
  <c r="G86" i="17"/>
  <c r="F10" i="16"/>
  <c r="F20" i="16"/>
  <c r="F38" i="16"/>
  <c r="D59" i="16"/>
  <c r="D66" i="16"/>
  <c r="D80" i="16"/>
  <c r="M89" i="16"/>
  <c r="L97" i="16"/>
  <c r="I11" i="5"/>
  <c r="E34" i="5"/>
  <c r="R64" i="5"/>
  <c r="H81" i="5"/>
  <c r="R92" i="5"/>
  <c r="S11" i="17"/>
  <c r="S40" i="17"/>
  <c r="G62" i="17"/>
  <c r="F66" i="17"/>
  <c r="G72" i="17"/>
  <c r="H86" i="17"/>
  <c r="H92" i="17"/>
  <c r="G10" i="16"/>
  <c r="L20" i="16"/>
  <c r="L38" i="16"/>
  <c r="J59" i="16"/>
  <c r="E66" i="16"/>
  <c r="F80" i="16"/>
  <c r="D90" i="16"/>
  <c r="M97" i="16"/>
  <c r="J11" i="5"/>
  <c r="I34" i="5"/>
  <c r="I65" i="5"/>
  <c r="I81" i="5"/>
  <c r="F93" i="5"/>
  <c r="F17" i="17"/>
  <c r="G34" i="17"/>
  <c r="J62" i="17"/>
  <c r="G66" i="17"/>
  <c r="H72" i="17"/>
  <c r="Q86" i="17"/>
  <c r="J92" i="17"/>
  <c r="J10" i="16"/>
  <c r="G21" i="16"/>
  <c r="M38" i="16"/>
  <c r="D61" i="16"/>
  <c r="F66" i="16"/>
  <c r="J80" i="16"/>
  <c r="G90" i="16"/>
  <c r="F98" i="16"/>
  <c r="E12" i="5"/>
  <c r="I39" i="5"/>
  <c r="R65" i="5"/>
  <c r="P81" i="5"/>
  <c r="R93" i="5"/>
  <c r="F12" i="17"/>
  <c r="H17" i="17"/>
  <c r="Q34" i="17"/>
  <c r="L62" i="17"/>
  <c r="Q66" i="17"/>
  <c r="G81" i="17"/>
  <c r="R92" i="17"/>
  <c r="S98" i="17"/>
  <c r="D11" i="16"/>
  <c r="E25" i="16"/>
  <c r="J39" i="16"/>
  <c r="F61" i="16"/>
  <c r="J66" i="16"/>
  <c r="F84" i="16"/>
  <c r="D91" i="16"/>
  <c r="G99" i="16"/>
  <c r="F12" i="5"/>
  <c r="J39" i="5"/>
  <c r="E66" i="5"/>
  <c r="Q81" i="5"/>
  <c r="E96" i="5"/>
  <c r="G12" i="17"/>
  <c r="I17" i="17"/>
  <c r="J26" i="17"/>
  <c r="Q62" i="17"/>
  <c r="I81" i="17"/>
  <c r="S87" i="17"/>
  <c r="S92" i="17"/>
  <c r="F11" i="16"/>
  <c r="L26" i="16"/>
  <c r="L39" i="16"/>
  <c r="G61" i="16"/>
  <c r="M66" i="16"/>
  <c r="L84" i="16"/>
  <c r="E91" i="16"/>
  <c r="M103" i="16"/>
  <c r="P12" i="5"/>
  <c r="R39" i="5"/>
  <c r="F66" i="5"/>
  <c r="F83" i="5"/>
  <c r="F96" i="5"/>
  <c r="H12" i="17"/>
  <c r="J17" i="17"/>
  <c r="R26" i="17"/>
  <c r="R62" i="17"/>
  <c r="J81" i="17"/>
  <c r="J11" i="16"/>
  <c r="L27" i="16"/>
  <c r="D40" i="16"/>
  <c r="J61" i="16"/>
  <c r="M67" i="16"/>
  <c r="D85" i="16"/>
  <c r="F91" i="16"/>
  <c r="E15" i="5"/>
  <c r="E40" i="5"/>
  <c r="P66" i="5"/>
  <c r="E86" i="5"/>
  <c r="P96" i="5"/>
  <c r="L12" i="17"/>
  <c r="Q17" i="17"/>
  <c r="S62" i="17"/>
  <c r="F67" i="17"/>
  <c r="Q81" i="17"/>
  <c r="S99" i="17"/>
  <c r="L11" i="16"/>
  <c r="D30" i="16"/>
  <c r="F40" i="16"/>
  <c r="K61" i="16"/>
  <c r="D68" i="16"/>
  <c r="G85" i="16"/>
  <c r="G91" i="16"/>
  <c r="F15" i="5"/>
  <c r="F40" i="5"/>
  <c r="E67" i="5"/>
  <c r="F86" i="5"/>
  <c r="I98" i="5"/>
  <c r="Q12" i="17"/>
  <c r="S17" i="17"/>
  <c r="G67" i="17"/>
  <c r="S81" i="17"/>
  <c r="F88" i="17"/>
  <c r="F93" i="17"/>
  <c r="D13" i="16"/>
  <c r="G31" i="16"/>
  <c r="J40" i="16"/>
  <c r="L61" i="16"/>
  <c r="J68" i="16"/>
  <c r="J85" i="16"/>
  <c r="J91" i="16"/>
  <c r="F17" i="5"/>
  <c r="J40" i="5"/>
  <c r="F67" i="5"/>
  <c r="E88" i="5"/>
  <c r="J98" i="5"/>
  <c r="S27" i="17"/>
  <c r="H67" i="17"/>
  <c r="Q88" i="17"/>
  <c r="G93" i="17"/>
  <c r="G13" i="16"/>
  <c r="L31" i="16"/>
  <c r="L40" i="16"/>
  <c r="M61" i="16"/>
  <c r="K68" i="16"/>
  <c r="M85" i="16"/>
  <c r="K91" i="16"/>
  <c r="G17" i="5"/>
  <c r="P40" i="5"/>
  <c r="I67" i="5"/>
  <c r="F88" i="5"/>
  <c r="R98" i="5"/>
  <c r="F63" i="17"/>
  <c r="L67" i="17"/>
  <c r="H93" i="17"/>
  <c r="D14" i="16"/>
  <c r="M31" i="16"/>
  <c r="G43" i="16"/>
  <c r="J62" i="16"/>
  <c r="L68" i="16"/>
  <c r="F86" i="16"/>
  <c r="D92" i="16"/>
  <c r="H17" i="5"/>
  <c r="R40" i="5"/>
  <c r="R67" i="5"/>
  <c r="P88" i="5"/>
  <c r="R99" i="5"/>
  <c r="G63" i="17"/>
  <c r="G83" i="17"/>
  <c r="Q93" i="17"/>
  <c r="G14" i="16"/>
  <c r="G32" i="16"/>
  <c r="M43" i="16"/>
  <c r="F63" i="16"/>
  <c r="M68" i="16"/>
  <c r="G86" i="16"/>
  <c r="G92" i="16"/>
  <c r="H9" i="17"/>
  <c r="F9" i="17"/>
  <c r="G9" i="17"/>
  <c r="I12" i="5"/>
  <c r="J27" i="5"/>
  <c r="I62" i="5"/>
  <c r="J67" i="5"/>
  <c r="R81" i="5"/>
  <c r="P92" i="5"/>
  <c r="I9" i="17"/>
  <c r="S12" i="17"/>
  <c r="K17" i="17"/>
  <c r="Q67" i="17"/>
  <c r="K81" i="17"/>
  <c r="F92" i="17"/>
  <c r="J13" i="16"/>
  <c r="K25" i="16"/>
  <c r="D37" i="16"/>
  <c r="L49" i="16"/>
  <c r="D62" i="16"/>
  <c r="K66" i="16"/>
  <c r="G76" i="16"/>
  <c r="D87" i="16"/>
  <c r="L91" i="16"/>
  <c r="F102" i="16"/>
  <c r="J12" i="5"/>
  <c r="R27" i="5"/>
  <c r="J62" i="5"/>
  <c r="P67" i="5"/>
  <c r="E83" i="5"/>
  <c r="Q92" i="5"/>
  <c r="J9" i="17"/>
  <c r="L17" i="17"/>
  <c r="I26" i="17"/>
  <c r="F34" i="17"/>
  <c r="F40" i="17"/>
  <c r="S67" i="17"/>
  <c r="L81" i="17"/>
  <c r="G92" i="17"/>
  <c r="F96" i="17"/>
  <c r="D8" i="16"/>
  <c r="M13" i="16"/>
  <c r="F26" i="16"/>
  <c r="J37" i="16"/>
  <c r="G52" i="16"/>
  <c r="G62" i="16"/>
  <c r="L66" i="16"/>
  <c r="M76" i="16"/>
  <c r="E87" i="16"/>
  <c r="M91" i="16"/>
  <c r="L102" i="16"/>
  <c r="R12" i="5"/>
  <c r="F34" i="5"/>
  <c r="Q62" i="5"/>
  <c r="H69" i="5"/>
  <c r="P83" i="5"/>
  <c r="E93" i="5"/>
  <c r="L9" i="17"/>
  <c r="R17" i="17"/>
  <c r="K26" i="17"/>
  <c r="H34" i="17"/>
  <c r="H40" i="17"/>
  <c r="S64" i="17"/>
  <c r="R81" i="17"/>
  <c r="I92" i="17"/>
  <c r="H96" i="17"/>
  <c r="F8" i="16"/>
  <c r="F14" i="16"/>
  <c r="F27" i="16"/>
  <c r="G38" i="16"/>
  <c r="D54" i="16"/>
  <c r="M62" i="16"/>
  <c r="G67" i="16"/>
  <c r="E80" i="16"/>
  <c r="G87" i="16"/>
  <c r="F92" i="16"/>
  <c r="E9" i="5"/>
  <c r="P15" i="5"/>
  <c r="P34" i="5"/>
  <c r="F63" i="5"/>
  <c r="Q69" i="5"/>
  <c r="P86" i="5"/>
  <c r="J93" i="5"/>
  <c r="S9" i="17"/>
  <c r="S34" i="17"/>
  <c r="H62" i="17"/>
  <c r="L65" i="17"/>
  <c r="L69" i="17"/>
  <c r="G88" i="17"/>
  <c r="L92" i="17"/>
  <c r="L8" i="16"/>
  <c r="L14" i="16"/>
  <c r="J30" i="16"/>
  <c r="D39" i="16"/>
  <c r="M54" i="16"/>
  <c r="F64" i="16"/>
  <c r="E68" i="16"/>
  <c r="K80" i="16"/>
  <c r="M87" i="16"/>
  <c r="L92" i="16"/>
  <c r="F9" i="5"/>
  <c r="E17" i="5"/>
  <c r="R34" i="5"/>
  <c r="P63" i="5"/>
  <c r="R69" i="5"/>
  <c r="R87" i="5"/>
  <c r="P93" i="5"/>
  <c r="F15" i="17"/>
  <c r="L27" i="17"/>
  <c r="I62" i="17"/>
  <c r="S65" i="17"/>
  <c r="R69" i="17"/>
  <c r="F83" i="17"/>
  <c r="H88" i="17"/>
  <c r="Q92" i="17"/>
  <c r="D9" i="16"/>
  <c r="M14" i="16"/>
  <c r="F31" i="16"/>
  <c r="F39" i="16"/>
  <c r="D58" i="16"/>
  <c r="G64" i="16"/>
  <c r="F68" i="16"/>
  <c r="D82" i="16"/>
  <c r="E89" i="16"/>
  <c r="M92" i="16"/>
  <c r="I40" i="5"/>
  <c r="L40" i="17"/>
  <c r="I187" i="6"/>
  <c r="E255" i="6"/>
  <c r="G121" i="6"/>
  <c r="I121" i="6"/>
  <c r="P276" i="19"/>
  <c r="F187" i="6"/>
  <c r="R276" i="6"/>
  <c r="Q95" i="19"/>
  <c r="I280" i="19"/>
  <c r="E255" i="19"/>
  <c r="H270" i="19"/>
  <c r="P219" i="19"/>
  <c r="F255" i="19"/>
  <c r="O208" i="19"/>
  <c r="I259" i="19"/>
  <c r="Q164" i="19"/>
  <c r="O232" i="19"/>
  <c r="O276" i="19"/>
  <c r="Q51" i="19"/>
  <c r="C270" i="19"/>
  <c r="H153" i="6"/>
  <c r="I158" i="6"/>
  <c r="H197" i="6"/>
  <c r="H219" i="6"/>
  <c r="R232" i="6"/>
  <c r="P288" i="6"/>
  <c r="G33" i="19"/>
  <c r="E121" i="19"/>
  <c r="G153" i="19"/>
  <c r="Q232" i="19"/>
  <c r="R237" i="19"/>
  <c r="D248" i="19"/>
  <c r="R259" i="19"/>
  <c r="H99" i="19"/>
  <c r="G121" i="19"/>
  <c r="Q288" i="19"/>
  <c r="R293" i="19"/>
  <c r="P33" i="19"/>
  <c r="E42" i="19"/>
  <c r="D164" i="6"/>
  <c r="O121" i="19"/>
  <c r="Q153" i="19"/>
  <c r="O164" i="19"/>
  <c r="E174" i="19"/>
  <c r="O187" i="19"/>
  <c r="Q197" i="19"/>
  <c r="D213" i="19"/>
  <c r="Q219" i="19"/>
  <c r="J248" i="19"/>
  <c r="G255" i="19"/>
  <c r="I265" i="19"/>
  <c r="G64" i="19"/>
  <c r="P121" i="19"/>
  <c r="H140" i="19"/>
  <c r="E147" i="19"/>
  <c r="F174" i="19"/>
  <c r="P187" i="19"/>
  <c r="C203" i="19"/>
  <c r="O270" i="19"/>
  <c r="H81" i="17"/>
  <c r="F86" i="17"/>
  <c r="G91" i="17"/>
  <c r="L93" i="17"/>
  <c r="M10" i="16"/>
  <c r="K16" i="16"/>
  <c r="M32" i="16"/>
  <c r="M39" i="16"/>
  <c r="L58" i="16"/>
  <c r="M64" i="16"/>
  <c r="G68" i="16"/>
  <c r="L80" i="16"/>
  <c r="K87" i="16"/>
  <c r="E92" i="16"/>
  <c r="M99" i="16"/>
  <c r="C56" i="19"/>
  <c r="G56" i="19"/>
  <c r="R99" i="19"/>
  <c r="Q121" i="19"/>
  <c r="F147" i="19"/>
  <c r="E132" i="6"/>
  <c r="G208" i="6"/>
  <c r="O255" i="6"/>
  <c r="Q265" i="6"/>
  <c r="O51" i="19"/>
  <c r="G76" i="19"/>
  <c r="I125" i="6"/>
  <c r="H164" i="6"/>
  <c r="J174" i="6"/>
  <c r="G181" i="6"/>
  <c r="G203" i="6"/>
  <c r="H208" i="6"/>
  <c r="I213" i="6"/>
  <c r="G225" i="6"/>
  <c r="E237" i="6"/>
  <c r="F242" i="6"/>
  <c r="P255" i="6"/>
  <c r="E7" i="19"/>
  <c r="H27" i="19"/>
  <c r="I164" i="6"/>
  <c r="I208" i="6"/>
  <c r="H225" i="6"/>
  <c r="Q255" i="6"/>
  <c r="C288" i="6"/>
  <c r="J92" i="16"/>
  <c r="G103" i="16"/>
  <c r="F7" i="19"/>
  <c r="O42" i="19"/>
  <c r="F95" i="6"/>
  <c r="J164" i="6"/>
  <c r="I203" i="6"/>
  <c r="J208" i="6"/>
  <c r="F232" i="6"/>
  <c r="G237" i="6"/>
  <c r="R255" i="6"/>
  <c r="F276" i="6"/>
  <c r="D288" i="6"/>
  <c r="F276" i="19"/>
  <c r="P208" i="19"/>
  <c r="Q213" i="19"/>
  <c r="O225" i="19"/>
  <c r="H232" i="19"/>
  <c r="I237" i="19"/>
  <c r="J242" i="19"/>
  <c r="H276" i="19"/>
  <c r="P203" i="19"/>
  <c r="G288" i="19"/>
  <c r="C121" i="6"/>
  <c r="F158" i="6"/>
  <c r="H168" i="6"/>
  <c r="R181" i="6"/>
  <c r="C187" i="6"/>
  <c r="E197" i="6"/>
  <c r="R203" i="6"/>
  <c r="E219" i="6"/>
  <c r="R225" i="6"/>
  <c r="O232" i="6"/>
  <c r="P237" i="6"/>
  <c r="Q242" i="6"/>
  <c r="O276" i="6"/>
  <c r="D280" i="6"/>
  <c r="D86" i="16"/>
  <c r="J90" i="16"/>
  <c r="G95" i="16"/>
  <c r="P7" i="19"/>
  <c r="Q88" i="19"/>
  <c r="J95" i="19"/>
  <c r="Q115" i="19"/>
  <c r="P132" i="19"/>
  <c r="J276" i="19"/>
  <c r="Q56" i="19"/>
  <c r="Q197" i="6"/>
  <c r="D213" i="6"/>
  <c r="Q219" i="6"/>
  <c r="J248" i="6"/>
  <c r="F81" i="6"/>
  <c r="H140" i="6"/>
  <c r="F174" i="6"/>
  <c r="R197" i="6"/>
  <c r="C203" i="6"/>
  <c r="D208" i="6"/>
  <c r="E213" i="6"/>
  <c r="R219" i="6"/>
  <c r="Q280" i="6"/>
  <c r="Q33" i="19"/>
  <c r="C64" i="19"/>
  <c r="R107" i="19"/>
  <c r="P168" i="19"/>
  <c r="H219" i="19"/>
  <c r="R232" i="19"/>
  <c r="D270" i="19"/>
  <c r="E280" i="19"/>
  <c r="F76" i="6"/>
  <c r="E164" i="6"/>
  <c r="G174" i="6"/>
  <c r="E208" i="6"/>
  <c r="D225" i="6"/>
  <c r="I255" i="6"/>
  <c r="P270" i="6"/>
  <c r="R280" i="6"/>
  <c r="G15" i="19"/>
  <c r="R33" i="19"/>
  <c r="Q70" i="19"/>
  <c r="I121" i="19"/>
  <c r="P158" i="19"/>
  <c r="I219" i="19"/>
  <c r="F248" i="19"/>
  <c r="P293" i="19"/>
  <c r="R121" i="6"/>
  <c r="G147" i="6"/>
  <c r="F164" i="6"/>
  <c r="E181" i="6"/>
  <c r="E203" i="6"/>
  <c r="F208" i="6"/>
  <c r="G213" i="6"/>
  <c r="E225" i="6"/>
  <c r="Q248" i="6"/>
  <c r="C259" i="6"/>
  <c r="P265" i="6"/>
  <c r="Q270" i="6"/>
  <c r="H15" i="19"/>
  <c r="H42" i="19"/>
  <c r="C76" i="19"/>
  <c r="J121" i="19"/>
  <c r="C125" i="19"/>
  <c r="F140" i="19"/>
  <c r="C147" i="19"/>
  <c r="I187" i="19"/>
  <c r="G248" i="19"/>
  <c r="D255" i="19"/>
  <c r="F265" i="19"/>
  <c r="F270" i="19"/>
  <c r="R276" i="19"/>
  <c r="F181" i="6"/>
  <c r="H191" i="6"/>
  <c r="R248" i="6"/>
  <c r="R270" i="6"/>
  <c r="G27" i="19"/>
  <c r="I42" i="19"/>
  <c r="P99" i="19"/>
  <c r="G140" i="19"/>
  <c r="R158" i="19"/>
  <c r="C191" i="19"/>
  <c r="O219" i="19"/>
  <c r="H248" i="19"/>
  <c r="G270" i="19"/>
  <c r="H280" i="19"/>
  <c r="Q153" i="6"/>
  <c r="R140" i="6"/>
  <c r="I181" i="6"/>
  <c r="O213" i="6"/>
  <c r="I225" i="6"/>
  <c r="H242" i="6"/>
  <c r="E293" i="6"/>
  <c r="P15" i="19"/>
  <c r="P42" i="19"/>
  <c r="H81" i="19"/>
  <c r="E115" i="19"/>
  <c r="G125" i="19"/>
  <c r="J140" i="19"/>
  <c r="G147" i="19"/>
  <c r="Q187" i="19"/>
  <c r="E213" i="19"/>
  <c r="R219" i="19"/>
  <c r="H255" i="19"/>
  <c r="J265" i="19"/>
  <c r="J270" i="19"/>
  <c r="I132" i="6"/>
  <c r="O164" i="6"/>
  <c r="J181" i="6"/>
  <c r="J203" i="6"/>
  <c r="O208" i="6"/>
  <c r="P213" i="6"/>
  <c r="G232" i="6"/>
  <c r="G276" i="6"/>
  <c r="Q15" i="19"/>
  <c r="O27" i="19"/>
  <c r="Q42" i="19"/>
  <c r="H76" i="19"/>
  <c r="F164" i="19"/>
  <c r="E181" i="19"/>
  <c r="R187" i="19"/>
  <c r="G191" i="19"/>
  <c r="D225" i="19"/>
  <c r="P248" i="19"/>
  <c r="I255" i="19"/>
  <c r="P280" i="19"/>
  <c r="P208" i="6"/>
  <c r="O225" i="6"/>
  <c r="H232" i="6"/>
  <c r="I237" i="6"/>
  <c r="J242" i="6"/>
  <c r="H276" i="6"/>
  <c r="F288" i="6"/>
  <c r="G293" i="6"/>
  <c r="I7" i="19"/>
  <c r="R15" i="19"/>
  <c r="P27" i="19"/>
  <c r="R42" i="19"/>
  <c r="G51" i="19"/>
  <c r="G88" i="19"/>
  <c r="D95" i="19"/>
  <c r="F132" i="19"/>
  <c r="I147" i="19"/>
  <c r="I174" i="19"/>
  <c r="E225" i="19"/>
  <c r="C237" i="19"/>
  <c r="D242" i="19"/>
  <c r="Q248" i="19"/>
  <c r="C259" i="19"/>
  <c r="P265" i="19"/>
  <c r="P270" i="19"/>
  <c r="Q280" i="19"/>
  <c r="I95" i="6"/>
  <c r="C153" i="6"/>
  <c r="F168" i="6"/>
  <c r="R191" i="6"/>
  <c r="C197" i="6"/>
  <c r="P203" i="6"/>
  <c r="Q208" i="6"/>
  <c r="R213" i="6"/>
  <c r="P225" i="6"/>
  <c r="O242" i="6"/>
  <c r="G288" i="6"/>
  <c r="H293" i="6"/>
  <c r="J7" i="19"/>
  <c r="Q27" i="19"/>
  <c r="H51" i="19"/>
  <c r="G132" i="19"/>
  <c r="Q140" i="19"/>
  <c r="J147" i="19"/>
  <c r="H164" i="19"/>
  <c r="J174" i="19"/>
  <c r="G203" i="19"/>
  <c r="G208" i="19"/>
  <c r="H213" i="19"/>
  <c r="C232" i="19"/>
  <c r="R248" i="19"/>
  <c r="Q265" i="19"/>
  <c r="R158" i="6"/>
  <c r="D191" i="6"/>
  <c r="J95" i="6"/>
  <c r="D153" i="6"/>
  <c r="E158" i="6"/>
  <c r="R164" i="6"/>
  <c r="G168" i="6"/>
  <c r="D197" i="6"/>
  <c r="Q225" i="6"/>
  <c r="J232" i="6"/>
  <c r="O237" i="6"/>
  <c r="J276" i="6"/>
  <c r="H288" i="6"/>
  <c r="I293" i="6"/>
  <c r="R27" i="19"/>
  <c r="C33" i="19"/>
  <c r="Q64" i="19"/>
  <c r="P81" i="19"/>
  <c r="F95" i="19"/>
  <c r="I115" i="19"/>
  <c r="O125" i="19"/>
  <c r="R140" i="19"/>
  <c r="O147" i="19"/>
  <c r="H208" i="19"/>
  <c r="I213" i="19"/>
  <c r="G225" i="19"/>
  <c r="E237" i="19"/>
  <c r="F242" i="19"/>
  <c r="P255" i="19"/>
  <c r="R265" i="19"/>
  <c r="R270" i="19"/>
  <c r="J56" i="19"/>
  <c r="G95" i="19"/>
  <c r="J164" i="19"/>
  <c r="I181" i="19"/>
  <c r="H225" i="19"/>
  <c r="F237" i="19"/>
  <c r="G242" i="19"/>
  <c r="Q255" i="19"/>
  <c r="F259" i="19"/>
  <c r="C276" i="19"/>
  <c r="D121" i="6"/>
  <c r="G158" i="6"/>
  <c r="F197" i="6"/>
  <c r="P232" i="6"/>
  <c r="R242" i="6"/>
  <c r="P276" i="6"/>
  <c r="J288" i="6"/>
  <c r="Q7" i="19"/>
  <c r="G21" i="19"/>
  <c r="O56" i="19"/>
  <c r="Q76" i="19"/>
  <c r="R81" i="19"/>
  <c r="O88" i="19"/>
  <c r="H95" i="19"/>
  <c r="F107" i="19"/>
  <c r="O115" i="19"/>
  <c r="Q125" i="19"/>
  <c r="J132" i="19"/>
  <c r="Q147" i="19"/>
  <c r="Q174" i="19"/>
  <c r="O213" i="19"/>
  <c r="I225" i="19"/>
  <c r="F232" i="19"/>
  <c r="G237" i="19"/>
  <c r="H242" i="19"/>
  <c r="R255" i="19"/>
  <c r="F99" i="6"/>
  <c r="E121" i="6"/>
  <c r="G153" i="6"/>
  <c r="H158" i="6"/>
  <c r="J168" i="6"/>
  <c r="E187" i="6"/>
  <c r="G197" i="6"/>
  <c r="G219" i="6"/>
  <c r="Q232" i="6"/>
  <c r="R237" i="6"/>
  <c r="D248" i="6"/>
  <c r="D270" i="6"/>
  <c r="Q276" i="6"/>
  <c r="F280" i="6"/>
  <c r="O288" i="6"/>
  <c r="P293" i="6"/>
  <c r="R7" i="19"/>
  <c r="H21" i="19"/>
  <c r="P51" i="19"/>
  <c r="P56" i="19"/>
  <c r="R76" i="19"/>
  <c r="P164" i="19"/>
  <c r="O181" i="19"/>
  <c r="Q191" i="19"/>
  <c r="O203" i="19"/>
  <c r="P213" i="19"/>
  <c r="G232" i="19"/>
  <c r="I153" i="6"/>
  <c r="J158" i="6"/>
  <c r="I197" i="6"/>
  <c r="I219" i="6"/>
  <c r="F248" i="6"/>
  <c r="E265" i="6"/>
  <c r="F270" i="6"/>
  <c r="Q288" i="6"/>
  <c r="R293" i="6"/>
  <c r="H33" i="19"/>
  <c r="R51" i="19"/>
  <c r="R56" i="19"/>
  <c r="G70" i="19"/>
  <c r="R115" i="19"/>
  <c r="Q132" i="19"/>
  <c r="R164" i="19"/>
  <c r="Q181" i="19"/>
  <c r="Q203" i="19"/>
  <c r="Q208" i="19"/>
  <c r="R213" i="19"/>
  <c r="P225" i="19"/>
  <c r="J237" i="19"/>
  <c r="O242" i="19"/>
  <c r="J259" i="19"/>
  <c r="G276" i="19"/>
  <c r="H121" i="6"/>
  <c r="J153" i="6"/>
  <c r="J197" i="6"/>
  <c r="G270" i="6"/>
  <c r="R288" i="6"/>
  <c r="P95" i="19"/>
  <c r="J107" i="19"/>
  <c r="R132" i="19"/>
  <c r="H168" i="19"/>
  <c r="R181" i="19"/>
  <c r="R203" i="19"/>
  <c r="R208" i="19"/>
  <c r="Q225" i="19"/>
  <c r="J232" i="19"/>
  <c r="O237" i="19"/>
  <c r="P242" i="19"/>
  <c r="J99" i="6"/>
  <c r="R168" i="6"/>
  <c r="H248" i="6"/>
  <c r="G265" i="6"/>
  <c r="H270" i="6"/>
  <c r="J280" i="6"/>
  <c r="P21" i="19"/>
  <c r="H158" i="19"/>
  <c r="I168" i="19"/>
  <c r="E219" i="19"/>
  <c r="R225" i="19"/>
  <c r="P237" i="19"/>
  <c r="Q242" i="19"/>
  <c r="P259" i="19"/>
  <c r="J187" i="6"/>
  <c r="C191" i="6"/>
  <c r="P197" i="6"/>
  <c r="C213" i="6"/>
  <c r="O33" i="19"/>
  <c r="D42" i="19"/>
  <c r="R95" i="19"/>
  <c r="P107" i="19"/>
  <c r="F121" i="19"/>
  <c r="E187" i="19"/>
  <c r="G197" i="19"/>
  <c r="P232" i="19"/>
  <c r="Q237" i="19"/>
  <c r="R242" i="19"/>
  <c r="C248" i="19"/>
  <c r="Q259" i="19"/>
  <c r="H288" i="19"/>
  <c r="G255" i="6"/>
  <c r="I265" i="6"/>
  <c r="J270" i="6"/>
  <c r="P280" i="6"/>
  <c r="R21" i="19"/>
  <c r="J69" i="17"/>
  <c r="K69" i="17"/>
  <c r="G69" i="5"/>
  <c r="I69" i="17"/>
  <c r="J87" i="5"/>
  <c r="J99" i="5"/>
  <c r="J81" i="6"/>
  <c r="I87" i="5"/>
  <c r="L87" i="17"/>
  <c r="L99" i="17"/>
  <c r="I99" i="5"/>
  <c r="H76" i="5"/>
  <c r="Q121" i="6"/>
  <c r="Q90" i="5"/>
  <c r="Q47" i="17"/>
  <c r="R90" i="17"/>
  <c r="P47" i="5"/>
  <c r="Q93" i="5"/>
  <c r="Q69" i="17"/>
  <c r="R93" i="17"/>
  <c r="R59" i="5"/>
  <c r="P69" i="5"/>
  <c r="S59" i="17"/>
  <c r="P181" i="6"/>
  <c r="S41" i="17"/>
  <c r="S66" i="17"/>
  <c r="R41" i="5"/>
  <c r="R66" i="5"/>
  <c r="K76" i="17"/>
  <c r="G69" i="17"/>
  <c r="F69" i="17"/>
  <c r="H69" i="17"/>
  <c r="I76" i="17"/>
  <c r="J76" i="17"/>
  <c r="G76" i="5"/>
  <c r="H107" i="6"/>
  <c r="E69" i="5"/>
  <c r="F69" i="5"/>
  <c r="F47" i="5"/>
  <c r="J66" i="5"/>
  <c r="H90" i="5"/>
  <c r="H93" i="5"/>
  <c r="J59" i="5"/>
  <c r="Q191" i="6"/>
  <c r="Q187" i="6"/>
  <c r="O248" i="6"/>
  <c r="Q237" i="6"/>
  <c r="Q164" i="6"/>
  <c r="Q88" i="5"/>
  <c r="Q11" i="17"/>
  <c r="S21" i="17"/>
  <c r="R67" i="17"/>
  <c r="Q67" i="5"/>
  <c r="P11" i="5"/>
  <c r="R21" i="5"/>
  <c r="P87" i="5"/>
  <c r="Q87" i="17"/>
  <c r="R88" i="17"/>
  <c r="O121" i="6"/>
  <c r="G90" i="5"/>
  <c r="I90" i="17"/>
  <c r="J90" i="17"/>
  <c r="K90" i="17"/>
  <c r="I59" i="5"/>
  <c r="L59" i="17"/>
  <c r="G93" i="5"/>
  <c r="I93" i="17"/>
  <c r="J93" i="17"/>
  <c r="K93" i="17"/>
  <c r="F47" i="17"/>
  <c r="G47" i="17"/>
  <c r="H47" i="17"/>
  <c r="E47" i="5"/>
  <c r="L66" i="17"/>
  <c r="I66" i="5"/>
  <c r="I41" i="5"/>
  <c r="J41" i="5"/>
  <c r="L41" i="17"/>
  <c r="E11" i="5"/>
  <c r="F11" i="17"/>
  <c r="F11" i="5"/>
  <c r="G11" i="17"/>
  <c r="H11" i="17"/>
  <c r="F87" i="5"/>
  <c r="F87" i="17"/>
  <c r="G87" i="17"/>
  <c r="E87" i="5"/>
  <c r="H87" i="17"/>
  <c r="H67" i="5"/>
  <c r="K67" i="17"/>
  <c r="I67" i="17"/>
  <c r="G67" i="5"/>
  <c r="J67" i="17"/>
  <c r="H88" i="5"/>
  <c r="I88" i="17"/>
  <c r="J88" i="17"/>
  <c r="G88" i="5"/>
  <c r="K88" i="17"/>
  <c r="I21" i="5"/>
  <c r="L21" i="17"/>
  <c r="J21" i="5"/>
  <c r="I70" i="6"/>
  <c r="J32" i="5"/>
  <c r="F59" i="5"/>
  <c r="E95" i="6"/>
  <c r="D95" i="6"/>
  <c r="F14" i="5"/>
  <c r="Q21" i="19"/>
  <c r="J213" i="6"/>
  <c r="P164" i="6"/>
  <c r="H174" i="6"/>
  <c r="P187" i="6"/>
  <c r="P14" i="5"/>
  <c r="Q14" i="17"/>
  <c r="Q59" i="17"/>
  <c r="P59" i="5"/>
  <c r="P38" i="5"/>
  <c r="Q38" i="17"/>
  <c r="R32" i="5"/>
  <c r="S32" i="17"/>
  <c r="Q147" i="6"/>
  <c r="Q168" i="6"/>
  <c r="Q125" i="6"/>
  <c r="O203" i="6"/>
  <c r="P140" i="6"/>
  <c r="I32" i="5"/>
  <c r="L32" i="17"/>
  <c r="F59" i="17"/>
  <c r="E59" i="5"/>
  <c r="G59" i="17"/>
  <c r="H59" i="17"/>
  <c r="E14" i="5"/>
  <c r="F14" i="17"/>
  <c r="G14" i="17"/>
  <c r="H14" i="17"/>
  <c r="F38" i="17"/>
  <c r="E38" i="5"/>
  <c r="G38" i="17"/>
  <c r="F38" i="5"/>
  <c r="H38" i="17"/>
  <c r="J88" i="5"/>
  <c r="H96" i="5"/>
  <c r="F41" i="5"/>
  <c r="G115" i="6"/>
  <c r="P158" i="6"/>
  <c r="R187" i="6"/>
  <c r="R265" i="6"/>
  <c r="Q203" i="6"/>
  <c r="Q41" i="17"/>
  <c r="S88" i="17"/>
  <c r="R28" i="5"/>
  <c r="R88" i="5"/>
  <c r="P41" i="5"/>
  <c r="Q96" i="5"/>
  <c r="S28" i="17"/>
  <c r="R96" i="17"/>
  <c r="P219" i="6"/>
  <c r="R95" i="6"/>
  <c r="P51" i="6"/>
  <c r="R103" i="5"/>
  <c r="S15" i="17"/>
  <c r="S103" i="17"/>
  <c r="P60" i="5"/>
  <c r="S85" i="17"/>
  <c r="R15" i="5"/>
  <c r="R85" i="5"/>
  <c r="Q60" i="17"/>
  <c r="R55" i="5"/>
  <c r="P76" i="5"/>
  <c r="S50" i="17"/>
  <c r="Q76" i="17"/>
  <c r="J94" i="16"/>
  <c r="P36" i="5"/>
  <c r="P95" i="5"/>
  <c r="Q55" i="17"/>
  <c r="L30" i="16"/>
  <c r="P31" i="5"/>
  <c r="R50" i="5"/>
  <c r="P71" i="5"/>
  <c r="P80" i="5"/>
  <c r="Q31" i="17"/>
  <c r="Q36" i="17"/>
  <c r="S55" i="17"/>
  <c r="Q71" i="17"/>
  <c r="Q80" i="17"/>
  <c r="P10" i="5"/>
  <c r="R31" i="5"/>
  <c r="P55" i="5"/>
  <c r="Q10" i="17"/>
  <c r="S31" i="17"/>
  <c r="Q95" i="17"/>
  <c r="L54" i="16"/>
  <c r="J79" i="16"/>
  <c r="R100" i="5"/>
  <c r="S100" i="17"/>
  <c r="K11" i="16"/>
  <c r="Q12" i="5"/>
  <c r="L99" i="16"/>
  <c r="R12" i="17"/>
  <c r="J28" i="5"/>
  <c r="J96" i="17"/>
  <c r="K96" i="17"/>
  <c r="G96" i="5"/>
  <c r="I96" i="17"/>
  <c r="F41" i="17"/>
  <c r="E41" i="5"/>
  <c r="G41" i="17"/>
  <c r="H41" i="17"/>
  <c r="L88" i="17"/>
  <c r="I88" i="5"/>
  <c r="J15" i="5"/>
  <c r="J103" i="5"/>
  <c r="F60" i="5"/>
  <c r="J85" i="5"/>
  <c r="I28" i="5"/>
  <c r="L28" i="17"/>
  <c r="F213" i="6"/>
  <c r="Q70" i="6"/>
  <c r="I15" i="5"/>
  <c r="L15" i="17"/>
  <c r="L85" i="17"/>
  <c r="I85" i="5"/>
  <c r="F60" i="17"/>
  <c r="G60" i="17"/>
  <c r="E60" i="5"/>
  <c r="H60" i="17"/>
  <c r="I103" i="5"/>
  <c r="L103" i="17"/>
  <c r="F10" i="5"/>
  <c r="F31" i="5"/>
  <c r="J50" i="5"/>
  <c r="F71" i="5"/>
  <c r="J31" i="5"/>
  <c r="F36" i="5"/>
  <c r="F76" i="5"/>
  <c r="F95" i="5"/>
  <c r="F55" i="5"/>
  <c r="F80" i="5"/>
  <c r="E76" i="5"/>
  <c r="F55" i="17"/>
  <c r="G71" i="17"/>
  <c r="G55" i="17"/>
  <c r="H71" i="17"/>
  <c r="F76" i="17"/>
  <c r="E71" i="5"/>
  <c r="H55" i="17"/>
  <c r="G76" i="17"/>
  <c r="E55" i="5"/>
  <c r="F71" i="17"/>
  <c r="H76" i="17"/>
  <c r="E10" i="5"/>
  <c r="F10" i="17"/>
  <c r="G10" i="17"/>
  <c r="H10" i="17"/>
  <c r="E36" i="5"/>
  <c r="F31" i="17"/>
  <c r="G36" i="17"/>
  <c r="G31" i="17"/>
  <c r="H36" i="17"/>
  <c r="E31" i="5"/>
  <c r="H31" i="17"/>
  <c r="F36" i="17"/>
  <c r="F98" i="5"/>
  <c r="D97" i="16"/>
  <c r="F98" i="17"/>
  <c r="Q98" i="17"/>
  <c r="G98" i="17"/>
  <c r="E98" i="5"/>
  <c r="P98" i="5"/>
  <c r="H98" i="17"/>
  <c r="J97" i="16"/>
  <c r="H132" i="6"/>
  <c r="L50" i="17"/>
  <c r="I50" i="5"/>
  <c r="H280" i="6"/>
  <c r="E153" i="6"/>
  <c r="G164" i="6"/>
  <c r="R44" i="5"/>
  <c r="S33" i="17"/>
  <c r="L32" i="16"/>
  <c r="P37" i="5"/>
  <c r="Q79" i="17"/>
  <c r="L13" i="16"/>
  <c r="L43" i="16"/>
  <c r="R14" i="5"/>
  <c r="R76" i="5"/>
  <c r="S44" i="17"/>
  <c r="S76" i="17"/>
  <c r="S96" i="17"/>
  <c r="J25" i="16"/>
  <c r="J36" i="16"/>
  <c r="M56" i="16"/>
  <c r="J78" i="16"/>
  <c r="L95" i="16"/>
  <c r="P26" i="5"/>
  <c r="R33" i="5"/>
  <c r="P79" i="5"/>
  <c r="R96" i="5"/>
  <c r="S14" i="17"/>
  <c r="Q26" i="17"/>
  <c r="Q37" i="17"/>
  <c r="M40" i="16"/>
  <c r="L75" i="16"/>
  <c r="H12" i="5"/>
  <c r="J14" i="5"/>
  <c r="J33" i="5"/>
  <c r="J100" i="5"/>
  <c r="F26" i="5"/>
  <c r="J55" i="5"/>
  <c r="J76" i="5"/>
  <c r="F37" i="5"/>
  <c r="J44" i="5"/>
  <c r="J96" i="5"/>
  <c r="F203" i="6"/>
  <c r="R153" i="6"/>
  <c r="Q72" i="5"/>
  <c r="Q91" i="5"/>
  <c r="P104" i="5"/>
  <c r="Q50" i="17"/>
  <c r="L55" i="16"/>
  <c r="K71" i="16"/>
  <c r="M77" i="16"/>
  <c r="K90" i="16"/>
  <c r="R56" i="5"/>
  <c r="P64" i="5"/>
  <c r="R95" i="5"/>
  <c r="S56" i="17"/>
  <c r="Q64" i="17"/>
  <c r="R72" i="17"/>
  <c r="Q104" i="17"/>
  <c r="J63" i="16"/>
  <c r="L85" i="16"/>
  <c r="J103" i="16"/>
  <c r="P50" i="5"/>
  <c r="R86" i="5"/>
  <c r="R91" i="17"/>
  <c r="S95" i="17"/>
  <c r="S86" i="17"/>
  <c r="M30" i="16"/>
  <c r="J49" i="16"/>
  <c r="M63" i="16"/>
  <c r="M82" i="16"/>
  <c r="L94" i="16"/>
  <c r="R107" i="6"/>
  <c r="G191" i="6"/>
  <c r="D79" i="16"/>
  <c r="F80" i="17"/>
  <c r="E80" i="5"/>
  <c r="G80" i="17"/>
  <c r="H80" i="17"/>
  <c r="F30" i="16"/>
  <c r="I31" i="5"/>
  <c r="L31" i="17"/>
  <c r="D94" i="16"/>
  <c r="E95" i="5"/>
  <c r="G95" i="17"/>
  <c r="H95" i="17"/>
  <c r="F95" i="17"/>
  <c r="F54" i="16"/>
  <c r="L55" i="17"/>
  <c r="I55" i="5"/>
  <c r="D147" i="6"/>
  <c r="F99" i="16"/>
  <c r="I100" i="5"/>
  <c r="L100" i="17"/>
  <c r="E11" i="16"/>
  <c r="G12" i="5"/>
  <c r="I12" i="17"/>
  <c r="J12" i="17"/>
  <c r="K12" i="17"/>
  <c r="D36" i="16"/>
  <c r="E37" i="5"/>
  <c r="F37" i="17"/>
  <c r="G37" i="17"/>
  <c r="H37" i="17"/>
  <c r="H95" i="6"/>
  <c r="F75" i="16"/>
  <c r="L76" i="17"/>
  <c r="I76" i="5"/>
  <c r="F95" i="16"/>
  <c r="L96" i="17"/>
  <c r="I96" i="5"/>
  <c r="F32" i="16"/>
  <c r="D25" i="16"/>
  <c r="F13" i="16"/>
  <c r="G40" i="16"/>
  <c r="F43" i="16"/>
  <c r="D78" i="16"/>
  <c r="G56" i="16"/>
  <c r="F55" i="16"/>
  <c r="G82" i="16"/>
  <c r="D63" i="16"/>
  <c r="E90" i="16"/>
  <c r="D49" i="16"/>
  <c r="G77" i="16"/>
  <c r="F94" i="16"/>
  <c r="G30" i="16"/>
  <c r="E71" i="16"/>
  <c r="G63" i="16"/>
  <c r="D103" i="16"/>
  <c r="F85" i="16"/>
  <c r="F76" i="16"/>
  <c r="H65" i="17"/>
  <c r="L74" i="16"/>
  <c r="F70" i="16"/>
  <c r="K39" i="16"/>
  <c r="E39" i="16"/>
  <c r="D102" i="16"/>
  <c r="G94" i="16"/>
  <c r="F74" i="16"/>
  <c r="J21" i="16"/>
  <c r="D21" i="16"/>
  <c r="D88" i="16"/>
  <c r="J102" i="16"/>
  <c r="L70" i="16"/>
  <c r="J88" i="16"/>
  <c r="M94" i="16"/>
  <c r="F82" i="16"/>
  <c r="E65" i="16"/>
  <c r="K65" i="16"/>
  <c r="L82" i="16"/>
  <c r="F104" i="5"/>
  <c r="F64" i="5"/>
  <c r="F79" i="5"/>
  <c r="J95" i="5"/>
  <c r="J56" i="5"/>
  <c r="H91" i="5"/>
  <c r="F50" i="5"/>
  <c r="J86" i="5"/>
  <c r="H213" i="6"/>
  <c r="E70" i="6"/>
  <c r="Q44" i="5"/>
  <c r="R44" i="17"/>
  <c r="K43" i="16"/>
  <c r="Q88" i="6"/>
  <c r="O140" i="6"/>
  <c r="R51" i="6"/>
  <c r="O132" i="6"/>
  <c r="P191" i="6"/>
  <c r="P76" i="6"/>
  <c r="Q58" i="5"/>
  <c r="R58" i="17"/>
  <c r="E88" i="6"/>
  <c r="G51" i="6"/>
  <c r="P242" i="6"/>
  <c r="O280" i="6"/>
  <c r="O259" i="6"/>
  <c r="O147" i="6"/>
  <c r="R208" i="6"/>
  <c r="E140" i="6"/>
  <c r="S77" i="17"/>
  <c r="R77" i="5"/>
  <c r="Q89" i="17"/>
  <c r="P89" i="5"/>
  <c r="Q22" i="17"/>
  <c r="P22" i="5"/>
  <c r="I33" i="5"/>
  <c r="L33" i="17"/>
  <c r="F33" i="6"/>
  <c r="H26" i="17"/>
  <c r="E26" i="5"/>
  <c r="F26" i="17"/>
  <c r="G26" i="17"/>
  <c r="C51" i="6"/>
  <c r="I14" i="5"/>
  <c r="L14" i="17"/>
  <c r="I44" i="5"/>
  <c r="L44" i="17"/>
  <c r="F79" i="17"/>
  <c r="G79" i="17"/>
  <c r="E79" i="5"/>
  <c r="H79" i="17"/>
  <c r="J77" i="5"/>
  <c r="J75" i="5"/>
  <c r="F22" i="5"/>
  <c r="J71" i="5"/>
  <c r="H72" i="5"/>
  <c r="F89" i="5"/>
  <c r="L56" i="17"/>
  <c r="I56" i="5"/>
  <c r="C21" i="6"/>
  <c r="F64" i="17"/>
  <c r="E64" i="5"/>
  <c r="G64" i="17"/>
  <c r="K91" i="17"/>
  <c r="H64" i="17"/>
  <c r="E125" i="6"/>
  <c r="Q33" i="6"/>
  <c r="I77" i="5"/>
  <c r="L77" i="17"/>
  <c r="I88" i="6"/>
  <c r="I95" i="5"/>
  <c r="L95" i="17"/>
  <c r="H80" i="5"/>
  <c r="H40" i="5"/>
  <c r="J83" i="5"/>
  <c r="F103" i="5"/>
  <c r="H66" i="5"/>
  <c r="G104" i="17"/>
  <c r="H104" i="17"/>
  <c r="E104" i="5"/>
  <c r="F104" i="17"/>
  <c r="J54" i="5"/>
  <c r="H10" i="5"/>
  <c r="F97" i="5"/>
  <c r="J78" i="5"/>
  <c r="J37" i="5"/>
  <c r="H63" i="5"/>
  <c r="F65" i="5"/>
  <c r="G91" i="5"/>
  <c r="I91" i="17"/>
  <c r="J91" i="17"/>
  <c r="E50" i="5"/>
  <c r="F50" i="17"/>
  <c r="G50" i="17"/>
  <c r="H50" i="17"/>
  <c r="I86" i="5"/>
  <c r="L86" i="17"/>
  <c r="J72" i="17"/>
  <c r="K72" i="17"/>
  <c r="G72" i="5"/>
  <c r="I72" i="17"/>
  <c r="G15" i="6"/>
  <c r="I7" i="6"/>
  <c r="P132" i="6"/>
  <c r="P27" i="6"/>
  <c r="S75" i="17"/>
  <c r="R71" i="5"/>
  <c r="R75" i="5"/>
  <c r="S71" i="17"/>
  <c r="Q115" i="6"/>
  <c r="R83" i="5"/>
  <c r="R66" i="17"/>
  <c r="Q103" i="17"/>
  <c r="Q66" i="5"/>
  <c r="P103" i="5"/>
  <c r="S83" i="17"/>
  <c r="M35" i="16"/>
  <c r="Q80" i="5"/>
  <c r="R80" i="17"/>
  <c r="Q40" i="5"/>
  <c r="R40" i="17"/>
  <c r="K79" i="16"/>
  <c r="E22" i="5"/>
  <c r="G22" i="17"/>
  <c r="G89" i="17"/>
  <c r="H22" i="17"/>
  <c r="H89" i="17"/>
  <c r="E89" i="5"/>
  <c r="F22" i="17"/>
  <c r="F89" i="17"/>
  <c r="I64" i="6"/>
  <c r="L71" i="17"/>
  <c r="I71" i="5"/>
  <c r="K40" i="17"/>
  <c r="G40" i="5"/>
  <c r="I40" i="17"/>
  <c r="J40" i="17"/>
  <c r="H21" i="6"/>
  <c r="E103" i="5"/>
  <c r="F103" i="17"/>
  <c r="G103" i="17"/>
  <c r="H103" i="17"/>
  <c r="J33" i="6"/>
  <c r="I66" i="17"/>
  <c r="G66" i="5"/>
  <c r="J66" i="17"/>
  <c r="K66" i="17"/>
  <c r="J7" i="6"/>
  <c r="E64" i="6"/>
  <c r="Q64" i="6"/>
  <c r="Q56" i="6"/>
  <c r="P168" i="6"/>
  <c r="Q174" i="6"/>
  <c r="O42" i="6"/>
  <c r="G35" i="16"/>
  <c r="E79" i="16"/>
  <c r="F53" i="16"/>
  <c r="L53" i="16"/>
  <c r="E62" i="16"/>
  <c r="E9" i="16"/>
  <c r="L77" i="16"/>
  <c r="D96" i="16"/>
  <c r="J64" i="16"/>
  <c r="J96" i="16"/>
  <c r="K9" i="16"/>
  <c r="K62" i="16"/>
  <c r="D64" i="16"/>
  <c r="F77" i="16"/>
  <c r="P153" i="6"/>
  <c r="Q15" i="6"/>
  <c r="P65" i="5"/>
  <c r="R78" i="5"/>
  <c r="R79" i="5"/>
  <c r="S37" i="17"/>
  <c r="R63" i="17"/>
  <c r="Q65" i="17"/>
  <c r="L78" i="16"/>
  <c r="Q10" i="5"/>
  <c r="R37" i="5"/>
  <c r="R54" i="5"/>
  <c r="R10" i="17"/>
  <c r="Q63" i="5"/>
  <c r="P97" i="5"/>
  <c r="S54" i="17"/>
  <c r="S79" i="17"/>
  <c r="L36" i="16"/>
  <c r="S78" i="17"/>
  <c r="Q97" i="17"/>
  <c r="M25" i="16"/>
  <c r="E7" i="6"/>
  <c r="L83" i="17"/>
  <c r="I83" i="5"/>
  <c r="I80" i="17"/>
  <c r="G80" i="5"/>
  <c r="J80" i="17"/>
  <c r="K80" i="17"/>
  <c r="L54" i="17"/>
  <c r="I54" i="5"/>
  <c r="G97" i="17"/>
  <c r="H97" i="17"/>
  <c r="E97" i="5"/>
  <c r="F97" i="17"/>
  <c r="J25" i="5"/>
  <c r="H39" i="5"/>
  <c r="J79" i="5"/>
  <c r="H83" i="5"/>
  <c r="F102" i="5"/>
  <c r="H65" i="5"/>
  <c r="H85" i="5"/>
  <c r="J104" i="5"/>
  <c r="F33" i="5"/>
  <c r="F56" i="5"/>
  <c r="F101" i="5"/>
  <c r="J24" i="5"/>
  <c r="F39" i="5"/>
  <c r="J43" i="5"/>
  <c r="F78" i="5"/>
  <c r="J101" i="5"/>
  <c r="C15" i="6"/>
  <c r="F51" i="6"/>
  <c r="I21" i="6"/>
  <c r="I76" i="6"/>
  <c r="E76" i="6"/>
  <c r="D38" i="16"/>
  <c r="G25" i="16"/>
  <c r="F36" i="16"/>
  <c r="F78" i="16"/>
  <c r="E82" i="16"/>
  <c r="K82" i="16"/>
  <c r="J38" i="16"/>
  <c r="F100" i="16"/>
  <c r="K84" i="16"/>
  <c r="D55" i="16"/>
  <c r="M96" i="16"/>
  <c r="D32" i="16"/>
  <c r="F24" i="16"/>
  <c r="M49" i="16"/>
  <c r="E64" i="16"/>
  <c r="K64" i="16"/>
  <c r="J77" i="16"/>
  <c r="G96" i="16"/>
  <c r="L100" i="16"/>
  <c r="L24" i="16"/>
  <c r="J32" i="16"/>
  <c r="G49" i="16"/>
  <c r="J55" i="16"/>
  <c r="D77" i="16"/>
  <c r="E84" i="16"/>
  <c r="M20" i="16"/>
  <c r="L42" i="16"/>
  <c r="F23" i="16"/>
  <c r="G20" i="16"/>
  <c r="L23" i="16"/>
  <c r="L103" i="16"/>
  <c r="F42" i="16"/>
  <c r="F103" i="16"/>
  <c r="J100" i="16"/>
  <c r="D100" i="16"/>
  <c r="G75" i="16"/>
  <c r="M75" i="16"/>
  <c r="G74" i="16"/>
  <c r="G11" i="16"/>
  <c r="M11" i="16"/>
  <c r="M74" i="16"/>
  <c r="G19" i="16"/>
  <c r="M19" i="16"/>
  <c r="M98" i="16"/>
  <c r="G98" i="16"/>
  <c r="G73" i="16"/>
  <c r="H15" i="6"/>
  <c r="M73" i="16"/>
  <c r="F27" i="6"/>
  <c r="M9" i="16"/>
  <c r="G26" i="16"/>
  <c r="G9" i="16"/>
  <c r="M26" i="16"/>
  <c r="E38" i="16"/>
  <c r="K38" i="16"/>
  <c r="E102" i="5"/>
  <c r="Q102" i="17"/>
  <c r="D101" i="16"/>
  <c r="F102" i="17"/>
  <c r="J101" i="16"/>
  <c r="R132" i="6"/>
  <c r="P102" i="5"/>
  <c r="G102" i="17"/>
  <c r="H102" i="17"/>
  <c r="G55" i="16"/>
  <c r="M55" i="16"/>
  <c r="J76" i="6"/>
  <c r="G21" i="6"/>
  <c r="L34" i="16"/>
  <c r="F52" i="16"/>
  <c r="F73" i="16"/>
  <c r="L52" i="16"/>
  <c r="L73" i="16"/>
  <c r="F34" i="16"/>
  <c r="Q27" i="6"/>
  <c r="I140" i="6"/>
  <c r="E97" i="16"/>
  <c r="K97" i="16"/>
  <c r="R15" i="6"/>
  <c r="R21" i="6"/>
  <c r="K100" i="16"/>
  <c r="E100" i="16"/>
  <c r="R33" i="6"/>
  <c r="J74" i="16"/>
  <c r="D47" i="16"/>
  <c r="D74" i="16"/>
  <c r="J47" i="16"/>
  <c r="D56" i="16"/>
  <c r="E72" i="16"/>
  <c r="D18" i="16"/>
  <c r="K72" i="16"/>
  <c r="J18" i="16"/>
  <c r="J56" i="16"/>
  <c r="F48" i="5"/>
  <c r="E57" i="5"/>
  <c r="F75" i="5"/>
  <c r="G48" i="17"/>
  <c r="H57" i="17"/>
  <c r="Q75" i="17"/>
  <c r="M15" i="16"/>
  <c r="M36" i="16"/>
  <c r="M37" i="16"/>
  <c r="D48" i="16"/>
  <c r="F51" i="16"/>
  <c r="G57" i="16"/>
  <c r="D98" i="16"/>
  <c r="P48" i="5"/>
  <c r="F57" i="5"/>
  <c r="H48" i="17"/>
  <c r="F75" i="17"/>
  <c r="E15" i="16"/>
  <c r="J19" i="16"/>
  <c r="D23" i="16"/>
  <c r="D24" i="16"/>
  <c r="J27" i="16"/>
  <c r="G36" i="16"/>
  <c r="J42" i="16"/>
  <c r="J48" i="16"/>
  <c r="L51" i="16"/>
  <c r="M57" i="16"/>
  <c r="F101" i="16"/>
  <c r="E103" i="16"/>
  <c r="K103" i="16"/>
  <c r="P75" i="5"/>
  <c r="Q48" i="17"/>
  <c r="F57" i="17"/>
  <c r="Q57" i="17"/>
  <c r="G75" i="17"/>
  <c r="G15" i="16"/>
  <c r="J20" i="16"/>
  <c r="G37" i="16"/>
  <c r="L89" i="16"/>
  <c r="E48" i="5"/>
  <c r="P57" i="5"/>
  <c r="E75" i="5"/>
  <c r="F48" i="17"/>
  <c r="G57" i="17"/>
  <c r="H75" i="17"/>
  <c r="K15" i="16"/>
  <c r="D19" i="16"/>
  <c r="D20" i="16"/>
  <c r="J23" i="16"/>
  <c r="J24" i="16"/>
  <c r="D27" i="16"/>
  <c r="D42" i="16"/>
  <c r="G80" i="16"/>
  <c r="M80" i="16"/>
  <c r="F89" i="16"/>
  <c r="J98" i="16"/>
  <c r="L101" i="16"/>
  <c r="H147" i="6"/>
  <c r="E65" i="5"/>
  <c r="F65" i="17"/>
  <c r="G65" i="17"/>
  <c r="I78" i="5"/>
  <c r="L78" i="17"/>
  <c r="I63" i="17"/>
  <c r="J63" i="17"/>
  <c r="K63" i="17"/>
  <c r="Q7" i="6"/>
  <c r="G63" i="5"/>
  <c r="I75" i="5"/>
  <c r="L75" i="17"/>
  <c r="I10" i="17"/>
  <c r="J10" i="17"/>
  <c r="G10" i="5"/>
  <c r="K10" i="17"/>
  <c r="L37" i="17"/>
  <c r="I37" i="5"/>
  <c r="O21" i="6"/>
  <c r="O95" i="6"/>
  <c r="P99" i="6"/>
  <c r="E21" i="6"/>
  <c r="P81" i="6"/>
  <c r="Q181" i="6"/>
  <c r="Q259" i="6"/>
  <c r="P248" i="6"/>
  <c r="R259" i="6"/>
  <c r="P259" i="6"/>
  <c r="Q213" i="6"/>
  <c r="G187" i="6"/>
  <c r="P95" i="6"/>
  <c r="H203" i="6"/>
  <c r="Q293" i="6"/>
  <c r="P39" i="5"/>
  <c r="P56" i="5"/>
  <c r="Q65" i="5"/>
  <c r="Q83" i="5"/>
  <c r="Q56" i="17"/>
  <c r="R65" i="17"/>
  <c r="R83" i="17"/>
  <c r="P78" i="5"/>
  <c r="R101" i="5"/>
  <c r="Q78" i="17"/>
  <c r="S101" i="17"/>
  <c r="Q39" i="17"/>
  <c r="R99" i="6"/>
  <c r="G259" i="6"/>
  <c r="Q76" i="6"/>
  <c r="O158" i="6"/>
  <c r="P174" i="6"/>
  <c r="R81" i="6"/>
  <c r="Q51" i="6"/>
  <c r="Q85" i="5"/>
  <c r="R85" i="17"/>
  <c r="R25" i="5"/>
  <c r="S25" i="17"/>
  <c r="S43" i="17"/>
  <c r="R24" i="5"/>
  <c r="R104" i="5"/>
  <c r="Q33" i="17"/>
  <c r="P33" i="5"/>
  <c r="R43" i="5"/>
  <c r="S24" i="17"/>
  <c r="S104" i="17"/>
  <c r="P107" i="6"/>
  <c r="P7" i="6"/>
  <c r="Q158" i="6"/>
  <c r="R174" i="6"/>
  <c r="P19" i="5"/>
  <c r="Q39" i="5"/>
  <c r="Q101" i="5"/>
  <c r="S35" i="17"/>
  <c r="R73" i="17"/>
  <c r="Q98" i="5"/>
  <c r="Q19" i="17"/>
  <c r="R39" i="17"/>
  <c r="R53" i="5"/>
  <c r="Q73" i="5"/>
  <c r="R74" i="5"/>
  <c r="R98" i="17"/>
  <c r="Q101" i="17"/>
  <c r="R35" i="5"/>
  <c r="P101" i="5"/>
  <c r="S53" i="17"/>
  <c r="S74" i="17"/>
  <c r="R101" i="17"/>
  <c r="Q21" i="6"/>
  <c r="L79" i="17"/>
  <c r="I79" i="5"/>
  <c r="I83" i="17"/>
  <c r="J83" i="17"/>
  <c r="G83" i="5"/>
  <c r="K83" i="17"/>
  <c r="Q42" i="6"/>
  <c r="E39" i="5"/>
  <c r="G39" i="17"/>
  <c r="H39" i="17"/>
  <c r="F39" i="17"/>
  <c r="J27" i="6"/>
  <c r="G56" i="6"/>
  <c r="I101" i="5"/>
  <c r="L101" i="17"/>
  <c r="I65" i="17"/>
  <c r="G65" i="5"/>
  <c r="J65" i="17"/>
  <c r="K65" i="17"/>
  <c r="R147" i="6"/>
  <c r="F56" i="17"/>
  <c r="G56" i="17"/>
  <c r="H56" i="17"/>
  <c r="E56" i="5"/>
  <c r="F78" i="17"/>
  <c r="G78" i="17"/>
  <c r="E78" i="5"/>
  <c r="H78" i="17"/>
  <c r="R7" i="12"/>
  <c r="O7" i="12"/>
  <c r="X8" i="17"/>
  <c r="X70" i="17"/>
  <c r="W94" i="17"/>
  <c r="X51" i="17"/>
  <c r="W61" i="17"/>
  <c r="W70" i="17"/>
  <c r="B7" i="12"/>
  <c r="G7" i="12"/>
  <c r="W8" i="17"/>
  <c r="W18" i="17"/>
  <c r="X42" i="17"/>
  <c r="F20" i="13"/>
  <c r="G20" i="13" s="1"/>
  <c r="X30" i="17"/>
  <c r="W51" i="17"/>
  <c r="X82" i="17"/>
  <c r="X18" i="17"/>
  <c r="X61" i="17"/>
  <c r="X94" i="17"/>
  <c r="M7" i="12"/>
  <c r="Q7" i="12"/>
  <c r="U7" i="12"/>
  <c r="K7" i="12"/>
  <c r="S7" i="12"/>
  <c r="W30" i="17"/>
  <c r="W42" i="17"/>
  <c r="W82" i="17"/>
  <c r="C7" i="12"/>
  <c r="H7" i="12"/>
  <c r="N7" i="12"/>
  <c r="V7" i="12"/>
  <c r="I9" i="12"/>
  <c r="I10" i="12"/>
  <c r="I11" i="12"/>
  <c r="E10" i="12"/>
  <c r="J8" i="13"/>
  <c r="F18" i="13"/>
  <c r="G18" i="13" s="1"/>
  <c r="L7" i="12"/>
  <c r="P7" i="12"/>
  <c r="T7" i="12"/>
  <c r="F19" i="13"/>
  <c r="G19" i="13" s="1"/>
  <c r="F7" i="12"/>
  <c r="P33" i="6"/>
  <c r="J7" i="13"/>
  <c r="H7" i="13"/>
  <c r="N301" i="19"/>
  <c r="J51" i="6"/>
  <c r="H8" i="13"/>
  <c r="K48" i="6"/>
  <c r="F7" i="6"/>
  <c r="M301" i="19"/>
  <c r="L125" i="19"/>
  <c r="K147" i="19"/>
  <c r="D21" i="6"/>
  <c r="S248" i="19"/>
  <c r="N295" i="19"/>
  <c r="N296" i="19"/>
  <c r="N298" i="19"/>
  <c r="N299" i="19"/>
  <c r="N300" i="19"/>
  <c r="P21" i="6"/>
  <c r="M142" i="19"/>
  <c r="M143" i="19"/>
  <c r="N178" i="6"/>
  <c r="N179" i="6"/>
  <c r="N180" i="6"/>
  <c r="S121" i="19"/>
  <c r="K115" i="19"/>
  <c r="L219" i="19"/>
  <c r="L64" i="6"/>
  <c r="L125" i="6"/>
  <c r="S137" i="19"/>
  <c r="L70" i="6"/>
  <c r="S132" i="6"/>
  <c r="M244" i="19"/>
  <c r="M245" i="19"/>
  <c r="M246" i="19"/>
  <c r="M247" i="19"/>
  <c r="K7" i="4"/>
  <c r="L81" i="6"/>
  <c r="L225" i="6"/>
  <c r="M227" i="6"/>
  <c r="K232" i="6"/>
  <c r="N35" i="19"/>
  <c r="N36" i="19"/>
  <c r="N37" i="19"/>
  <c r="N38" i="19"/>
  <c r="N39" i="19"/>
  <c r="N40" i="19"/>
  <c r="N41" i="19"/>
  <c r="K232" i="19"/>
  <c r="K248" i="19"/>
  <c r="G42" i="6"/>
  <c r="L33" i="6"/>
  <c r="S48" i="6"/>
  <c r="K51" i="6"/>
  <c r="L56" i="6"/>
  <c r="M58" i="6"/>
  <c r="M59" i="6"/>
  <c r="K81" i="6"/>
  <c r="K125" i="6"/>
  <c r="S125" i="19"/>
  <c r="N138" i="19"/>
  <c r="W138" i="19" s="1"/>
  <c r="N170" i="19"/>
  <c r="N171" i="19"/>
  <c r="K225" i="19"/>
  <c r="K95" i="6"/>
  <c r="M123" i="19"/>
  <c r="M124" i="19"/>
  <c r="K164" i="6"/>
  <c r="K76" i="19"/>
  <c r="K125" i="19"/>
  <c r="T141" i="19"/>
  <c r="U141" i="19" s="1"/>
  <c r="N189" i="19"/>
  <c r="L248" i="19"/>
  <c r="S81" i="6"/>
  <c r="K88" i="6"/>
  <c r="S125" i="6"/>
  <c r="N134" i="6"/>
  <c r="N135" i="6"/>
  <c r="N136" i="6"/>
  <c r="S164" i="6"/>
  <c r="K191" i="6"/>
  <c r="K242" i="6"/>
  <c r="S280" i="6"/>
  <c r="S56" i="19"/>
  <c r="L76" i="19"/>
  <c r="S147" i="19"/>
  <c r="M267" i="19"/>
  <c r="T267" i="19"/>
  <c r="M268" i="19"/>
  <c r="T268" i="19"/>
  <c r="M269" i="19"/>
  <c r="T269" i="19"/>
  <c r="G7" i="3"/>
  <c r="M133" i="6"/>
  <c r="U133" i="6" s="1"/>
  <c r="L265" i="6"/>
  <c r="N66" i="19"/>
  <c r="N67" i="19"/>
  <c r="N68" i="19"/>
  <c r="K181" i="19"/>
  <c r="N269" i="19"/>
  <c r="S107" i="6"/>
  <c r="K115" i="6"/>
  <c r="S140" i="6"/>
  <c r="N176" i="6"/>
  <c r="N177" i="6"/>
  <c r="S213" i="6"/>
  <c r="K219" i="6"/>
  <c r="S164" i="19"/>
  <c r="S181" i="19"/>
  <c r="S242" i="19"/>
  <c r="L288" i="19"/>
  <c r="S33" i="6"/>
  <c r="U71" i="6"/>
  <c r="N142" i="6"/>
  <c r="N143" i="6"/>
  <c r="N144" i="6"/>
  <c r="N145" i="6"/>
  <c r="N146" i="6"/>
  <c r="M257" i="6"/>
  <c r="M258" i="6"/>
  <c r="L276" i="6"/>
  <c r="N24" i="19"/>
  <c r="N25" i="19"/>
  <c r="N26" i="19"/>
  <c r="L42" i="19"/>
  <c r="K56" i="19"/>
  <c r="S95" i="19"/>
  <c r="L115" i="19"/>
  <c r="N123" i="19"/>
  <c r="M133" i="19"/>
  <c r="W133" i="19" s="1"/>
  <c r="L147" i="19"/>
  <c r="L181" i="19"/>
  <c r="S280" i="19"/>
  <c r="O7" i="3"/>
  <c r="M7" i="4"/>
  <c r="N36" i="6"/>
  <c r="N37" i="6"/>
  <c r="N38" i="6"/>
  <c r="N39" i="6"/>
  <c r="N40" i="6"/>
  <c r="N41" i="6"/>
  <c r="L42" i="6"/>
  <c r="K107" i="6"/>
  <c r="L137" i="6"/>
  <c r="K140" i="6"/>
  <c r="N257" i="6"/>
  <c r="N258" i="6"/>
  <c r="K288" i="6"/>
  <c r="L99" i="19"/>
  <c r="L132" i="19"/>
  <c r="K153" i="19"/>
  <c r="N283" i="19"/>
  <c r="W159" i="6"/>
  <c r="S225" i="6"/>
  <c r="L280" i="6"/>
  <c r="S33" i="19"/>
  <c r="S48" i="19"/>
  <c r="K70" i="19"/>
  <c r="K88" i="19"/>
  <c r="K95" i="19"/>
  <c r="K107" i="19"/>
  <c r="W116" i="19"/>
  <c r="M145" i="19"/>
  <c r="M146" i="19"/>
  <c r="S153" i="19"/>
  <c r="M166" i="19"/>
  <c r="L174" i="19"/>
  <c r="S187" i="19"/>
  <c r="K191" i="19"/>
  <c r="K203" i="19"/>
  <c r="K213" i="19"/>
  <c r="N241" i="19"/>
  <c r="L255" i="19"/>
  <c r="M257" i="19"/>
  <c r="M258" i="19"/>
  <c r="S288" i="19"/>
  <c r="S293" i="19"/>
  <c r="S51" i="6"/>
  <c r="S76" i="6"/>
  <c r="L95" i="6"/>
  <c r="L140" i="6"/>
  <c r="W165" i="6"/>
  <c r="L187" i="6"/>
  <c r="L219" i="6"/>
  <c r="T243" i="6"/>
  <c r="U243" i="6" s="1"/>
  <c r="S242" i="6"/>
  <c r="N8" i="19"/>
  <c r="U8" i="19" s="1"/>
  <c r="L7" i="19"/>
  <c r="K33" i="6"/>
  <c r="K15" i="6"/>
  <c r="N45" i="6"/>
  <c r="N47" i="6"/>
  <c r="N59" i="6"/>
  <c r="N61" i="6"/>
  <c r="N63" i="6"/>
  <c r="M183" i="6"/>
  <c r="M184" i="6"/>
  <c r="M185" i="6"/>
  <c r="M186" i="6"/>
  <c r="M189" i="6"/>
  <c r="M190" i="6"/>
  <c r="M228" i="6"/>
  <c r="M229" i="6"/>
  <c r="M230" i="6"/>
  <c r="M231" i="6"/>
  <c r="N23" i="19"/>
  <c r="D21" i="19"/>
  <c r="T43" i="19"/>
  <c r="S42" i="19"/>
  <c r="N89" i="19"/>
  <c r="W89" i="19" s="1"/>
  <c r="L88" i="19"/>
  <c r="K27" i="6"/>
  <c r="N44" i="6"/>
  <c r="N46" i="6"/>
  <c r="N60" i="6"/>
  <c r="N62" i="6"/>
  <c r="S15" i="6"/>
  <c r="S27" i="6"/>
  <c r="K64" i="6"/>
  <c r="S70" i="6"/>
  <c r="N83" i="6"/>
  <c r="N84" i="6"/>
  <c r="N85" i="6"/>
  <c r="N86" i="6"/>
  <c r="N87" i="6"/>
  <c r="W96" i="6"/>
  <c r="K99" i="6"/>
  <c r="N110" i="6"/>
  <c r="N111" i="6"/>
  <c r="N112" i="6"/>
  <c r="N113" i="6"/>
  <c r="N114" i="6"/>
  <c r="M127" i="6"/>
  <c r="M128" i="6"/>
  <c r="M129" i="6"/>
  <c r="M130" i="6"/>
  <c r="M131" i="6"/>
  <c r="L164" i="6"/>
  <c r="L168" i="6"/>
  <c r="M170" i="6"/>
  <c r="M171" i="6"/>
  <c r="M172" i="6"/>
  <c r="M173" i="6"/>
  <c r="S174" i="6"/>
  <c r="M176" i="6"/>
  <c r="T176" i="6"/>
  <c r="M177" i="6"/>
  <c r="T177" i="6"/>
  <c r="M178" i="6"/>
  <c r="T178" i="6"/>
  <c r="M179" i="6"/>
  <c r="T179" i="6"/>
  <c r="M180" i="6"/>
  <c r="T180" i="6"/>
  <c r="C181" i="6"/>
  <c r="K197" i="6"/>
  <c r="W226" i="6"/>
  <c r="N244" i="6"/>
  <c r="N245" i="6"/>
  <c r="N246" i="6"/>
  <c r="N247" i="6"/>
  <c r="K255" i="6"/>
  <c r="T256" i="6"/>
  <c r="U256" i="6" s="1"/>
  <c r="S255" i="6"/>
  <c r="N16" i="19"/>
  <c r="L15" i="19"/>
  <c r="T258" i="6"/>
  <c r="K81" i="19"/>
  <c r="K137" i="19"/>
  <c r="T142" i="19"/>
  <c r="T143" i="19"/>
  <c r="T144" i="19"/>
  <c r="T145" i="19"/>
  <c r="T167" i="19"/>
  <c r="D168" i="19"/>
  <c r="W188" i="19"/>
  <c r="S191" i="19"/>
  <c r="K197" i="19"/>
  <c r="S203" i="19"/>
  <c r="K280" i="19"/>
  <c r="M17" i="19"/>
  <c r="M18" i="19"/>
  <c r="M19" i="19"/>
  <c r="M20" i="19"/>
  <c r="M50" i="19"/>
  <c r="M48" i="19" s="1"/>
  <c r="M90" i="19"/>
  <c r="M91" i="19"/>
  <c r="M92" i="19"/>
  <c r="M93" i="19"/>
  <c r="M94" i="19"/>
  <c r="N101" i="19"/>
  <c r="N102" i="19"/>
  <c r="N103" i="19"/>
  <c r="N104" i="19"/>
  <c r="N105" i="19"/>
  <c r="N106" i="19"/>
  <c r="N142" i="19"/>
  <c r="N143" i="19"/>
  <c r="N144" i="19"/>
  <c r="N145" i="19"/>
  <c r="N146" i="19"/>
  <c r="N166" i="19"/>
  <c r="R168" i="19"/>
  <c r="M183" i="19"/>
  <c r="T184" i="19"/>
  <c r="M185" i="19"/>
  <c r="T185" i="19"/>
  <c r="M186" i="19"/>
  <c r="T186" i="19"/>
  <c r="N196" i="19"/>
  <c r="K293" i="19"/>
  <c r="K259" i="6"/>
  <c r="M267" i="6"/>
  <c r="M268" i="6"/>
  <c r="M269" i="6"/>
  <c r="M278" i="6"/>
  <c r="M279" i="6"/>
  <c r="M295" i="6"/>
  <c r="M296" i="6"/>
  <c r="M297" i="6"/>
  <c r="M298" i="6"/>
  <c r="M299" i="6"/>
  <c r="M300" i="6"/>
  <c r="M301" i="6"/>
  <c r="N17" i="19"/>
  <c r="N18" i="19"/>
  <c r="N19" i="19"/>
  <c r="N20" i="19"/>
  <c r="S21" i="19"/>
  <c r="M23" i="19"/>
  <c r="M24" i="19"/>
  <c r="L27" i="19"/>
  <c r="M30" i="19"/>
  <c r="M31" i="19"/>
  <c r="M32" i="19"/>
  <c r="N50" i="19"/>
  <c r="N48" i="19" s="1"/>
  <c r="M53" i="19"/>
  <c r="M55" i="19"/>
  <c r="M97" i="19"/>
  <c r="M98" i="19"/>
  <c r="D99" i="19"/>
  <c r="N109" i="19"/>
  <c r="N110" i="19"/>
  <c r="N112" i="19"/>
  <c r="N113" i="19"/>
  <c r="N114" i="19"/>
  <c r="S115" i="19"/>
  <c r="M117" i="19"/>
  <c r="M118" i="19"/>
  <c r="T118" i="19"/>
  <c r="T119" i="19"/>
  <c r="M120" i="19"/>
  <c r="T120" i="19"/>
  <c r="C121" i="19"/>
  <c r="N152" i="19"/>
  <c r="L153" i="19"/>
  <c r="S168" i="19"/>
  <c r="M172" i="19"/>
  <c r="M173" i="19"/>
  <c r="K174" i="19"/>
  <c r="N183" i="19"/>
  <c r="N184" i="19"/>
  <c r="N185" i="19"/>
  <c r="L237" i="19"/>
  <c r="N243" i="19"/>
  <c r="W243" i="19" s="1"/>
  <c r="N290" i="19"/>
  <c r="N292" i="19"/>
  <c r="K7" i="3"/>
  <c r="L15" i="6"/>
  <c r="L27" i="6"/>
  <c r="K42" i="6"/>
  <c r="N52" i="6"/>
  <c r="W52" i="6" s="1"/>
  <c r="S56" i="6"/>
  <c r="T58" i="6"/>
  <c r="N89" i="6"/>
  <c r="L88" i="6"/>
  <c r="L99" i="6"/>
  <c r="M9" i="6"/>
  <c r="T9" i="6"/>
  <c r="M10" i="6"/>
  <c r="T10" i="6"/>
  <c r="M11" i="6"/>
  <c r="T11" i="6"/>
  <c r="M12" i="6"/>
  <c r="T12" i="6"/>
  <c r="M13" i="6"/>
  <c r="T13" i="6"/>
  <c r="M14" i="6"/>
  <c r="T14" i="6"/>
  <c r="M17" i="6"/>
  <c r="M18" i="6"/>
  <c r="M19" i="6"/>
  <c r="M20" i="6"/>
  <c r="T20" i="6"/>
  <c r="M50" i="6"/>
  <c r="M48" i="6" s="1"/>
  <c r="T50" i="6"/>
  <c r="T48" i="6" s="1"/>
  <c r="N58" i="6"/>
  <c r="S64" i="6"/>
  <c r="T96" i="6"/>
  <c r="U96" i="6" s="1"/>
  <c r="S95" i="6"/>
  <c r="N109" i="6"/>
  <c r="D107" i="6"/>
  <c r="I9" i="3"/>
  <c r="C7" i="3"/>
  <c r="I8" i="3"/>
  <c r="N7" i="3"/>
  <c r="E9" i="3"/>
  <c r="U8" i="6"/>
  <c r="N17" i="6"/>
  <c r="N18" i="6"/>
  <c r="N19" i="6"/>
  <c r="N20" i="6"/>
  <c r="S42" i="6"/>
  <c r="M44" i="6"/>
  <c r="M45" i="6"/>
  <c r="M46" i="6"/>
  <c r="M47" i="6"/>
  <c r="L48" i="6"/>
  <c r="K56" i="6"/>
  <c r="L107" i="6"/>
  <c r="N116" i="6"/>
  <c r="L115" i="6"/>
  <c r="M16" i="19"/>
  <c r="K15" i="19"/>
  <c r="K121" i="6"/>
  <c r="U126" i="6"/>
  <c r="S158" i="6"/>
  <c r="S168" i="6"/>
  <c r="O174" i="6"/>
  <c r="L191" i="6"/>
  <c r="L242" i="6"/>
  <c r="S259" i="6"/>
  <c r="S265" i="6"/>
  <c r="T267" i="6"/>
  <c r="T268" i="6"/>
  <c r="T269" i="6"/>
  <c r="T278" i="6"/>
  <c r="T279" i="6"/>
  <c r="D7" i="12"/>
  <c r="E9" i="12"/>
  <c r="E11" i="12"/>
  <c r="T23" i="19"/>
  <c r="N66" i="6"/>
  <c r="N67" i="6"/>
  <c r="N68" i="6"/>
  <c r="N69" i="6"/>
  <c r="K70" i="6"/>
  <c r="M78" i="6"/>
  <c r="M79" i="6"/>
  <c r="M80" i="6"/>
  <c r="S88" i="6"/>
  <c r="S99" i="6"/>
  <c r="M101" i="6"/>
  <c r="T101" i="6"/>
  <c r="M102" i="6"/>
  <c r="T102" i="6"/>
  <c r="M103" i="6"/>
  <c r="T103" i="6"/>
  <c r="M104" i="6"/>
  <c r="T104" i="6"/>
  <c r="M105" i="6"/>
  <c r="T105" i="6"/>
  <c r="M106" i="6"/>
  <c r="T106" i="6"/>
  <c r="S115" i="6"/>
  <c r="M117" i="6"/>
  <c r="T117" i="6"/>
  <c r="M118" i="6"/>
  <c r="T118" i="6"/>
  <c r="M119" i="6"/>
  <c r="T119" i="6"/>
  <c r="M120" i="6"/>
  <c r="T120" i="6"/>
  <c r="K147" i="6"/>
  <c r="K153" i="6"/>
  <c r="M160" i="6"/>
  <c r="M161" i="6"/>
  <c r="M162" i="6"/>
  <c r="M163" i="6"/>
  <c r="M193" i="6"/>
  <c r="M194" i="6"/>
  <c r="M195" i="6"/>
  <c r="M196" i="6"/>
  <c r="N205" i="6"/>
  <c r="N206" i="6"/>
  <c r="N207" i="6"/>
  <c r="M221" i="6"/>
  <c r="M222" i="6"/>
  <c r="M223" i="6"/>
  <c r="M224" i="6"/>
  <c r="C225" i="6"/>
  <c r="N234" i="6"/>
  <c r="N235" i="6"/>
  <c r="N236" i="6"/>
  <c r="S237" i="6"/>
  <c r="M239" i="6"/>
  <c r="M240" i="6"/>
  <c r="T240" i="6"/>
  <c r="M241" i="6"/>
  <c r="T241" i="6"/>
  <c r="D242" i="6"/>
  <c r="L248" i="6"/>
  <c r="N261" i="6"/>
  <c r="N262" i="6"/>
  <c r="N263" i="6"/>
  <c r="N264" i="6"/>
  <c r="N267" i="6"/>
  <c r="N268" i="6"/>
  <c r="N269" i="6"/>
  <c r="K270" i="6"/>
  <c r="N278" i="6"/>
  <c r="N279" i="6"/>
  <c r="U281" i="6"/>
  <c r="K293" i="6"/>
  <c r="S27" i="19"/>
  <c r="M29" i="19"/>
  <c r="C27" i="19"/>
  <c r="T59" i="6"/>
  <c r="M60" i="6"/>
  <c r="T60" i="6"/>
  <c r="M61" i="6"/>
  <c r="T61" i="6"/>
  <c r="M62" i="6"/>
  <c r="T62" i="6"/>
  <c r="M63" i="6"/>
  <c r="T63" i="6"/>
  <c r="M77" i="6"/>
  <c r="N101" i="6"/>
  <c r="N102" i="6"/>
  <c r="N103" i="6"/>
  <c r="N104" i="6"/>
  <c r="N105" i="6"/>
  <c r="N106" i="6"/>
  <c r="N117" i="6"/>
  <c r="N118" i="6"/>
  <c r="N119" i="6"/>
  <c r="N120" i="6"/>
  <c r="L132" i="6"/>
  <c r="L147" i="6"/>
  <c r="K168" i="6"/>
  <c r="L208" i="6"/>
  <c r="N214" i="6"/>
  <c r="U214" i="6" s="1"/>
  <c r="L237" i="6"/>
  <c r="N239" i="6"/>
  <c r="N240" i="6"/>
  <c r="N241" i="6"/>
  <c r="L270" i="6"/>
  <c r="K280" i="6"/>
  <c r="N282" i="6"/>
  <c r="N283" i="6"/>
  <c r="N284" i="6"/>
  <c r="N285" i="6"/>
  <c r="N286" i="6"/>
  <c r="N287" i="6"/>
  <c r="N290" i="6"/>
  <c r="N291" i="6"/>
  <c r="N292" i="6"/>
  <c r="L293" i="6"/>
  <c r="S15" i="19"/>
  <c r="T17" i="19"/>
  <c r="T18" i="19"/>
  <c r="T19" i="19"/>
  <c r="T20" i="19"/>
  <c r="C21" i="19"/>
  <c r="N22" i="19"/>
  <c r="L21" i="19"/>
  <c r="K48" i="19"/>
  <c r="L70" i="19"/>
  <c r="S88" i="19"/>
  <c r="T97" i="19"/>
  <c r="N108" i="19"/>
  <c r="W108" i="19" s="1"/>
  <c r="N169" i="19"/>
  <c r="U169" i="19" s="1"/>
  <c r="T175" i="19"/>
  <c r="U175" i="19" s="1"/>
  <c r="K187" i="19"/>
  <c r="L191" i="19"/>
  <c r="S197" i="19"/>
  <c r="N204" i="19"/>
  <c r="L208" i="19"/>
  <c r="S219" i="19"/>
  <c r="S232" i="19"/>
  <c r="T245" i="19"/>
  <c r="T246" i="19"/>
  <c r="T247" i="19"/>
  <c r="T257" i="19"/>
  <c r="K265" i="19"/>
  <c r="N10" i="19"/>
  <c r="N11" i="19"/>
  <c r="N12" i="19"/>
  <c r="N13" i="19"/>
  <c r="N14" i="19"/>
  <c r="N29" i="19"/>
  <c r="N30" i="19"/>
  <c r="N31" i="19"/>
  <c r="N32" i="19"/>
  <c r="L33" i="19"/>
  <c r="N53" i="19"/>
  <c r="N54" i="19"/>
  <c r="N55" i="19"/>
  <c r="M59" i="19"/>
  <c r="M60" i="19"/>
  <c r="M61" i="19"/>
  <c r="M63" i="19"/>
  <c r="S70" i="19"/>
  <c r="M72" i="19"/>
  <c r="T72" i="19"/>
  <c r="M73" i="19"/>
  <c r="T73" i="19"/>
  <c r="T74" i="19"/>
  <c r="M75" i="19"/>
  <c r="T75" i="19"/>
  <c r="N78" i="19"/>
  <c r="N80" i="19"/>
  <c r="N90" i="19"/>
  <c r="N91" i="19"/>
  <c r="N92" i="19"/>
  <c r="N93" i="19"/>
  <c r="N94" i="19"/>
  <c r="K99" i="19"/>
  <c r="T133" i="19"/>
  <c r="K158" i="19"/>
  <c r="N199" i="19"/>
  <c r="N201" i="19"/>
  <c r="N202" i="19"/>
  <c r="S225" i="19"/>
  <c r="N245" i="19"/>
  <c r="N246" i="19"/>
  <c r="N247" i="19"/>
  <c r="N258" i="19"/>
  <c r="L265" i="19"/>
  <c r="M272" i="19"/>
  <c r="M273" i="19"/>
  <c r="M274" i="19"/>
  <c r="M275" i="19"/>
  <c r="O280" i="19"/>
  <c r="R280" i="19"/>
  <c r="F280" i="19"/>
  <c r="J280" i="19"/>
  <c r="J293" i="19"/>
  <c r="M25" i="19"/>
  <c r="M26" i="19"/>
  <c r="M35" i="19"/>
  <c r="M36" i="19"/>
  <c r="M37" i="19"/>
  <c r="M38" i="19"/>
  <c r="M39" i="19"/>
  <c r="M40" i="19"/>
  <c r="M41" i="19"/>
  <c r="N59" i="19"/>
  <c r="N60" i="19"/>
  <c r="N62" i="19"/>
  <c r="N63" i="19"/>
  <c r="M66" i="19"/>
  <c r="M67" i="19"/>
  <c r="M68" i="19"/>
  <c r="M69" i="19"/>
  <c r="O64" i="19"/>
  <c r="N83" i="19"/>
  <c r="N84" i="19"/>
  <c r="N86" i="19"/>
  <c r="N87" i="19"/>
  <c r="T134" i="19"/>
  <c r="M135" i="19"/>
  <c r="T135" i="19"/>
  <c r="M136" i="19"/>
  <c r="T136" i="19"/>
  <c r="N161" i="19"/>
  <c r="N163" i="19"/>
  <c r="M170" i="19"/>
  <c r="O168" i="19"/>
  <c r="M171" i="19"/>
  <c r="N211" i="19"/>
  <c r="N212" i="19"/>
  <c r="N235" i="19"/>
  <c r="N236" i="19"/>
  <c r="M261" i="19"/>
  <c r="M263" i="19"/>
  <c r="M264" i="19"/>
  <c r="N278" i="19"/>
  <c r="N282" i="19"/>
  <c r="M284" i="19"/>
  <c r="M285" i="19"/>
  <c r="M286" i="19"/>
  <c r="M287" i="19"/>
  <c r="D288" i="19"/>
  <c r="M290" i="19"/>
  <c r="T290" i="19"/>
  <c r="M291" i="19"/>
  <c r="T291" i="19"/>
  <c r="T292" i="19"/>
  <c r="D293" i="19"/>
  <c r="H293" i="19"/>
  <c r="M297" i="19"/>
  <c r="M299" i="19"/>
  <c r="M300" i="19"/>
  <c r="R7" i="6"/>
  <c r="T17" i="6"/>
  <c r="T18" i="6"/>
  <c r="T19" i="6"/>
  <c r="N22" i="6"/>
  <c r="W22" i="6" s="1"/>
  <c r="L21" i="6"/>
  <c r="L7" i="6"/>
  <c r="G7" i="6"/>
  <c r="P15" i="6"/>
  <c r="T22" i="6"/>
  <c r="S21" i="6"/>
  <c r="F21" i="6"/>
  <c r="J21" i="6"/>
  <c r="K7" i="6"/>
  <c r="E8" i="3"/>
  <c r="F7" i="3"/>
  <c r="L7" i="3"/>
  <c r="I10" i="3"/>
  <c r="I11" i="3"/>
  <c r="I12" i="3"/>
  <c r="N9" i="6"/>
  <c r="N10" i="6"/>
  <c r="H7" i="6"/>
  <c r="N11" i="6"/>
  <c r="N12" i="6"/>
  <c r="N13" i="6"/>
  <c r="N14" i="6"/>
  <c r="D15" i="6"/>
  <c r="B7" i="3"/>
  <c r="M7" i="3"/>
  <c r="E10" i="3"/>
  <c r="E11" i="3"/>
  <c r="E12" i="3"/>
  <c r="S7" i="6"/>
  <c r="O15" i="6"/>
  <c r="F15" i="6"/>
  <c r="R27" i="6"/>
  <c r="E33" i="6"/>
  <c r="I33" i="6"/>
  <c r="P42" i="6"/>
  <c r="H42" i="6"/>
  <c r="P56" i="6"/>
  <c r="H56" i="6"/>
  <c r="R70" i="6"/>
  <c r="F70" i="6"/>
  <c r="J70" i="6"/>
  <c r="T78" i="6"/>
  <c r="T79" i="6"/>
  <c r="G76" i="6"/>
  <c r="T80" i="6"/>
  <c r="E81" i="6"/>
  <c r="I81" i="6"/>
  <c r="Q81" i="6"/>
  <c r="R88" i="6"/>
  <c r="F88" i="6"/>
  <c r="J88" i="6"/>
  <c r="H99" i="6"/>
  <c r="Q107" i="6"/>
  <c r="E107" i="6"/>
  <c r="I107" i="6"/>
  <c r="P115" i="6"/>
  <c r="H115" i="6"/>
  <c r="F121" i="6"/>
  <c r="J121" i="6"/>
  <c r="T127" i="6"/>
  <c r="T128" i="6"/>
  <c r="G125" i="6"/>
  <c r="T129" i="6"/>
  <c r="T130" i="6"/>
  <c r="T131" i="6"/>
  <c r="D132" i="6"/>
  <c r="Q132" i="6"/>
  <c r="T138" i="6"/>
  <c r="Q140" i="6"/>
  <c r="F147" i="6"/>
  <c r="J147" i="6"/>
  <c r="F153" i="6"/>
  <c r="T160" i="6"/>
  <c r="T161" i="6"/>
  <c r="T162" i="6"/>
  <c r="T163" i="6"/>
  <c r="T170" i="6"/>
  <c r="T171" i="6"/>
  <c r="T172" i="6"/>
  <c r="T173" i="6"/>
  <c r="C174" i="6"/>
  <c r="T183" i="6"/>
  <c r="E15" i="6"/>
  <c r="I15" i="6"/>
  <c r="K21" i="6"/>
  <c r="M23" i="6"/>
  <c r="T23" i="6"/>
  <c r="M24" i="6"/>
  <c r="T24" i="6"/>
  <c r="T25" i="6"/>
  <c r="M26" i="6"/>
  <c r="T26" i="6"/>
  <c r="M29" i="6"/>
  <c r="O27" i="6"/>
  <c r="M31" i="6"/>
  <c r="T31" i="6"/>
  <c r="C27" i="6"/>
  <c r="G27" i="6"/>
  <c r="E42" i="6"/>
  <c r="I42" i="6"/>
  <c r="O48" i="6"/>
  <c r="N50" i="6"/>
  <c r="N48" i="6" s="1"/>
  <c r="M53" i="6"/>
  <c r="T53" i="6"/>
  <c r="M54" i="6"/>
  <c r="T54" i="6"/>
  <c r="M55" i="6"/>
  <c r="T55" i="6"/>
  <c r="C56" i="6"/>
  <c r="O56" i="6"/>
  <c r="E56" i="6"/>
  <c r="I56" i="6"/>
  <c r="R64" i="6"/>
  <c r="F64" i="6"/>
  <c r="J64" i="6"/>
  <c r="M72" i="6"/>
  <c r="T72" i="6"/>
  <c r="M73" i="6"/>
  <c r="T73" i="6"/>
  <c r="M74" i="6"/>
  <c r="G70" i="6"/>
  <c r="T74" i="6"/>
  <c r="M75" i="6"/>
  <c r="T75" i="6"/>
  <c r="N77" i="6"/>
  <c r="N78" i="6"/>
  <c r="N79" i="6"/>
  <c r="H76" i="6"/>
  <c r="N80" i="6"/>
  <c r="M90" i="6"/>
  <c r="T90" i="6"/>
  <c r="M91" i="6"/>
  <c r="T91" i="6"/>
  <c r="M92" i="6"/>
  <c r="G88" i="6"/>
  <c r="T92" i="6"/>
  <c r="M93" i="6"/>
  <c r="T93" i="6"/>
  <c r="M94" i="6"/>
  <c r="T94" i="6"/>
  <c r="M97" i="6"/>
  <c r="T97" i="6"/>
  <c r="M98" i="6"/>
  <c r="G95" i="6"/>
  <c r="T98" i="6"/>
  <c r="E99" i="6"/>
  <c r="I99" i="6"/>
  <c r="Q99" i="6"/>
  <c r="F107" i="6"/>
  <c r="J107" i="6"/>
  <c r="E115" i="6"/>
  <c r="I115" i="6"/>
  <c r="S121" i="6"/>
  <c r="M123" i="6"/>
  <c r="T123" i="6"/>
  <c r="M124" i="6"/>
  <c r="T124" i="6"/>
  <c r="N127" i="6"/>
  <c r="N128" i="6"/>
  <c r="H125" i="6"/>
  <c r="N129" i="6"/>
  <c r="N130" i="6"/>
  <c r="P125" i="6"/>
  <c r="N131" i="6"/>
  <c r="F132" i="6"/>
  <c r="J132" i="6"/>
  <c r="M138" i="6"/>
  <c r="W138" i="6" s="1"/>
  <c r="M139" i="6"/>
  <c r="T139" i="6"/>
  <c r="D140" i="6"/>
  <c r="F140" i="6"/>
  <c r="J140" i="6"/>
  <c r="S147" i="6"/>
  <c r="M149" i="6"/>
  <c r="T149" i="6"/>
  <c r="M150" i="6"/>
  <c r="T150" i="6"/>
  <c r="M151" i="6"/>
  <c r="T151" i="6"/>
  <c r="M152" i="6"/>
  <c r="T152" i="6"/>
  <c r="L153" i="6"/>
  <c r="S153" i="6"/>
  <c r="M155" i="6"/>
  <c r="T155" i="6"/>
  <c r="M156" i="6"/>
  <c r="T156" i="6"/>
  <c r="M157" i="6"/>
  <c r="T157" i="6"/>
  <c r="C158" i="6"/>
  <c r="K158" i="6"/>
  <c r="N160" i="6"/>
  <c r="N161" i="6"/>
  <c r="N162" i="6"/>
  <c r="N163" i="6"/>
  <c r="M166" i="6"/>
  <c r="M167" i="6"/>
  <c r="T167" i="6"/>
  <c r="C168" i="6"/>
  <c r="O168" i="6"/>
  <c r="N170" i="6"/>
  <c r="N171" i="6"/>
  <c r="N172" i="6"/>
  <c r="N173" i="6"/>
  <c r="D174" i="6"/>
  <c r="N175" i="6"/>
  <c r="E174" i="6"/>
  <c r="I174" i="6"/>
  <c r="M182" i="6"/>
  <c r="K181" i="6"/>
  <c r="J15" i="6"/>
  <c r="N23" i="6"/>
  <c r="N25" i="6"/>
  <c r="N26" i="6"/>
  <c r="N30" i="6"/>
  <c r="D27" i="6"/>
  <c r="H27" i="6"/>
  <c r="N32" i="6"/>
  <c r="M35" i="6"/>
  <c r="O33" i="6"/>
  <c r="M37" i="6"/>
  <c r="T37" i="6"/>
  <c r="M38" i="6"/>
  <c r="G33" i="6"/>
  <c r="T38" i="6"/>
  <c r="M39" i="6"/>
  <c r="T39" i="6"/>
  <c r="M40" i="6"/>
  <c r="T40" i="6"/>
  <c r="M41" i="6"/>
  <c r="T41" i="6"/>
  <c r="C42" i="6"/>
  <c r="F42" i="6"/>
  <c r="J42" i="6"/>
  <c r="R42" i="6"/>
  <c r="N53" i="6"/>
  <c r="N54" i="6"/>
  <c r="N55" i="6"/>
  <c r="H51" i="6"/>
  <c r="F56" i="6"/>
  <c r="J56" i="6"/>
  <c r="R56" i="6"/>
  <c r="M66" i="6"/>
  <c r="T66" i="6"/>
  <c r="M67" i="6"/>
  <c r="T67" i="6"/>
  <c r="M68" i="6"/>
  <c r="G64" i="6"/>
  <c r="T68" i="6"/>
  <c r="M69" i="6"/>
  <c r="T69" i="6"/>
  <c r="N72" i="6"/>
  <c r="N73" i="6"/>
  <c r="H70" i="6"/>
  <c r="N74" i="6"/>
  <c r="N75" i="6"/>
  <c r="P70" i="6"/>
  <c r="M83" i="6"/>
  <c r="T83" i="6"/>
  <c r="M84" i="6"/>
  <c r="T84" i="6"/>
  <c r="M85" i="6"/>
  <c r="T85" i="6"/>
  <c r="M86" i="6"/>
  <c r="G81" i="6"/>
  <c r="T86" i="6"/>
  <c r="M87" i="6"/>
  <c r="T87" i="6"/>
  <c r="N90" i="6"/>
  <c r="N91" i="6"/>
  <c r="H88" i="6"/>
  <c r="N92" i="6"/>
  <c r="N93" i="6"/>
  <c r="P88" i="6"/>
  <c r="N94" i="6"/>
  <c r="N97" i="6"/>
  <c r="N98" i="6"/>
  <c r="M109" i="6"/>
  <c r="T109" i="6"/>
  <c r="M110" i="6"/>
  <c r="G107" i="6"/>
  <c r="T110" i="6"/>
  <c r="M111" i="6"/>
  <c r="T111" i="6"/>
  <c r="M112" i="6"/>
  <c r="T112" i="6"/>
  <c r="M113" i="6"/>
  <c r="T113" i="6"/>
  <c r="M114" i="6"/>
  <c r="T114" i="6"/>
  <c r="C115" i="6"/>
  <c r="O115" i="6"/>
  <c r="F115" i="6"/>
  <c r="J115" i="6"/>
  <c r="R115" i="6"/>
  <c r="L121" i="6"/>
  <c r="N123" i="6"/>
  <c r="N124" i="6"/>
  <c r="P121" i="6"/>
  <c r="M134" i="6"/>
  <c r="T134" i="6"/>
  <c r="M135" i="6"/>
  <c r="G132" i="6"/>
  <c r="T135" i="6"/>
  <c r="M136" i="6"/>
  <c r="T136" i="6"/>
  <c r="C137" i="6"/>
  <c r="N139" i="6"/>
  <c r="N137" i="6" s="1"/>
  <c r="M142" i="6"/>
  <c r="M143" i="6"/>
  <c r="G140" i="6"/>
  <c r="T143" i="6"/>
  <c r="M144" i="6"/>
  <c r="T144" i="6"/>
  <c r="M145" i="6"/>
  <c r="T145" i="6"/>
  <c r="M146" i="6"/>
  <c r="T146" i="6"/>
  <c r="C147" i="6"/>
  <c r="N149" i="6"/>
  <c r="N150" i="6"/>
  <c r="P147" i="6"/>
  <c r="N151" i="6"/>
  <c r="N152" i="6"/>
  <c r="O153" i="6"/>
  <c r="N155" i="6"/>
  <c r="N156" i="6"/>
  <c r="N157" i="6"/>
  <c r="D158" i="6"/>
  <c r="L158" i="6"/>
  <c r="N166" i="6"/>
  <c r="N167" i="6"/>
  <c r="D168" i="6"/>
  <c r="E168" i="6"/>
  <c r="I168" i="6"/>
  <c r="K174" i="6"/>
  <c r="N182" i="6"/>
  <c r="L181" i="6"/>
  <c r="E27" i="6"/>
  <c r="I27" i="6"/>
  <c r="H33" i="6"/>
  <c r="T44" i="6"/>
  <c r="T45" i="6"/>
  <c r="T46" i="6"/>
  <c r="T47" i="6"/>
  <c r="C48" i="6"/>
  <c r="E51" i="6"/>
  <c r="I51" i="6"/>
  <c r="H64" i="6"/>
  <c r="P64" i="6"/>
  <c r="R76" i="6"/>
  <c r="H81" i="6"/>
  <c r="Q95" i="6"/>
  <c r="G99" i="6"/>
  <c r="R125" i="6"/>
  <c r="F125" i="6"/>
  <c r="J125" i="6"/>
  <c r="E147" i="6"/>
  <c r="I147" i="6"/>
  <c r="T182" i="6"/>
  <c r="S181" i="6"/>
  <c r="F191" i="6"/>
  <c r="J191" i="6"/>
  <c r="F219" i="6"/>
  <c r="J219" i="6"/>
  <c r="F225" i="6"/>
  <c r="J225" i="6"/>
  <c r="W243" i="6"/>
  <c r="E248" i="6"/>
  <c r="I248" i="6"/>
  <c r="H259" i="6"/>
  <c r="E270" i="6"/>
  <c r="I270" i="6"/>
  <c r="W281" i="6"/>
  <c r="F293" i="6"/>
  <c r="J293" i="6"/>
  <c r="K7" i="19"/>
  <c r="S7" i="19"/>
  <c r="N9" i="19"/>
  <c r="H7" i="19"/>
  <c r="D15" i="19"/>
  <c r="O15" i="19"/>
  <c r="M34" i="19"/>
  <c r="W34" i="19" s="1"/>
  <c r="K33" i="19"/>
  <c r="T184" i="6"/>
  <c r="T185" i="6"/>
  <c r="T186" i="6"/>
  <c r="T189" i="6"/>
  <c r="T190" i="6"/>
  <c r="S191" i="6"/>
  <c r="T193" i="6"/>
  <c r="T194" i="6"/>
  <c r="T195" i="6"/>
  <c r="T196" i="6"/>
  <c r="S208" i="6"/>
  <c r="T221" i="6"/>
  <c r="T222" i="6"/>
  <c r="T223" i="6"/>
  <c r="T224" i="6"/>
  <c r="T227" i="6"/>
  <c r="T228" i="6"/>
  <c r="T229" i="6"/>
  <c r="T230" i="6"/>
  <c r="T231" i="6"/>
  <c r="D232" i="6"/>
  <c r="E232" i="6"/>
  <c r="I232" i="6"/>
  <c r="H237" i="6"/>
  <c r="E242" i="6"/>
  <c r="I242" i="6"/>
  <c r="T249" i="6"/>
  <c r="H255" i="6"/>
  <c r="N260" i="6"/>
  <c r="E259" i="6"/>
  <c r="I259" i="6"/>
  <c r="O265" i="6"/>
  <c r="H265" i="6"/>
  <c r="S270" i="6"/>
  <c r="E280" i="6"/>
  <c r="I280" i="6"/>
  <c r="E288" i="6"/>
  <c r="I288" i="6"/>
  <c r="S293" i="6"/>
  <c r="T295" i="6"/>
  <c r="T296" i="6"/>
  <c r="T297" i="6"/>
  <c r="T298" i="6"/>
  <c r="T299" i="6"/>
  <c r="T300" i="6"/>
  <c r="T301" i="6"/>
  <c r="M28" i="19"/>
  <c r="W28" i="19" s="1"/>
  <c r="K27" i="19"/>
  <c r="D33" i="19"/>
  <c r="N183" i="6"/>
  <c r="N184" i="6"/>
  <c r="H181" i="6"/>
  <c r="N185" i="6"/>
  <c r="N186" i="6"/>
  <c r="M188" i="6"/>
  <c r="U188" i="6" s="1"/>
  <c r="N189" i="6"/>
  <c r="N190" i="6"/>
  <c r="H187" i="6"/>
  <c r="N193" i="6"/>
  <c r="N194" i="6"/>
  <c r="N195" i="6"/>
  <c r="N196" i="6"/>
  <c r="L197" i="6"/>
  <c r="S197" i="6"/>
  <c r="M199" i="6"/>
  <c r="T199" i="6"/>
  <c r="M200" i="6"/>
  <c r="T200" i="6"/>
  <c r="M201" i="6"/>
  <c r="T201" i="6"/>
  <c r="M202" i="6"/>
  <c r="T202" i="6"/>
  <c r="K203" i="6"/>
  <c r="M210" i="6"/>
  <c r="T210" i="6"/>
  <c r="M211" i="6"/>
  <c r="T211" i="6"/>
  <c r="M212" i="6"/>
  <c r="T212" i="6"/>
  <c r="K213" i="6"/>
  <c r="M215" i="6"/>
  <c r="T215" i="6"/>
  <c r="M216" i="6"/>
  <c r="M217" i="6"/>
  <c r="T217" i="6"/>
  <c r="T218" i="6"/>
  <c r="N221" i="6"/>
  <c r="N222" i="6"/>
  <c r="N223" i="6"/>
  <c r="N224" i="6"/>
  <c r="N227" i="6"/>
  <c r="N228" i="6"/>
  <c r="N229" i="6"/>
  <c r="N230" i="6"/>
  <c r="N231" i="6"/>
  <c r="S232" i="6"/>
  <c r="M238" i="6"/>
  <c r="M249" i="6"/>
  <c r="M250" i="6"/>
  <c r="M251" i="6"/>
  <c r="G248" i="6"/>
  <c r="T251" i="6"/>
  <c r="M252" i="6"/>
  <c r="T252" i="6"/>
  <c r="M253" i="6"/>
  <c r="T253" i="6"/>
  <c r="M254" i="6"/>
  <c r="T254" i="6"/>
  <c r="C255" i="6"/>
  <c r="F259" i="6"/>
  <c r="J259" i="6"/>
  <c r="M272" i="6"/>
  <c r="T272" i="6"/>
  <c r="M273" i="6"/>
  <c r="T273" i="6"/>
  <c r="M274" i="6"/>
  <c r="T274" i="6"/>
  <c r="M275" i="6"/>
  <c r="T275" i="6"/>
  <c r="D276" i="6"/>
  <c r="E276" i="6"/>
  <c r="I276" i="6"/>
  <c r="L288" i="6"/>
  <c r="S288" i="6"/>
  <c r="O293" i="6"/>
  <c r="N295" i="6"/>
  <c r="N296" i="6"/>
  <c r="N297" i="6"/>
  <c r="N298" i="6"/>
  <c r="N299" i="6"/>
  <c r="N300" i="6"/>
  <c r="N301" i="6"/>
  <c r="N6" i="16"/>
  <c r="D27" i="19"/>
  <c r="S187" i="6"/>
  <c r="O191" i="6"/>
  <c r="E191" i="6"/>
  <c r="I191" i="6"/>
  <c r="O197" i="6"/>
  <c r="N199" i="6"/>
  <c r="N200" i="6"/>
  <c r="N201" i="6"/>
  <c r="N202" i="6"/>
  <c r="D203" i="6"/>
  <c r="L203" i="6"/>
  <c r="S203" i="6"/>
  <c r="M205" i="6"/>
  <c r="T205" i="6"/>
  <c r="M206" i="6"/>
  <c r="T206" i="6"/>
  <c r="M207" i="6"/>
  <c r="T207" i="6"/>
  <c r="C208" i="6"/>
  <c r="K208" i="6"/>
  <c r="N210" i="6"/>
  <c r="N211" i="6"/>
  <c r="N212" i="6"/>
  <c r="N215" i="6"/>
  <c r="N216" i="6"/>
  <c r="N217" i="6"/>
  <c r="N218" i="6"/>
  <c r="O219" i="6"/>
  <c r="K225" i="6"/>
  <c r="L232" i="6"/>
  <c r="M234" i="6"/>
  <c r="T234" i="6"/>
  <c r="M235" i="6"/>
  <c r="T235" i="6"/>
  <c r="M236" i="6"/>
  <c r="T236" i="6"/>
  <c r="C237" i="6"/>
  <c r="F237" i="6"/>
  <c r="J237" i="6"/>
  <c r="M244" i="6"/>
  <c r="M245" i="6"/>
  <c r="G242" i="6"/>
  <c r="T245" i="6"/>
  <c r="M246" i="6"/>
  <c r="T246" i="6"/>
  <c r="M247" i="6"/>
  <c r="T247" i="6"/>
  <c r="N250" i="6"/>
  <c r="N251" i="6"/>
  <c r="N252" i="6"/>
  <c r="N253" i="6"/>
  <c r="N254" i="6"/>
  <c r="L255" i="6"/>
  <c r="F255" i="6"/>
  <c r="J255" i="6"/>
  <c r="M261" i="6"/>
  <c r="T261" i="6"/>
  <c r="M262" i="6"/>
  <c r="T262" i="6"/>
  <c r="M263" i="6"/>
  <c r="T263" i="6"/>
  <c r="M264" i="6"/>
  <c r="T264" i="6"/>
  <c r="C265" i="6"/>
  <c r="K265" i="6"/>
  <c r="F265" i="6"/>
  <c r="J265" i="6"/>
  <c r="O270" i="6"/>
  <c r="N272" i="6"/>
  <c r="N273" i="6"/>
  <c r="N274" i="6"/>
  <c r="N275" i="6"/>
  <c r="K276" i="6"/>
  <c r="S276" i="6"/>
  <c r="M282" i="6"/>
  <c r="M283" i="6"/>
  <c r="G280" i="6"/>
  <c r="T283" i="6"/>
  <c r="M284" i="6"/>
  <c r="T284" i="6"/>
  <c r="M285" i="6"/>
  <c r="T285" i="6"/>
  <c r="M286" i="6"/>
  <c r="T286" i="6"/>
  <c r="M287" i="6"/>
  <c r="T287" i="6"/>
  <c r="M290" i="6"/>
  <c r="T290" i="6"/>
  <c r="M291" i="6"/>
  <c r="T291" i="6"/>
  <c r="M292" i="6"/>
  <c r="T292" i="6"/>
  <c r="C293" i="6"/>
  <c r="M9" i="19"/>
  <c r="T9" i="19"/>
  <c r="M10" i="19"/>
  <c r="T10" i="19"/>
  <c r="M11" i="19"/>
  <c r="G7" i="19"/>
  <c r="T11" i="19"/>
  <c r="M12" i="19"/>
  <c r="T12" i="19"/>
  <c r="M13" i="19"/>
  <c r="T13" i="19"/>
  <c r="M14" i="19"/>
  <c r="T14" i="19"/>
  <c r="C15" i="19"/>
  <c r="K21" i="19"/>
  <c r="F42" i="19"/>
  <c r="J42" i="19"/>
  <c r="W57" i="19"/>
  <c r="P64" i="19"/>
  <c r="D64" i="19"/>
  <c r="H64" i="19"/>
  <c r="E76" i="19"/>
  <c r="I76" i="19"/>
  <c r="Q81" i="19"/>
  <c r="I81" i="19"/>
  <c r="P88" i="19"/>
  <c r="H88" i="19"/>
  <c r="O95" i="19"/>
  <c r="E99" i="19"/>
  <c r="Q99" i="19"/>
  <c r="I99" i="19"/>
  <c r="E107" i="19"/>
  <c r="I107" i="19"/>
  <c r="Q107" i="19"/>
  <c r="C115" i="19"/>
  <c r="G115" i="19"/>
  <c r="D121" i="19"/>
  <c r="H121" i="19"/>
  <c r="F125" i="19"/>
  <c r="J125" i="19"/>
  <c r="R125" i="19"/>
  <c r="M134" i="19"/>
  <c r="C132" i="19"/>
  <c r="E153" i="19"/>
  <c r="I153" i="19"/>
  <c r="M165" i="19"/>
  <c r="W165" i="19" s="1"/>
  <c r="K164" i="19"/>
  <c r="C164" i="19"/>
  <c r="G164" i="19"/>
  <c r="N226" i="19"/>
  <c r="U226" i="19" s="1"/>
  <c r="L225" i="19"/>
  <c r="E15" i="19"/>
  <c r="I15" i="19"/>
  <c r="O21" i="19"/>
  <c r="E21" i="19"/>
  <c r="I21" i="19"/>
  <c r="E27" i="19"/>
  <c r="I27" i="19"/>
  <c r="E33" i="19"/>
  <c r="I33" i="19"/>
  <c r="M44" i="19"/>
  <c r="M45" i="19"/>
  <c r="G42" i="19"/>
  <c r="T45" i="19"/>
  <c r="M46" i="19"/>
  <c r="T46" i="19"/>
  <c r="M47" i="19"/>
  <c r="T47" i="19"/>
  <c r="C48" i="19"/>
  <c r="E51" i="19"/>
  <c r="I51" i="19"/>
  <c r="L56" i="19"/>
  <c r="E56" i="19"/>
  <c r="I56" i="19"/>
  <c r="K64" i="19"/>
  <c r="E64" i="19"/>
  <c r="I64" i="19"/>
  <c r="N72" i="19"/>
  <c r="P70" i="19"/>
  <c r="N74" i="19"/>
  <c r="D70" i="19"/>
  <c r="H70" i="19"/>
  <c r="D76" i="19"/>
  <c r="F76" i="19"/>
  <c r="J76" i="19"/>
  <c r="S81" i="19"/>
  <c r="F81" i="19"/>
  <c r="J81" i="19"/>
  <c r="E88" i="19"/>
  <c r="I88" i="19"/>
  <c r="N96" i="19"/>
  <c r="W96" i="19" s="1"/>
  <c r="N97" i="19"/>
  <c r="N98" i="19"/>
  <c r="S99" i="19"/>
  <c r="F99" i="19"/>
  <c r="J99" i="19"/>
  <c r="T108" i="19"/>
  <c r="N117" i="19"/>
  <c r="D115" i="19"/>
  <c r="H115" i="19"/>
  <c r="N119" i="19"/>
  <c r="N120" i="19"/>
  <c r="P115" i="19"/>
  <c r="M122" i="19"/>
  <c r="M127" i="19"/>
  <c r="T127" i="19"/>
  <c r="M128" i="19"/>
  <c r="T128" i="19"/>
  <c r="M129" i="19"/>
  <c r="L140" i="19"/>
  <c r="D187" i="19"/>
  <c r="H187" i="19"/>
  <c r="E191" i="19"/>
  <c r="I191" i="19"/>
  <c r="E203" i="19"/>
  <c r="I203" i="19"/>
  <c r="F219" i="19"/>
  <c r="J219" i="19"/>
  <c r="F15" i="19"/>
  <c r="J15" i="19"/>
  <c r="F21" i="19"/>
  <c r="J21" i="19"/>
  <c r="F27" i="19"/>
  <c r="J27" i="19"/>
  <c r="F33" i="19"/>
  <c r="J33" i="19"/>
  <c r="M43" i="19"/>
  <c r="W43" i="19" s="1"/>
  <c r="N44" i="19"/>
  <c r="N45" i="19"/>
  <c r="N46" i="19"/>
  <c r="N47" i="19"/>
  <c r="D48" i="19"/>
  <c r="L48" i="19"/>
  <c r="K51" i="19"/>
  <c r="S51" i="19"/>
  <c r="F51" i="19"/>
  <c r="J51" i="19"/>
  <c r="F56" i="19"/>
  <c r="L64" i="19"/>
  <c r="R64" i="19"/>
  <c r="F64" i="19"/>
  <c r="J64" i="19"/>
  <c r="E70" i="19"/>
  <c r="I70" i="19"/>
  <c r="S76" i="19"/>
  <c r="M78" i="19"/>
  <c r="T78" i="19"/>
  <c r="M79" i="19"/>
  <c r="T80" i="19"/>
  <c r="D81" i="19"/>
  <c r="M83" i="19"/>
  <c r="T83" i="19"/>
  <c r="C81" i="19"/>
  <c r="G81" i="19"/>
  <c r="T84" i="19"/>
  <c r="M85" i="19"/>
  <c r="O81" i="19"/>
  <c r="M87" i="19"/>
  <c r="T87" i="19"/>
  <c r="C88" i="19"/>
  <c r="F88" i="19"/>
  <c r="J88" i="19"/>
  <c r="R88" i="19"/>
  <c r="E95" i="19"/>
  <c r="I95" i="19"/>
  <c r="M101" i="19"/>
  <c r="T101" i="19"/>
  <c r="C99" i="19"/>
  <c r="G99" i="19"/>
  <c r="T102" i="19"/>
  <c r="M103" i="19"/>
  <c r="T103" i="19"/>
  <c r="M104" i="19"/>
  <c r="O99" i="19"/>
  <c r="M105" i="19"/>
  <c r="T105" i="19"/>
  <c r="M106" i="19"/>
  <c r="T106" i="19"/>
  <c r="M109" i="19"/>
  <c r="T109" i="19"/>
  <c r="M110" i="19"/>
  <c r="O107" i="19"/>
  <c r="M111" i="19"/>
  <c r="T111" i="19"/>
  <c r="C107" i="19"/>
  <c r="G107" i="19"/>
  <c r="T112" i="19"/>
  <c r="M113" i="19"/>
  <c r="T113" i="19"/>
  <c r="M114" i="19"/>
  <c r="T114" i="19"/>
  <c r="R121" i="19"/>
  <c r="N127" i="19"/>
  <c r="N128" i="19"/>
  <c r="P125" i="19"/>
  <c r="N129" i="19"/>
  <c r="D125" i="19"/>
  <c r="H125" i="19"/>
  <c r="N131" i="19"/>
  <c r="W175" i="19"/>
  <c r="K219" i="19"/>
  <c r="M220" i="19"/>
  <c r="W220" i="19" s="1"/>
  <c r="T24" i="19"/>
  <c r="T25" i="19"/>
  <c r="T26" i="19"/>
  <c r="T29" i="19"/>
  <c r="T30" i="19"/>
  <c r="T31" i="19"/>
  <c r="T32" i="19"/>
  <c r="T35" i="19"/>
  <c r="T36" i="19"/>
  <c r="T37" i="19"/>
  <c r="T38" i="19"/>
  <c r="T39" i="19"/>
  <c r="T40" i="19"/>
  <c r="T41" i="19"/>
  <c r="D51" i="19"/>
  <c r="L51" i="19"/>
  <c r="T53" i="19"/>
  <c r="C51" i="19"/>
  <c r="T54" i="19"/>
  <c r="T58" i="19"/>
  <c r="T59" i="19"/>
  <c r="T60" i="19"/>
  <c r="T61" i="19"/>
  <c r="T62" i="19"/>
  <c r="T63" i="19"/>
  <c r="T68" i="19"/>
  <c r="N69" i="19"/>
  <c r="O70" i="19"/>
  <c r="F70" i="19"/>
  <c r="J70" i="19"/>
  <c r="R70" i="19"/>
  <c r="P76" i="19"/>
  <c r="T90" i="19"/>
  <c r="T91" i="19"/>
  <c r="T92" i="19"/>
  <c r="T93" i="19"/>
  <c r="T94" i="19"/>
  <c r="C95" i="19"/>
  <c r="D107" i="19"/>
  <c r="H107" i="19"/>
  <c r="F115" i="19"/>
  <c r="J115" i="19"/>
  <c r="L121" i="19"/>
  <c r="T124" i="19"/>
  <c r="E125" i="19"/>
  <c r="I125" i="19"/>
  <c r="W148" i="19"/>
  <c r="N160" i="19"/>
  <c r="D158" i="19"/>
  <c r="G168" i="19"/>
  <c r="N198" i="19"/>
  <c r="W198" i="19" s="1"/>
  <c r="L197" i="19"/>
  <c r="M209" i="19"/>
  <c r="W209" i="19" s="1"/>
  <c r="K208" i="19"/>
  <c r="N210" i="19"/>
  <c r="D208" i="19"/>
  <c r="D237" i="19"/>
  <c r="H237" i="19"/>
  <c r="P140" i="19"/>
  <c r="R147" i="19"/>
  <c r="F153" i="19"/>
  <c r="J153" i="19"/>
  <c r="R153" i="19"/>
  <c r="T171" i="19"/>
  <c r="T172" i="19"/>
  <c r="R174" i="19"/>
  <c r="W182" i="19"/>
  <c r="H181" i="19"/>
  <c r="P181" i="19"/>
  <c r="F191" i="19"/>
  <c r="J191" i="19"/>
  <c r="F203" i="19"/>
  <c r="J203" i="19"/>
  <c r="E208" i="19"/>
  <c r="I208" i="19"/>
  <c r="N214" i="19"/>
  <c r="W214" i="19" s="1"/>
  <c r="L213" i="19"/>
  <c r="T129" i="19"/>
  <c r="M130" i="19"/>
  <c r="T130" i="19"/>
  <c r="M131" i="19"/>
  <c r="T131" i="19"/>
  <c r="N134" i="19"/>
  <c r="N135" i="19"/>
  <c r="D132" i="19"/>
  <c r="H132" i="19"/>
  <c r="M139" i="19"/>
  <c r="M137" i="19" s="1"/>
  <c r="T139" i="19"/>
  <c r="T137" i="19" s="1"/>
  <c r="E140" i="19"/>
  <c r="I140" i="19"/>
  <c r="T149" i="19"/>
  <c r="M150" i="19"/>
  <c r="T150" i="19"/>
  <c r="M151" i="19"/>
  <c r="T151" i="19"/>
  <c r="M152" i="19"/>
  <c r="M155" i="19"/>
  <c r="T155" i="19"/>
  <c r="M156" i="19"/>
  <c r="T157" i="19"/>
  <c r="S158" i="19"/>
  <c r="F158" i="19"/>
  <c r="J158" i="19"/>
  <c r="E164" i="19"/>
  <c r="I164" i="19"/>
  <c r="K168" i="19"/>
  <c r="E168" i="19"/>
  <c r="N172" i="19"/>
  <c r="M176" i="19"/>
  <c r="T177" i="19"/>
  <c r="M178" i="19"/>
  <c r="M179" i="19"/>
  <c r="M180" i="19"/>
  <c r="T180" i="19"/>
  <c r="L187" i="19"/>
  <c r="F187" i="19"/>
  <c r="J187" i="19"/>
  <c r="M194" i="19"/>
  <c r="M195" i="19"/>
  <c r="T195" i="19"/>
  <c r="M196" i="19"/>
  <c r="R191" i="19"/>
  <c r="F197" i="19"/>
  <c r="J197" i="19"/>
  <c r="R197" i="19"/>
  <c r="M205" i="19"/>
  <c r="T209" i="19"/>
  <c r="S208" i="19"/>
  <c r="N221" i="19"/>
  <c r="N222" i="19"/>
  <c r="N223" i="19"/>
  <c r="N224" i="19"/>
  <c r="M227" i="19"/>
  <c r="C225" i="19"/>
  <c r="T228" i="19"/>
  <c r="M229" i="19"/>
  <c r="T229" i="19"/>
  <c r="M230" i="19"/>
  <c r="T230" i="19"/>
  <c r="M231" i="19"/>
  <c r="T231" i="19"/>
  <c r="E132" i="19"/>
  <c r="I132" i="19"/>
  <c r="N139" i="19"/>
  <c r="P147" i="19"/>
  <c r="D147" i="19"/>
  <c r="H147" i="19"/>
  <c r="N151" i="19"/>
  <c r="N155" i="19"/>
  <c r="H153" i="19"/>
  <c r="N157" i="19"/>
  <c r="M160" i="19"/>
  <c r="T160" i="19"/>
  <c r="C158" i="19"/>
  <c r="G158" i="19"/>
  <c r="O158" i="19"/>
  <c r="M162" i="19"/>
  <c r="T163" i="19"/>
  <c r="D164" i="19"/>
  <c r="L164" i="19"/>
  <c r="Q168" i="19"/>
  <c r="H174" i="19"/>
  <c r="N178" i="19"/>
  <c r="N180" i="19"/>
  <c r="F181" i="19"/>
  <c r="J181" i="19"/>
  <c r="M189" i="19"/>
  <c r="C187" i="19"/>
  <c r="G187" i="19"/>
  <c r="N193" i="19"/>
  <c r="N194" i="19"/>
  <c r="H191" i="19"/>
  <c r="N195" i="19"/>
  <c r="M199" i="19"/>
  <c r="T199" i="19"/>
  <c r="M200" i="19"/>
  <c r="T201" i="19"/>
  <c r="M202" i="19"/>
  <c r="T202" i="19"/>
  <c r="N205" i="19"/>
  <c r="N206" i="19"/>
  <c r="H203" i="19"/>
  <c r="N207" i="19"/>
  <c r="M210" i="19"/>
  <c r="C208" i="19"/>
  <c r="T210" i="19"/>
  <c r="M211" i="19"/>
  <c r="T211" i="19"/>
  <c r="M212" i="19"/>
  <c r="T212" i="19"/>
  <c r="S213" i="19"/>
  <c r="M215" i="19"/>
  <c r="C213" i="19"/>
  <c r="G213" i="19"/>
  <c r="T216" i="19"/>
  <c r="M217" i="19"/>
  <c r="T217" i="19"/>
  <c r="M218" i="19"/>
  <c r="T218" i="19"/>
  <c r="N233" i="19"/>
  <c r="W233" i="19" s="1"/>
  <c r="L232" i="19"/>
  <c r="N234" i="19"/>
  <c r="D232" i="19"/>
  <c r="E248" i="19"/>
  <c r="I248" i="19"/>
  <c r="G265" i="19"/>
  <c r="C280" i="19"/>
  <c r="G280" i="19"/>
  <c r="F213" i="19"/>
  <c r="J213" i="19"/>
  <c r="F225" i="19"/>
  <c r="J225" i="19"/>
  <c r="E232" i="19"/>
  <c r="I232" i="19"/>
  <c r="T261" i="19"/>
  <c r="T262" i="19"/>
  <c r="G259" i="19"/>
  <c r="T263" i="19"/>
  <c r="T264" i="19"/>
  <c r="O265" i="19"/>
  <c r="W266" i="19"/>
  <c r="D265" i="19"/>
  <c r="H265" i="19"/>
  <c r="S270" i="19"/>
  <c r="T273" i="19"/>
  <c r="T274" i="19"/>
  <c r="T275" i="19"/>
  <c r="E276" i="19"/>
  <c r="I276" i="19"/>
  <c r="U281" i="19"/>
  <c r="T286" i="19"/>
  <c r="O288" i="19"/>
  <c r="P288" i="19"/>
  <c r="Q293" i="19"/>
  <c r="E293" i="19"/>
  <c r="I293" i="19"/>
  <c r="E242" i="19"/>
  <c r="I242" i="19"/>
  <c r="M250" i="19"/>
  <c r="T250" i="19"/>
  <c r="M251" i="19"/>
  <c r="T251" i="19"/>
  <c r="M252" i="19"/>
  <c r="T252" i="19"/>
  <c r="M253" i="19"/>
  <c r="T253" i="19"/>
  <c r="M254" i="19"/>
  <c r="T254" i="19"/>
  <c r="O255" i="19"/>
  <c r="M256" i="19"/>
  <c r="W256" i="19" s="1"/>
  <c r="N261" i="19"/>
  <c r="D259" i="19"/>
  <c r="H259" i="19"/>
  <c r="N263" i="19"/>
  <c r="N264" i="19"/>
  <c r="E265" i="19"/>
  <c r="N272" i="19"/>
  <c r="N274" i="19"/>
  <c r="N275" i="19"/>
  <c r="D276" i="19"/>
  <c r="N284" i="19"/>
  <c r="N286" i="19"/>
  <c r="N287" i="19"/>
  <c r="I288" i="19"/>
  <c r="M295" i="19"/>
  <c r="T205" i="19"/>
  <c r="M206" i="19"/>
  <c r="T206" i="19"/>
  <c r="M207" i="19"/>
  <c r="T207" i="19"/>
  <c r="F208" i="19"/>
  <c r="J208" i="19"/>
  <c r="N215" i="19"/>
  <c r="N216" i="19"/>
  <c r="N217" i="19"/>
  <c r="N218" i="19"/>
  <c r="M221" i="19"/>
  <c r="C219" i="19"/>
  <c r="G219" i="19"/>
  <c r="T222" i="19"/>
  <c r="M223" i="19"/>
  <c r="T223" i="19"/>
  <c r="M224" i="19"/>
  <c r="T224" i="19"/>
  <c r="N227" i="19"/>
  <c r="N228" i="19"/>
  <c r="N229" i="19"/>
  <c r="N230" i="19"/>
  <c r="N231" i="19"/>
  <c r="M234" i="19"/>
  <c r="T234" i="19"/>
  <c r="M235" i="19"/>
  <c r="T235" i="19"/>
  <c r="M236" i="19"/>
  <c r="T236" i="19"/>
  <c r="M239" i="19"/>
  <c r="T239" i="19"/>
  <c r="T240" i="19"/>
  <c r="M241" i="19"/>
  <c r="T241" i="19"/>
  <c r="C242" i="19"/>
  <c r="N250" i="19"/>
  <c r="N251" i="19"/>
  <c r="N252" i="19"/>
  <c r="N253" i="19"/>
  <c r="N254" i="19"/>
  <c r="J255" i="19"/>
  <c r="L259" i="19"/>
  <c r="E259" i="19"/>
  <c r="K270" i="19"/>
  <c r="E270" i="19"/>
  <c r="I270" i="19"/>
  <c r="S276" i="19"/>
  <c r="M278" i="19"/>
  <c r="M279" i="19"/>
  <c r="T279" i="19"/>
  <c r="L280" i="19"/>
  <c r="F288" i="19"/>
  <c r="J288" i="19"/>
  <c r="C293" i="19"/>
  <c r="G293" i="19"/>
  <c r="T296" i="19"/>
  <c r="T298" i="19"/>
  <c r="T299" i="19"/>
  <c r="T300" i="19"/>
  <c r="T301" i="19"/>
  <c r="W16" i="6"/>
  <c r="U16" i="6"/>
  <c r="C25" i="5"/>
  <c r="D7" i="3"/>
  <c r="H7" i="3"/>
  <c r="W8" i="6"/>
  <c r="T29" i="6"/>
  <c r="T32" i="6"/>
  <c r="W82" i="6"/>
  <c r="U82" i="6"/>
  <c r="W122" i="6"/>
  <c r="U122" i="6"/>
  <c r="W148" i="6"/>
  <c r="U148" i="6"/>
  <c r="W154" i="6"/>
  <c r="U154" i="6"/>
  <c r="W192" i="6"/>
  <c r="U192" i="6"/>
  <c r="W209" i="6"/>
  <c r="U209" i="6"/>
  <c r="W220" i="6"/>
  <c r="C7" i="6"/>
  <c r="O7" i="6"/>
  <c r="N24" i="6"/>
  <c r="N29" i="6"/>
  <c r="M30" i="6"/>
  <c r="T30" i="6"/>
  <c r="U34" i="6"/>
  <c r="W34" i="6"/>
  <c r="W57" i="6"/>
  <c r="U57" i="6"/>
  <c r="U65" i="6"/>
  <c r="W100" i="6"/>
  <c r="U100" i="6"/>
  <c r="W108" i="6"/>
  <c r="W141" i="6"/>
  <c r="W198" i="6"/>
  <c r="U198" i="6"/>
  <c r="D7" i="6"/>
  <c r="M25" i="6"/>
  <c r="N31" i="6"/>
  <c r="T35" i="6"/>
  <c r="W43" i="6"/>
  <c r="U43" i="6"/>
  <c r="W169" i="6"/>
  <c r="U169" i="6"/>
  <c r="W204" i="6"/>
  <c r="U204" i="6"/>
  <c r="M102" i="16"/>
  <c r="E102" i="16"/>
  <c r="G100" i="16"/>
  <c r="D99" i="16"/>
  <c r="E98" i="16"/>
  <c r="K96" i="16"/>
  <c r="M101" i="16"/>
  <c r="E101" i="16"/>
  <c r="K99" i="16"/>
  <c r="F96" i="16"/>
  <c r="L90" i="16"/>
  <c r="F88" i="16"/>
  <c r="E85" i="16"/>
  <c r="J84" i="16"/>
  <c r="K83" i="16"/>
  <c r="G83" i="16"/>
  <c r="K102" i="16"/>
  <c r="G102" i="16"/>
  <c r="M100" i="16"/>
  <c r="J99" i="16"/>
  <c r="K98" i="16"/>
  <c r="E96" i="16"/>
  <c r="K94" i="16"/>
  <c r="D89" i="16"/>
  <c r="M88" i="16"/>
  <c r="E88" i="16"/>
  <c r="K86" i="16"/>
  <c r="M84" i="16"/>
  <c r="J83" i="16"/>
  <c r="K101" i="16"/>
  <c r="G101" i="16"/>
  <c r="E99" i="16"/>
  <c r="L96" i="16"/>
  <c r="F90" i="16"/>
  <c r="L88" i="16"/>
  <c r="K88" i="16"/>
  <c r="E86" i="16"/>
  <c r="G84" i="16"/>
  <c r="F79" i="16"/>
  <c r="K78" i="16"/>
  <c r="G78" i="16"/>
  <c r="E76" i="16"/>
  <c r="K74" i="16"/>
  <c r="D73" i="16"/>
  <c r="M72" i="16"/>
  <c r="F71" i="16"/>
  <c r="K70" i="16"/>
  <c r="G70" i="16"/>
  <c r="J67" i="16"/>
  <c r="F67" i="16"/>
  <c r="F59" i="16"/>
  <c r="K58" i="16"/>
  <c r="G58" i="16"/>
  <c r="L57" i="16"/>
  <c r="D57" i="16"/>
  <c r="E56" i="16"/>
  <c r="K54" i="16"/>
  <c r="D53" i="16"/>
  <c r="E52" i="16"/>
  <c r="J51" i="16"/>
  <c r="M48" i="16"/>
  <c r="E48" i="16"/>
  <c r="F47" i="16"/>
  <c r="K46" i="16"/>
  <c r="G46" i="16"/>
  <c r="L45" i="16"/>
  <c r="D45" i="16"/>
  <c r="M44" i="16"/>
  <c r="E44" i="16"/>
  <c r="J43" i="16"/>
  <c r="K42" i="16"/>
  <c r="G42" i="16"/>
  <c r="E40" i="16"/>
  <c r="L37" i="16"/>
  <c r="E36" i="16"/>
  <c r="F35" i="16"/>
  <c r="K34" i="16"/>
  <c r="G34" i="16"/>
  <c r="E32" i="16"/>
  <c r="J31" i="16"/>
  <c r="K30" i="16"/>
  <c r="M28" i="16"/>
  <c r="E28" i="16"/>
  <c r="K26" i="16"/>
  <c r="L25" i="16"/>
  <c r="M24" i="16"/>
  <c r="E24" i="16"/>
  <c r="K22" i="16"/>
  <c r="G22" i="16"/>
  <c r="L21" i="16"/>
  <c r="E20" i="16"/>
  <c r="F19" i="16"/>
  <c r="K18" i="16"/>
  <c r="G18" i="16"/>
  <c r="J15" i="16"/>
  <c r="F15" i="16"/>
  <c r="K14" i="16"/>
  <c r="M12" i="16"/>
  <c r="M83" i="16"/>
  <c r="F83" i="16"/>
  <c r="M79" i="16"/>
  <c r="K77" i="16"/>
  <c r="D76" i="16"/>
  <c r="K73" i="16"/>
  <c r="L72" i="16"/>
  <c r="D72" i="16"/>
  <c r="M71" i="16"/>
  <c r="E67" i="16"/>
  <c r="E63" i="16"/>
  <c r="F62" i="16"/>
  <c r="M59" i="16"/>
  <c r="E59" i="16"/>
  <c r="K57" i="16"/>
  <c r="L56" i="16"/>
  <c r="E55" i="16"/>
  <c r="K53" i="16"/>
  <c r="G53" i="16"/>
  <c r="D52" i="16"/>
  <c r="M51" i="16"/>
  <c r="E51" i="16"/>
  <c r="K49" i="16"/>
  <c r="L48" i="16"/>
  <c r="M47" i="16"/>
  <c r="E47" i="16"/>
  <c r="F46" i="16"/>
  <c r="K45" i="16"/>
  <c r="G45" i="16"/>
  <c r="L44" i="16"/>
  <c r="D44" i="16"/>
  <c r="E43" i="16"/>
  <c r="K37" i="16"/>
  <c r="E35" i="16"/>
  <c r="J34" i="16"/>
  <c r="K33" i="16"/>
  <c r="E31" i="16"/>
  <c r="L28" i="16"/>
  <c r="D28" i="16"/>
  <c r="M27" i="16"/>
  <c r="E27" i="16"/>
  <c r="J26" i="16"/>
  <c r="M23" i="16"/>
  <c r="E23" i="16"/>
  <c r="J22" i="16"/>
  <c r="F22" i="16"/>
  <c r="K21" i="16"/>
  <c r="E19" i="16"/>
  <c r="F18" i="16"/>
  <c r="K85" i="16"/>
  <c r="L83" i="16"/>
  <c r="E83" i="16"/>
  <c r="L79" i="16"/>
  <c r="M78" i="16"/>
  <c r="E78" i="16"/>
  <c r="K76" i="16"/>
  <c r="E74" i="16"/>
  <c r="J73" i="16"/>
  <c r="G72" i="16"/>
  <c r="L71" i="16"/>
  <c r="M70" i="16"/>
  <c r="E70" i="16"/>
  <c r="L67" i="16"/>
  <c r="D67" i="16"/>
  <c r="L59" i="16"/>
  <c r="M58" i="16"/>
  <c r="E58" i="16"/>
  <c r="J57" i="16"/>
  <c r="F57" i="16"/>
  <c r="K56" i="16"/>
  <c r="E54" i="16"/>
  <c r="J53" i="16"/>
  <c r="K52" i="16"/>
  <c r="D51" i="16"/>
  <c r="K48" i="16"/>
  <c r="G48" i="16"/>
  <c r="L47" i="16"/>
  <c r="M46" i="16"/>
  <c r="E46" i="16"/>
  <c r="J45" i="16"/>
  <c r="F45" i="16"/>
  <c r="K44" i="16"/>
  <c r="G44" i="16"/>
  <c r="D43" i="16"/>
  <c r="M42" i="16"/>
  <c r="E42" i="16"/>
  <c r="K40" i="16"/>
  <c r="F37" i="16"/>
  <c r="K36" i="16"/>
  <c r="L35" i="16"/>
  <c r="M34" i="16"/>
  <c r="E34" i="16"/>
  <c r="K32" i="16"/>
  <c r="D31" i="16"/>
  <c r="E30" i="16"/>
  <c r="K28" i="16"/>
  <c r="G28" i="16"/>
  <c r="E26" i="16"/>
  <c r="F25" i="16"/>
  <c r="K24" i="16"/>
  <c r="G24" i="16"/>
  <c r="M22" i="16"/>
  <c r="E22" i="16"/>
  <c r="F21" i="16"/>
  <c r="K20" i="16"/>
  <c r="L19" i="16"/>
  <c r="M18" i="16"/>
  <c r="E18" i="16"/>
  <c r="L15" i="16"/>
  <c r="D15" i="16"/>
  <c r="E14" i="16"/>
  <c r="K12" i="16"/>
  <c r="G12" i="16"/>
  <c r="E94" i="16"/>
  <c r="J89" i="16"/>
  <c r="G88" i="16"/>
  <c r="D84" i="16"/>
  <c r="D83" i="16"/>
  <c r="G79" i="16"/>
  <c r="E77" i="16"/>
  <c r="J76" i="16"/>
  <c r="E73" i="16"/>
  <c r="J72" i="16"/>
  <c r="F72" i="16"/>
  <c r="G71" i="16"/>
  <c r="K67" i="16"/>
  <c r="K63" i="16"/>
  <c r="L62" i="16"/>
  <c r="K59" i="16"/>
  <c r="G59" i="16"/>
  <c r="E57" i="16"/>
  <c r="F56" i="16"/>
  <c r="K55" i="16"/>
  <c r="M53" i="16"/>
  <c r="E53" i="16"/>
  <c r="J52" i="16"/>
  <c r="K51" i="16"/>
  <c r="G51" i="16"/>
  <c r="E49" i="16"/>
  <c r="F48" i="16"/>
  <c r="K47" i="16"/>
  <c r="G47" i="16"/>
  <c r="L46" i="16"/>
  <c r="M45" i="16"/>
  <c r="E45" i="16"/>
  <c r="J44" i="16"/>
  <c r="F44" i="16"/>
  <c r="E37" i="16"/>
  <c r="K35" i="16"/>
  <c r="D34" i="16"/>
  <c r="E33" i="16"/>
  <c r="K31" i="16"/>
  <c r="J28" i="16"/>
  <c r="F28" i="16"/>
  <c r="K27" i="16"/>
  <c r="G27" i="16"/>
  <c r="D26" i="16"/>
  <c r="K23" i="16"/>
  <c r="G23" i="16"/>
  <c r="L22" i="16"/>
  <c r="D22" i="16"/>
  <c r="E21" i="16"/>
  <c r="K19" i="16"/>
  <c r="L18" i="16"/>
  <c r="J12" i="16"/>
  <c r="E12" i="16"/>
  <c r="K10" i="16"/>
  <c r="L9" i="16"/>
  <c r="M8" i="16"/>
  <c r="L104" i="17"/>
  <c r="L102" i="17"/>
  <c r="H101" i="17"/>
  <c r="Q100" i="17"/>
  <c r="H100" i="17"/>
  <c r="Q99" i="17"/>
  <c r="H99" i="17"/>
  <c r="L97" i="17"/>
  <c r="L91" i="17"/>
  <c r="D91" i="17"/>
  <c r="Q90" i="17"/>
  <c r="L90" i="17"/>
  <c r="H90" i="17"/>
  <c r="D90" i="17"/>
  <c r="L89" i="17"/>
  <c r="D86" i="17"/>
  <c r="Q85" i="17"/>
  <c r="H85" i="17"/>
  <c r="Q84" i="17"/>
  <c r="L84" i="17"/>
  <c r="H84" i="17"/>
  <c r="D12" i="16"/>
  <c r="K104" i="17"/>
  <c r="K103" i="17"/>
  <c r="K102" i="17"/>
  <c r="C102" i="17"/>
  <c r="K101" i="17"/>
  <c r="G101" i="17"/>
  <c r="C101" i="17"/>
  <c r="K100" i="17"/>
  <c r="G100" i="17"/>
  <c r="C100" i="17"/>
  <c r="K99" i="17"/>
  <c r="G99" i="17"/>
  <c r="K98" i="17"/>
  <c r="K97" i="17"/>
  <c r="K95" i="17"/>
  <c r="C95" i="17"/>
  <c r="G90" i="17"/>
  <c r="K89" i="17"/>
  <c r="K87" i="17"/>
  <c r="K86" i="17"/>
  <c r="C86" i="17"/>
  <c r="K85" i="17"/>
  <c r="G85" i="17"/>
  <c r="K84" i="17"/>
  <c r="G84" i="17"/>
  <c r="K79" i="17"/>
  <c r="C79" i="17"/>
  <c r="K78" i="17"/>
  <c r="K77" i="17"/>
  <c r="G77" i="17"/>
  <c r="K75" i="17"/>
  <c r="K74" i="17"/>
  <c r="G74" i="17"/>
  <c r="K73" i="17"/>
  <c r="G73" i="17"/>
  <c r="K71" i="17"/>
  <c r="K68" i="17"/>
  <c r="G68" i="17"/>
  <c r="K13" i="16"/>
  <c r="E10" i="16"/>
  <c r="F9" i="16"/>
  <c r="G8" i="16"/>
  <c r="J104" i="17"/>
  <c r="J103" i="17"/>
  <c r="S102" i="17"/>
  <c r="J102" i="17"/>
  <c r="J101" i="17"/>
  <c r="F101" i="17"/>
  <c r="J100" i="17"/>
  <c r="F100" i="17"/>
  <c r="J99" i="17"/>
  <c r="F99" i="17"/>
  <c r="J98" i="17"/>
  <c r="S97" i="17"/>
  <c r="J97" i="17"/>
  <c r="J95" i="17"/>
  <c r="S91" i="17"/>
  <c r="S90" i="17"/>
  <c r="F90" i="17"/>
  <c r="S89" i="17"/>
  <c r="J89" i="17"/>
  <c r="J87" i="17"/>
  <c r="J86" i="17"/>
  <c r="J85" i="17"/>
  <c r="F85" i="17"/>
  <c r="S84" i="17"/>
  <c r="J84" i="17"/>
  <c r="F84" i="17"/>
  <c r="S80" i="17"/>
  <c r="J79" i="17"/>
  <c r="J78" i="17"/>
  <c r="J77" i="17"/>
  <c r="F77" i="17"/>
  <c r="J75" i="17"/>
  <c r="J74" i="17"/>
  <c r="F74" i="17"/>
  <c r="S73" i="17"/>
  <c r="J73" i="17"/>
  <c r="F73" i="17"/>
  <c r="E13" i="16"/>
  <c r="L12" i="16"/>
  <c r="F12" i="16"/>
  <c r="R104" i="17"/>
  <c r="I104" i="17"/>
  <c r="R103" i="17"/>
  <c r="I103" i="17"/>
  <c r="R102" i="17"/>
  <c r="I102" i="17"/>
  <c r="I101" i="17"/>
  <c r="R100" i="17"/>
  <c r="I100" i="17"/>
  <c r="R99" i="17"/>
  <c r="I99" i="17"/>
  <c r="I98" i="17"/>
  <c r="R97" i="17"/>
  <c r="I97" i="17"/>
  <c r="R95" i="17"/>
  <c r="I95" i="17"/>
  <c r="R89" i="17"/>
  <c r="I89" i="17"/>
  <c r="R87" i="17"/>
  <c r="I87" i="17"/>
  <c r="R86" i="17"/>
  <c r="I86" i="17"/>
  <c r="I85" i="17"/>
  <c r="R84" i="17"/>
  <c r="I84" i="17"/>
  <c r="R79" i="17"/>
  <c r="I79" i="17"/>
  <c r="R78" i="17"/>
  <c r="I78" i="17"/>
  <c r="R77" i="17"/>
  <c r="I77" i="17"/>
  <c r="R75" i="17"/>
  <c r="I75" i="17"/>
  <c r="R74" i="17"/>
  <c r="I74" i="17"/>
  <c r="I73" i="17"/>
  <c r="R71" i="17"/>
  <c r="I71" i="17"/>
  <c r="R68" i="17"/>
  <c r="I68" i="17"/>
  <c r="R64" i="17"/>
  <c r="I64" i="17"/>
  <c r="Q77" i="17"/>
  <c r="H73" i="17"/>
  <c r="J71" i="17"/>
  <c r="Q68" i="17"/>
  <c r="H68" i="17"/>
  <c r="K64" i="17"/>
  <c r="S63" i="17"/>
  <c r="K60" i="17"/>
  <c r="K59" i="17"/>
  <c r="K58" i="17"/>
  <c r="G58" i="17"/>
  <c r="K57" i="17"/>
  <c r="K56" i="17"/>
  <c r="K55" i="17"/>
  <c r="K54" i="17"/>
  <c r="G54" i="17"/>
  <c r="K53" i="17"/>
  <c r="G53" i="17"/>
  <c r="K52" i="17"/>
  <c r="G52" i="17"/>
  <c r="K50" i="17"/>
  <c r="K49" i="17"/>
  <c r="G49" i="17"/>
  <c r="K48" i="17"/>
  <c r="K47" i="17"/>
  <c r="K46" i="17"/>
  <c r="G46" i="17"/>
  <c r="K45" i="17"/>
  <c r="G45" i="17"/>
  <c r="C45" i="17"/>
  <c r="K44" i="17"/>
  <c r="G44" i="17"/>
  <c r="K43" i="17"/>
  <c r="G43" i="17"/>
  <c r="K41" i="17"/>
  <c r="C40" i="17"/>
  <c r="K39" i="17"/>
  <c r="C39" i="17"/>
  <c r="K38" i="17"/>
  <c r="K37" i="17"/>
  <c r="K36" i="17"/>
  <c r="K35" i="17"/>
  <c r="G35" i="17"/>
  <c r="K34" i="17"/>
  <c r="K33" i="17"/>
  <c r="G33" i="17"/>
  <c r="K32" i="17"/>
  <c r="G32" i="17"/>
  <c r="K31" i="17"/>
  <c r="K29" i="17"/>
  <c r="G29" i="17"/>
  <c r="K28" i="17"/>
  <c r="G28" i="17"/>
  <c r="K27" i="17"/>
  <c r="G27" i="17"/>
  <c r="K25" i="17"/>
  <c r="G25" i="17"/>
  <c r="K24" i="17"/>
  <c r="G24" i="17"/>
  <c r="K23" i="17"/>
  <c r="G23" i="17"/>
  <c r="K22" i="17"/>
  <c r="K21" i="17"/>
  <c r="G21" i="17"/>
  <c r="K20" i="17"/>
  <c r="G20" i="17"/>
  <c r="C20" i="17"/>
  <c r="K19" i="17"/>
  <c r="G19" i="17"/>
  <c r="K16" i="17"/>
  <c r="G16" i="17"/>
  <c r="K15" i="17"/>
  <c r="K14" i="17"/>
  <c r="K13" i="17"/>
  <c r="G13" i="17"/>
  <c r="C12" i="17"/>
  <c r="K11" i="17"/>
  <c r="C10" i="17"/>
  <c r="Q104" i="5"/>
  <c r="G104" i="5"/>
  <c r="Q103" i="5"/>
  <c r="G103" i="5"/>
  <c r="Q102" i="5"/>
  <c r="G102" i="5"/>
  <c r="C102" i="5"/>
  <c r="G101" i="5"/>
  <c r="Q100" i="5"/>
  <c r="G100" i="5"/>
  <c r="Q99" i="5"/>
  <c r="G99" i="5"/>
  <c r="G98" i="5"/>
  <c r="Q97" i="5"/>
  <c r="G97" i="5"/>
  <c r="Q95" i="5"/>
  <c r="G95" i="5"/>
  <c r="Q89" i="5"/>
  <c r="G89" i="5"/>
  <c r="Q87" i="5"/>
  <c r="G87" i="5"/>
  <c r="Q86" i="5"/>
  <c r="G86" i="5"/>
  <c r="G85" i="5"/>
  <c r="Q84" i="5"/>
  <c r="G84" i="5"/>
  <c r="Q79" i="5"/>
  <c r="G79" i="5"/>
  <c r="Q78" i="5"/>
  <c r="G78" i="5"/>
  <c r="Q77" i="5"/>
  <c r="G77" i="5"/>
  <c r="Q75" i="5"/>
  <c r="G75" i="5"/>
  <c r="Q74" i="5"/>
  <c r="G74" i="5"/>
  <c r="G73" i="5"/>
  <c r="Q71" i="5"/>
  <c r="G71" i="5"/>
  <c r="L80" i="17"/>
  <c r="L74" i="17"/>
  <c r="S72" i="17"/>
  <c r="F68" i="17"/>
  <c r="J64" i="17"/>
  <c r="L63" i="17"/>
  <c r="S60" i="17"/>
  <c r="O60" i="17"/>
  <c r="J60" i="17"/>
  <c r="J59" i="17"/>
  <c r="S58" i="17"/>
  <c r="J58" i="17"/>
  <c r="F58" i="17"/>
  <c r="S57" i="17"/>
  <c r="J57" i="17"/>
  <c r="J56" i="17"/>
  <c r="J55" i="17"/>
  <c r="J54" i="17"/>
  <c r="F54" i="17"/>
  <c r="J53" i="17"/>
  <c r="F53" i="17"/>
  <c r="S52" i="17"/>
  <c r="J52" i="17"/>
  <c r="F52" i="17"/>
  <c r="J50" i="17"/>
  <c r="S49" i="17"/>
  <c r="J49" i="17"/>
  <c r="F49" i="17"/>
  <c r="S48" i="17"/>
  <c r="J48" i="17"/>
  <c r="S47" i="17"/>
  <c r="J47" i="17"/>
  <c r="S46" i="17"/>
  <c r="J46" i="17"/>
  <c r="F46" i="17"/>
  <c r="S45" i="17"/>
  <c r="J45" i="17"/>
  <c r="F45" i="17"/>
  <c r="O44" i="17"/>
  <c r="J44" i="17"/>
  <c r="F44" i="17"/>
  <c r="O43" i="17"/>
  <c r="J43" i="17"/>
  <c r="F43" i="17"/>
  <c r="J41" i="17"/>
  <c r="J39" i="17"/>
  <c r="S38" i="17"/>
  <c r="J38" i="17"/>
  <c r="J37" i="17"/>
  <c r="S36" i="17"/>
  <c r="J36" i="17"/>
  <c r="J35" i="17"/>
  <c r="F35" i="17"/>
  <c r="O34" i="17"/>
  <c r="J34" i="17"/>
  <c r="J33" i="17"/>
  <c r="F33" i="17"/>
  <c r="J32" i="17"/>
  <c r="F32" i="17"/>
  <c r="J31" i="17"/>
  <c r="S29" i="17"/>
  <c r="J29" i="17"/>
  <c r="F29" i="17"/>
  <c r="J28" i="17"/>
  <c r="F28" i="17"/>
  <c r="J27" i="17"/>
  <c r="F27" i="17"/>
  <c r="S26" i="17"/>
  <c r="J25" i="17"/>
  <c r="F25" i="17"/>
  <c r="J24" i="17"/>
  <c r="F24" i="17"/>
  <c r="S23" i="17"/>
  <c r="J23" i="17"/>
  <c r="F23" i="17"/>
  <c r="S22" i="17"/>
  <c r="O22" i="17"/>
  <c r="J22" i="17"/>
  <c r="J21" i="17"/>
  <c r="F21" i="17"/>
  <c r="S20" i="17"/>
  <c r="J20" i="17"/>
  <c r="F20" i="17"/>
  <c r="S19" i="17"/>
  <c r="J19" i="17"/>
  <c r="F19" i="17"/>
  <c r="S16" i="17"/>
  <c r="J16" i="17"/>
  <c r="F16" i="17"/>
  <c r="J15" i="17"/>
  <c r="J14" i="17"/>
  <c r="S13" i="17"/>
  <c r="J13" i="17"/>
  <c r="F13" i="17"/>
  <c r="O11" i="17"/>
  <c r="J11" i="17"/>
  <c r="S10" i="17"/>
  <c r="O9" i="17"/>
  <c r="J102" i="5"/>
  <c r="P100" i="5"/>
  <c r="F100" i="5"/>
  <c r="P99" i="5"/>
  <c r="F99" i="5"/>
  <c r="J97" i="5"/>
  <c r="J91" i="5"/>
  <c r="P90" i="5"/>
  <c r="J90" i="5"/>
  <c r="F90" i="5"/>
  <c r="J89" i="5"/>
  <c r="P85" i="5"/>
  <c r="F85" i="5"/>
  <c r="P84" i="5"/>
  <c r="J84" i="5"/>
  <c r="F84" i="5"/>
  <c r="J80" i="5"/>
  <c r="P77" i="5"/>
  <c r="F77" i="5"/>
  <c r="P74" i="5"/>
  <c r="J74" i="5"/>
  <c r="F74" i="5"/>
  <c r="P73" i="5"/>
  <c r="D79" i="17"/>
  <c r="D75" i="17"/>
  <c r="H74" i="17"/>
  <c r="Q73" i="17"/>
  <c r="L72" i="17"/>
  <c r="L68" i="17"/>
  <c r="R60" i="17"/>
  <c r="I60" i="17"/>
  <c r="R59" i="17"/>
  <c r="I59" i="17"/>
  <c r="I58" i="17"/>
  <c r="R57" i="17"/>
  <c r="I57" i="17"/>
  <c r="R56" i="17"/>
  <c r="I56" i="17"/>
  <c r="R55" i="17"/>
  <c r="I55" i="17"/>
  <c r="R54" i="17"/>
  <c r="I54" i="17"/>
  <c r="R53" i="17"/>
  <c r="I53" i="17"/>
  <c r="R52" i="17"/>
  <c r="I52" i="17"/>
  <c r="R50" i="17"/>
  <c r="I50" i="17"/>
  <c r="R49" i="17"/>
  <c r="I49" i="17"/>
  <c r="E49" i="17"/>
  <c r="R48" i="17"/>
  <c r="I48" i="17"/>
  <c r="R47" i="17"/>
  <c r="I47" i="17"/>
  <c r="R46" i="17"/>
  <c r="I46" i="17"/>
  <c r="R45" i="17"/>
  <c r="I45" i="17"/>
  <c r="I44" i="17"/>
  <c r="R43" i="17"/>
  <c r="I43" i="17"/>
  <c r="R41" i="17"/>
  <c r="I41" i="17"/>
  <c r="E40" i="17"/>
  <c r="I39" i="17"/>
  <c r="R38" i="17"/>
  <c r="I38" i="17"/>
  <c r="R37" i="17"/>
  <c r="I37" i="17"/>
  <c r="R36" i="17"/>
  <c r="I36" i="17"/>
  <c r="R35" i="17"/>
  <c r="I35" i="17"/>
  <c r="R34" i="17"/>
  <c r="I34" i="17"/>
  <c r="R33" i="17"/>
  <c r="I33" i="17"/>
  <c r="R32" i="17"/>
  <c r="I32" i="17"/>
  <c r="R31" i="17"/>
  <c r="I31" i="17"/>
  <c r="R29" i="17"/>
  <c r="I29" i="17"/>
  <c r="R28" i="17"/>
  <c r="I28" i="17"/>
  <c r="R27" i="17"/>
  <c r="I27" i="17"/>
  <c r="E27" i="17"/>
  <c r="R25" i="17"/>
  <c r="I25" i="17"/>
  <c r="R24" i="17"/>
  <c r="I24" i="17"/>
  <c r="R23" i="17"/>
  <c r="I23" i="17"/>
  <c r="R22" i="17"/>
  <c r="I22" i="17"/>
  <c r="R21" i="17"/>
  <c r="I21" i="17"/>
  <c r="R20" i="17"/>
  <c r="I20" i="17"/>
  <c r="E20" i="17"/>
  <c r="R19" i="17"/>
  <c r="I19" i="17"/>
  <c r="R16" i="17"/>
  <c r="I16" i="17"/>
  <c r="R15" i="17"/>
  <c r="I15" i="17"/>
  <c r="R14" i="17"/>
  <c r="I14" i="17"/>
  <c r="R13" i="17"/>
  <c r="I13" i="17"/>
  <c r="E13" i="17"/>
  <c r="R11" i="17"/>
  <c r="I11" i="17"/>
  <c r="E10" i="17"/>
  <c r="M7" i="17"/>
  <c r="I104" i="5"/>
  <c r="I102" i="5"/>
  <c r="E101" i="5"/>
  <c r="E100" i="5"/>
  <c r="E99" i="5"/>
  <c r="I97" i="5"/>
  <c r="I91" i="5"/>
  <c r="O90" i="5"/>
  <c r="I90" i="5"/>
  <c r="E90" i="5"/>
  <c r="I89" i="5"/>
  <c r="O86" i="5"/>
  <c r="E85" i="5"/>
  <c r="I84" i="5"/>
  <c r="E84" i="5"/>
  <c r="I80" i="5"/>
  <c r="E77" i="5"/>
  <c r="O75" i="5"/>
  <c r="I74" i="5"/>
  <c r="E74" i="5"/>
  <c r="I73" i="5"/>
  <c r="E73" i="5"/>
  <c r="I72" i="5"/>
  <c r="I68" i="5"/>
  <c r="E68" i="5"/>
  <c r="I63" i="5"/>
  <c r="I60" i="5"/>
  <c r="I58" i="5"/>
  <c r="E58" i="5"/>
  <c r="I57" i="5"/>
  <c r="H77" i="17"/>
  <c r="Q74" i="17"/>
  <c r="L73" i="17"/>
  <c r="S68" i="17"/>
  <c r="J68" i="17"/>
  <c r="L60" i="17"/>
  <c r="D60" i="17"/>
  <c r="Q58" i="17"/>
  <c r="L58" i="17"/>
  <c r="H58" i="17"/>
  <c r="D58" i="17"/>
  <c r="L57" i="17"/>
  <c r="Q54" i="17"/>
  <c r="H54" i="17"/>
  <c r="Q53" i="17"/>
  <c r="L53" i="17"/>
  <c r="H53" i="17"/>
  <c r="Q52" i="17"/>
  <c r="L52" i="17"/>
  <c r="H52" i="17"/>
  <c r="Q49" i="17"/>
  <c r="L49" i="17"/>
  <c r="H49" i="17"/>
  <c r="L48" i="17"/>
  <c r="L47" i="17"/>
  <c r="Q46" i="17"/>
  <c r="L46" i="17"/>
  <c r="H46" i="17"/>
  <c r="Q45" i="17"/>
  <c r="L45" i="17"/>
  <c r="H45" i="17"/>
  <c r="D45" i="17"/>
  <c r="Q44" i="17"/>
  <c r="H44" i="17"/>
  <c r="D44" i="17"/>
  <c r="Q43" i="17"/>
  <c r="L43" i="17"/>
  <c r="H43" i="17"/>
  <c r="D41" i="17"/>
  <c r="L38" i="17"/>
  <c r="D38" i="17"/>
  <c r="L36" i="17"/>
  <c r="Q35" i="17"/>
  <c r="L35" i="17"/>
  <c r="H35" i="17"/>
  <c r="H33" i="17"/>
  <c r="D33" i="17"/>
  <c r="Q32" i="17"/>
  <c r="H32" i="17"/>
  <c r="Q29" i="17"/>
  <c r="L29" i="17"/>
  <c r="H29" i="17"/>
  <c r="Q28" i="17"/>
  <c r="H28" i="17"/>
  <c r="D28" i="17"/>
  <c r="Q27" i="17"/>
  <c r="H27" i="17"/>
  <c r="L26" i="17"/>
  <c r="Q25" i="17"/>
  <c r="L25" i="17"/>
  <c r="H25" i="17"/>
  <c r="Q24" i="17"/>
  <c r="L24" i="17"/>
  <c r="H24" i="17"/>
  <c r="Q23" i="17"/>
  <c r="L23" i="17"/>
  <c r="H23" i="17"/>
  <c r="L22" i="17"/>
  <c r="Q21" i="17"/>
  <c r="H21" i="17"/>
  <c r="Q20" i="17"/>
  <c r="L20" i="17"/>
  <c r="H20" i="17"/>
  <c r="L19" i="17"/>
  <c r="H19" i="17"/>
  <c r="Q16" i="17"/>
  <c r="L16" i="17"/>
  <c r="H16" i="17"/>
  <c r="Q13" i="17"/>
  <c r="L13" i="17"/>
  <c r="H13" i="17"/>
  <c r="D12" i="17"/>
  <c r="L10" i="17"/>
  <c r="T7" i="17"/>
  <c r="H104" i="5"/>
  <c r="H103" i="5"/>
  <c r="R102" i="5"/>
  <c r="H102" i="5"/>
  <c r="H101" i="5"/>
  <c r="H100" i="5"/>
  <c r="H99" i="5"/>
  <c r="H98" i="5"/>
  <c r="R97" i="5"/>
  <c r="H97" i="5"/>
  <c r="H95" i="5"/>
  <c r="R91" i="5"/>
  <c r="R90" i="5"/>
  <c r="R89" i="5"/>
  <c r="H89" i="5"/>
  <c r="H87" i="5"/>
  <c r="H86" i="5"/>
  <c r="R84" i="5"/>
  <c r="H84" i="5"/>
  <c r="R80" i="5"/>
  <c r="H79" i="5"/>
  <c r="H78" i="5"/>
  <c r="H77" i="5"/>
  <c r="H75" i="5"/>
  <c r="H74" i="5"/>
  <c r="R73" i="5"/>
  <c r="H73" i="5"/>
  <c r="R72" i="5"/>
  <c r="G68" i="5"/>
  <c r="H60" i="5"/>
  <c r="Q59" i="5"/>
  <c r="G59" i="5"/>
  <c r="P58" i="5"/>
  <c r="H58" i="5"/>
  <c r="J57" i="5"/>
  <c r="G56" i="5"/>
  <c r="P54" i="5"/>
  <c r="F54" i="5"/>
  <c r="P53" i="5"/>
  <c r="J53" i="5"/>
  <c r="F53" i="5"/>
  <c r="P52" i="5"/>
  <c r="J52" i="5"/>
  <c r="F52" i="5"/>
  <c r="P49" i="5"/>
  <c r="J49" i="5"/>
  <c r="F49" i="5"/>
  <c r="J48" i="5"/>
  <c r="J47" i="5"/>
  <c r="P46" i="5"/>
  <c r="J46" i="5"/>
  <c r="F46" i="5"/>
  <c r="P45" i="5"/>
  <c r="J45" i="5"/>
  <c r="F45" i="5"/>
  <c r="P44" i="5"/>
  <c r="F44" i="5"/>
  <c r="P43" i="5"/>
  <c r="F43" i="5"/>
  <c r="J38" i="5"/>
  <c r="J36" i="5"/>
  <c r="P35" i="5"/>
  <c r="J35" i="5"/>
  <c r="F35" i="5"/>
  <c r="P32" i="5"/>
  <c r="F32" i="5"/>
  <c r="P29" i="5"/>
  <c r="J29" i="5"/>
  <c r="F29" i="5"/>
  <c r="P28" i="5"/>
  <c r="F28" i="5"/>
  <c r="P27" i="5"/>
  <c r="F27" i="5"/>
  <c r="J26" i="5"/>
  <c r="P25" i="5"/>
  <c r="F25" i="5"/>
  <c r="P24" i="5"/>
  <c r="F24" i="5"/>
  <c r="P23" i="5"/>
  <c r="J23" i="5"/>
  <c r="F23" i="5"/>
  <c r="J22" i="5"/>
  <c r="P21" i="5"/>
  <c r="F21" i="5"/>
  <c r="P20" i="5"/>
  <c r="J20" i="5"/>
  <c r="F20" i="5"/>
  <c r="J19" i="5"/>
  <c r="F19" i="5"/>
  <c r="P16" i="5"/>
  <c r="J16" i="5"/>
  <c r="F16" i="5"/>
  <c r="P13" i="5"/>
  <c r="J13" i="5"/>
  <c r="F13" i="5"/>
  <c r="J10" i="5"/>
  <c r="J73" i="5"/>
  <c r="H71" i="5"/>
  <c r="R68" i="5"/>
  <c r="F68" i="5"/>
  <c r="R63" i="5"/>
  <c r="G60" i="5"/>
  <c r="G58" i="5"/>
  <c r="H57" i="5"/>
  <c r="Q56" i="5"/>
  <c r="E54" i="5"/>
  <c r="I53" i="5"/>
  <c r="E53" i="5"/>
  <c r="O52" i="5"/>
  <c r="I52" i="5"/>
  <c r="E52" i="5"/>
  <c r="I49" i="5"/>
  <c r="E49" i="5"/>
  <c r="I48" i="5"/>
  <c r="I47" i="5"/>
  <c r="O46" i="5"/>
  <c r="I46" i="5"/>
  <c r="E46" i="5"/>
  <c r="I45" i="5"/>
  <c r="E45" i="5"/>
  <c r="O44" i="5"/>
  <c r="E44" i="5"/>
  <c r="I43" i="5"/>
  <c r="E43" i="5"/>
  <c r="O38" i="5"/>
  <c r="I38" i="5"/>
  <c r="O36" i="5"/>
  <c r="I36" i="5"/>
  <c r="O35" i="5"/>
  <c r="I35" i="5"/>
  <c r="E35" i="5"/>
  <c r="E33" i="5"/>
  <c r="E32" i="5"/>
  <c r="I29" i="5"/>
  <c r="E29" i="5"/>
  <c r="O28" i="5"/>
  <c r="E28" i="5"/>
  <c r="E27" i="5"/>
  <c r="I26" i="5"/>
  <c r="I25" i="5"/>
  <c r="E25" i="5"/>
  <c r="I24" i="5"/>
  <c r="E24" i="5"/>
  <c r="I23" i="5"/>
  <c r="E23" i="5"/>
  <c r="I22" i="5"/>
  <c r="O21" i="5"/>
  <c r="E21" i="5"/>
  <c r="I20" i="5"/>
  <c r="E20" i="5"/>
  <c r="O19" i="5"/>
  <c r="I19" i="5"/>
  <c r="E19" i="5"/>
  <c r="I16" i="5"/>
  <c r="E16" i="5"/>
  <c r="I13" i="5"/>
  <c r="E13" i="5"/>
  <c r="O12" i="5"/>
  <c r="I10" i="5"/>
  <c r="L7" i="5"/>
  <c r="F73" i="5"/>
  <c r="Q68" i="5"/>
  <c r="J68" i="5"/>
  <c r="H64" i="5"/>
  <c r="R60" i="5"/>
  <c r="R58" i="5"/>
  <c r="F58" i="5"/>
  <c r="R57" i="5"/>
  <c r="G57" i="5"/>
  <c r="H55" i="5"/>
  <c r="H54" i="5"/>
  <c r="H53" i="5"/>
  <c r="R52" i="5"/>
  <c r="H52" i="5"/>
  <c r="H50" i="5"/>
  <c r="R49" i="5"/>
  <c r="H49" i="5"/>
  <c r="R48" i="5"/>
  <c r="H48" i="5"/>
  <c r="R47" i="5"/>
  <c r="H47" i="5"/>
  <c r="R46" i="5"/>
  <c r="H46" i="5"/>
  <c r="D46" i="5"/>
  <c r="R45" i="5"/>
  <c r="H45" i="5"/>
  <c r="H44" i="5"/>
  <c r="D44" i="5"/>
  <c r="H43" i="5"/>
  <c r="D43" i="5"/>
  <c r="H41" i="5"/>
  <c r="D41" i="5"/>
  <c r="D39" i="5"/>
  <c r="R38" i="5"/>
  <c r="H38" i="5"/>
  <c r="H37" i="5"/>
  <c r="R36" i="5"/>
  <c r="H36" i="5"/>
  <c r="H35" i="5"/>
  <c r="H34" i="5"/>
  <c r="H33" i="5"/>
  <c r="H32" i="5"/>
  <c r="H31" i="5"/>
  <c r="R29" i="5"/>
  <c r="H29" i="5"/>
  <c r="H28" i="5"/>
  <c r="H27" i="5"/>
  <c r="R26" i="5"/>
  <c r="H25" i="5"/>
  <c r="H24" i="5"/>
  <c r="R23" i="5"/>
  <c r="H23" i="5"/>
  <c r="D23" i="5"/>
  <c r="R22" i="5"/>
  <c r="H22" i="5"/>
  <c r="H21" i="5"/>
  <c r="D21" i="5"/>
  <c r="R20" i="5"/>
  <c r="H20" i="5"/>
  <c r="R19" i="5"/>
  <c r="H19" i="5"/>
  <c r="R16" i="5"/>
  <c r="H16" i="5"/>
  <c r="D16" i="5"/>
  <c r="H15" i="5"/>
  <c r="D15" i="5"/>
  <c r="H14" i="5"/>
  <c r="R13" i="5"/>
  <c r="H13" i="5"/>
  <c r="D13" i="5"/>
  <c r="H11" i="5"/>
  <c r="R10" i="5"/>
  <c r="D10" i="5"/>
  <c r="S7" i="5"/>
  <c r="K7" i="5"/>
  <c r="J72" i="5"/>
  <c r="P68" i="5"/>
  <c r="H68" i="5"/>
  <c r="Q64" i="5"/>
  <c r="G64" i="5"/>
  <c r="J63" i="5"/>
  <c r="Q60" i="5"/>
  <c r="J60" i="5"/>
  <c r="H59" i="5"/>
  <c r="J58" i="5"/>
  <c r="Q57" i="5"/>
  <c r="H56" i="5"/>
  <c r="Q55" i="5"/>
  <c r="G55" i="5"/>
  <c r="C55" i="5"/>
  <c r="Q54" i="5"/>
  <c r="G54" i="5"/>
  <c r="Q53" i="5"/>
  <c r="G53" i="5"/>
  <c r="Q52" i="5"/>
  <c r="G52" i="5"/>
  <c r="Q50" i="5"/>
  <c r="G50" i="5"/>
  <c r="Q49" i="5"/>
  <c r="G49" i="5"/>
  <c r="C49" i="5"/>
  <c r="Q48" i="5"/>
  <c r="G48" i="5"/>
  <c r="Q47" i="5"/>
  <c r="G47" i="5"/>
  <c r="Q46" i="5"/>
  <c r="G46" i="5"/>
  <c r="Q45" i="5"/>
  <c r="G45" i="5"/>
  <c r="G44" i="5"/>
  <c r="Q43" i="5"/>
  <c r="G43" i="5"/>
  <c r="C43" i="5"/>
  <c r="Q41" i="5"/>
  <c r="G41" i="5"/>
  <c r="C40" i="5"/>
  <c r="G39" i="5"/>
  <c r="C39" i="5"/>
  <c r="Q38" i="5"/>
  <c r="G38" i="5"/>
  <c r="Q37" i="5"/>
  <c r="G37" i="5"/>
  <c r="Q36" i="5"/>
  <c r="G36" i="5"/>
  <c r="C36" i="5"/>
  <c r="Q35" i="5"/>
  <c r="G35" i="5"/>
  <c r="Q34" i="5"/>
  <c r="G34" i="5"/>
  <c r="Q33" i="5"/>
  <c r="G33" i="5"/>
  <c r="C33" i="5"/>
  <c r="Q32" i="5"/>
  <c r="G32" i="5"/>
  <c r="Q31" i="5"/>
  <c r="G31" i="5"/>
  <c r="Q29" i="5"/>
  <c r="G29" i="5"/>
  <c r="C29" i="5"/>
  <c r="Q28" i="5"/>
  <c r="G28" i="5"/>
  <c r="Q27" i="5"/>
  <c r="G27" i="5"/>
  <c r="C27" i="5"/>
  <c r="Q25" i="5"/>
  <c r="G25" i="5"/>
  <c r="Q24" i="5"/>
  <c r="G24" i="5"/>
  <c r="Q23" i="5"/>
  <c r="G23" i="5"/>
  <c r="C23" i="5"/>
  <c r="Q22" i="5"/>
  <c r="G22" i="5"/>
  <c r="Q21" i="5"/>
  <c r="G21" i="5"/>
  <c r="Q20" i="5"/>
  <c r="G20" i="5"/>
  <c r="C20" i="5"/>
  <c r="Q19" i="5"/>
  <c r="G19" i="5"/>
  <c r="Q16" i="5"/>
  <c r="G16" i="5"/>
  <c r="C16" i="5"/>
  <c r="Q15" i="5"/>
  <c r="G15" i="5"/>
  <c r="C15" i="5"/>
  <c r="Q14" i="5"/>
  <c r="G14" i="5"/>
  <c r="Q13" i="5"/>
  <c r="G13" i="5"/>
  <c r="C13" i="5"/>
  <c r="Q11" i="5"/>
  <c r="G11" i="5"/>
  <c r="C10" i="5"/>
  <c r="U28" i="6"/>
  <c r="W28" i="6"/>
  <c r="M32" i="6"/>
  <c r="N35" i="6"/>
  <c r="M36" i="6"/>
  <c r="T36" i="6"/>
  <c r="W49" i="6"/>
  <c r="U49" i="6"/>
  <c r="C33" i="6"/>
  <c r="D42" i="6"/>
  <c r="O51" i="6"/>
  <c r="D56" i="6"/>
  <c r="W65" i="6"/>
  <c r="W71" i="6"/>
  <c r="C81" i="6"/>
  <c r="O81" i="6"/>
  <c r="C99" i="6"/>
  <c r="O99" i="6"/>
  <c r="U108" i="6"/>
  <c r="D115" i="6"/>
  <c r="W126" i="6"/>
  <c r="U141" i="6"/>
  <c r="T142" i="6"/>
  <c r="U159" i="6"/>
  <c r="U165" i="6"/>
  <c r="T166" i="6"/>
  <c r="T216" i="6"/>
  <c r="T220" i="6"/>
  <c r="W271" i="6"/>
  <c r="U271" i="6"/>
  <c r="W294" i="6"/>
  <c r="U294" i="6"/>
  <c r="D33" i="6"/>
  <c r="D51" i="6"/>
  <c r="C64" i="6"/>
  <c r="O64" i="6"/>
  <c r="C70" i="6"/>
  <c r="O70" i="6"/>
  <c r="C76" i="6"/>
  <c r="O76" i="6"/>
  <c r="D81" i="6"/>
  <c r="C88" i="6"/>
  <c r="O88" i="6"/>
  <c r="D99" i="6"/>
  <c r="C125" i="6"/>
  <c r="O125" i="6"/>
  <c r="O137" i="6"/>
  <c r="O181" i="6"/>
  <c r="O187" i="6"/>
  <c r="C219" i="6"/>
  <c r="W233" i="6"/>
  <c r="U233" i="6"/>
  <c r="W289" i="6"/>
  <c r="U289" i="6"/>
  <c r="D64" i="6"/>
  <c r="D70" i="6"/>
  <c r="D76" i="6"/>
  <c r="D88" i="6"/>
  <c r="C95" i="6"/>
  <c r="C107" i="6"/>
  <c r="O107" i="6"/>
  <c r="D125" i="6"/>
  <c r="C132" i="6"/>
  <c r="C140" i="6"/>
  <c r="C164" i="6"/>
  <c r="D181" i="6"/>
  <c r="D187" i="6"/>
  <c r="M218" i="6"/>
  <c r="D219" i="6"/>
  <c r="U266" i="6"/>
  <c r="W266" i="6"/>
  <c r="W277" i="6"/>
  <c r="U277" i="6"/>
  <c r="W256" i="6"/>
  <c r="C232" i="6"/>
  <c r="D237" i="6"/>
  <c r="T244" i="6"/>
  <c r="T250" i="6"/>
  <c r="D255" i="6"/>
  <c r="C270" i="6"/>
  <c r="C276" i="6"/>
  <c r="T282" i="6"/>
  <c r="D293" i="6"/>
  <c r="U226" i="6"/>
  <c r="T239" i="6"/>
  <c r="T257" i="6"/>
  <c r="C242" i="6"/>
  <c r="C248" i="6"/>
  <c r="D259" i="6"/>
  <c r="D265" i="6"/>
  <c r="C280" i="6"/>
  <c r="H6" i="16"/>
  <c r="W52" i="19"/>
  <c r="U52" i="19"/>
  <c r="W49" i="19"/>
  <c r="E8" i="12"/>
  <c r="I8" i="12"/>
  <c r="T44" i="19"/>
  <c r="U49" i="19"/>
  <c r="T50" i="19"/>
  <c r="T48" i="19" s="1"/>
  <c r="M54" i="19"/>
  <c r="M58" i="19"/>
  <c r="W71" i="19"/>
  <c r="U71" i="19"/>
  <c r="M84" i="19"/>
  <c r="W100" i="19"/>
  <c r="U100" i="19"/>
  <c r="C7" i="19"/>
  <c r="O7" i="19"/>
  <c r="N58" i="19"/>
  <c r="S64" i="19"/>
  <c r="W77" i="19"/>
  <c r="U77" i="19"/>
  <c r="D7" i="19"/>
  <c r="C42" i="19"/>
  <c r="U57" i="19"/>
  <c r="N61" i="19"/>
  <c r="M62" i="19"/>
  <c r="W65" i="19"/>
  <c r="U65" i="19"/>
  <c r="T66" i="19"/>
  <c r="T69" i="19"/>
  <c r="C70" i="19"/>
  <c r="N73" i="19"/>
  <c r="M74" i="19"/>
  <c r="O76" i="19"/>
  <c r="T79" i="19"/>
  <c r="E81" i="19"/>
  <c r="T85" i="19"/>
  <c r="T55" i="19"/>
  <c r="D56" i="19"/>
  <c r="H56" i="19"/>
  <c r="T67" i="19"/>
  <c r="N75" i="19"/>
  <c r="N79" i="19"/>
  <c r="M80" i="19"/>
  <c r="L81" i="19"/>
  <c r="W82" i="19"/>
  <c r="U82" i="19"/>
  <c r="N85" i="19"/>
  <c r="M86" i="19"/>
  <c r="T86" i="19"/>
  <c r="W126" i="19"/>
  <c r="U126" i="19"/>
  <c r="T98" i="19"/>
  <c r="M102" i="19"/>
  <c r="T104" i="19"/>
  <c r="T110" i="19"/>
  <c r="N111" i="19"/>
  <c r="M112" i="19"/>
  <c r="U116" i="19"/>
  <c r="T117" i="19"/>
  <c r="N118" i="19"/>
  <c r="M119" i="19"/>
  <c r="T123" i="19"/>
  <c r="N124" i="19"/>
  <c r="N130" i="19"/>
  <c r="N136" i="19"/>
  <c r="M149" i="19"/>
  <c r="D174" i="19"/>
  <c r="N177" i="19"/>
  <c r="D88" i="19"/>
  <c r="O132" i="19"/>
  <c r="C140" i="19"/>
  <c r="K140" i="19"/>
  <c r="O140" i="19"/>
  <c r="W141" i="19"/>
  <c r="N149" i="19"/>
  <c r="T152" i="19"/>
  <c r="C153" i="19"/>
  <c r="O153" i="19"/>
  <c r="P153" i="19"/>
  <c r="T156" i="19"/>
  <c r="Q158" i="19"/>
  <c r="E158" i="19"/>
  <c r="I158" i="19"/>
  <c r="T162" i="19"/>
  <c r="D140" i="19"/>
  <c r="M144" i="19"/>
  <c r="U148" i="19"/>
  <c r="N156" i="19"/>
  <c r="M157" i="19"/>
  <c r="L158" i="19"/>
  <c r="W159" i="19"/>
  <c r="U159" i="19"/>
  <c r="N162" i="19"/>
  <c r="M163" i="19"/>
  <c r="F168" i="19"/>
  <c r="J168" i="19"/>
  <c r="T146" i="19"/>
  <c r="N150" i="19"/>
  <c r="W154" i="19"/>
  <c r="U154" i="19"/>
  <c r="M161" i="19"/>
  <c r="T166" i="19"/>
  <c r="M167" i="19"/>
  <c r="T183" i="19"/>
  <c r="T189" i="19"/>
  <c r="U192" i="19"/>
  <c r="W192" i="19"/>
  <c r="M193" i="19"/>
  <c r="D153" i="19"/>
  <c r="N167" i="19"/>
  <c r="O174" i="19"/>
  <c r="T176" i="19"/>
  <c r="N179" i="19"/>
  <c r="T179" i="19"/>
  <c r="D181" i="19"/>
  <c r="C181" i="19"/>
  <c r="G181" i="19"/>
  <c r="N186" i="19"/>
  <c r="N190" i="19"/>
  <c r="T193" i="19"/>
  <c r="T196" i="19"/>
  <c r="C197" i="19"/>
  <c r="O197" i="19"/>
  <c r="P197" i="19"/>
  <c r="T200" i="19"/>
  <c r="T161" i="19"/>
  <c r="T170" i="19"/>
  <c r="N173" i="19"/>
  <c r="T173" i="19"/>
  <c r="N176" i="19"/>
  <c r="P174" i="19"/>
  <c r="T190" i="19"/>
  <c r="O191" i="19"/>
  <c r="P191" i="19"/>
  <c r="T194" i="19"/>
  <c r="N200" i="19"/>
  <c r="H197" i="19"/>
  <c r="M201" i="19"/>
  <c r="M177" i="19"/>
  <c r="G174" i="19"/>
  <c r="T178" i="19"/>
  <c r="U182" i="19"/>
  <c r="U188" i="19"/>
  <c r="E197" i="19"/>
  <c r="I197" i="19"/>
  <c r="W238" i="19"/>
  <c r="U238" i="19"/>
  <c r="M184" i="19"/>
  <c r="M190" i="19"/>
  <c r="M216" i="19"/>
  <c r="D219" i="19"/>
  <c r="M222" i="19"/>
  <c r="M228" i="19"/>
  <c r="S237" i="19"/>
  <c r="T215" i="19"/>
  <c r="T221" i="19"/>
  <c r="T227" i="19"/>
  <c r="K237" i="19"/>
  <c r="W260" i="19"/>
  <c r="U260" i="19"/>
  <c r="C168" i="19"/>
  <c r="C174" i="19"/>
  <c r="D191" i="19"/>
  <c r="D197" i="19"/>
  <c r="D203" i="19"/>
  <c r="M240" i="19"/>
  <c r="N240" i="19"/>
  <c r="N244" i="19"/>
  <c r="T244" i="19"/>
  <c r="W249" i="19"/>
  <c r="U249" i="19"/>
  <c r="N239" i="19"/>
  <c r="K242" i="19"/>
  <c r="O248" i="19"/>
  <c r="N257" i="19"/>
  <c r="S259" i="19"/>
  <c r="N268" i="19"/>
  <c r="N271" i="19"/>
  <c r="Q270" i="19"/>
  <c r="N277" i="19"/>
  <c r="Q276" i="19"/>
  <c r="D280" i="19"/>
  <c r="W281" i="19"/>
  <c r="T283" i="19"/>
  <c r="C255" i="19"/>
  <c r="T256" i="19"/>
  <c r="T258" i="19"/>
  <c r="K259" i="19"/>
  <c r="O259" i="19"/>
  <c r="C265" i="19"/>
  <c r="N267" i="19"/>
  <c r="N273" i="19"/>
  <c r="K276" i="19"/>
  <c r="N279" i="19"/>
  <c r="M282" i="19"/>
  <c r="T284" i="19"/>
  <c r="T287" i="19"/>
  <c r="C288" i="19"/>
  <c r="K288" i="19"/>
  <c r="N291" i="19"/>
  <c r="M292" i="19"/>
  <c r="L293" i="19"/>
  <c r="T297" i="19"/>
  <c r="M262" i="19"/>
  <c r="N262" i="19"/>
  <c r="S265" i="19"/>
  <c r="U266" i="19"/>
  <c r="T272" i="19"/>
  <c r="T278" i="19"/>
  <c r="T282" i="19"/>
  <c r="T285" i="19"/>
  <c r="U289" i="19"/>
  <c r="W289" i="19"/>
  <c r="E288" i="19"/>
  <c r="F293" i="19"/>
  <c r="N297" i="19"/>
  <c r="M298" i="19"/>
  <c r="N285" i="19"/>
  <c r="W294" i="19"/>
  <c r="T295" i="19"/>
  <c r="M296" i="19"/>
  <c r="M283" i="19"/>
  <c r="O293" i="19"/>
  <c r="U294" i="19"/>
  <c r="T12" i="5" l="1"/>
  <c r="O90" i="17"/>
  <c r="O99" i="17"/>
  <c r="E43" i="17"/>
  <c r="C75" i="5"/>
  <c r="M75" i="5" s="1"/>
  <c r="P50" i="17"/>
  <c r="U50" i="17" s="1"/>
  <c r="O84" i="17"/>
  <c r="P97" i="17"/>
  <c r="U97" i="17" s="1"/>
  <c r="F12" i="4"/>
  <c r="O58" i="17"/>
  <c r="P12" i="17"/>
  <c r="U12" i="17" s="1"/>
  <c r="O17" i="4"/>
  <c r="O104" i="5"/>
  <c r="T104" i="5" s="1"/>
  <c r="O39" i="17"/>
  <c r="C17" i="4"/>
  <c r="O40" i="17"/>
  <c r="P40" i="17"/>
  <c r="U40" i="17" s="1"/>
  <c r="E23" i="17"/>
  <c r="E46" i="17"/>
  <c r="O10" i="17"/>
  <c r="P15" i="17"/>
  <c r="U15" i="17" s="1"/>
  <c r="O31" i="17"/>
  <c r="C79" i="5"/>
  <c r="C100" i="5"/>
  <c r="M100" i="5" s="1"/>
  <c r="G17" i="4"/>
  <c r="O12" i="17"/>
  <c r="O68" i="17"/>
  <c r="P85" i="17"/>
  <c r="U85" i="17" s="1"/>
  <c r="O91" i="17"/>
  <c r="C12" i="16"/>
  <c r="H12" i="16" s="1"/>
  <c r="O55" i="17"/>
  <c r="O14" i="17"/>
  <c r="C87" i="5"/>
  <c r="M87" i="5" s="1"/>
  <c r="L10" i="4"/>
  <c r="O96" i="5"/>
  <c r="T96" i="5" s="1"/>
  <c r="O71" i="17"/>
  <c r="O35" i="17"/>
  <c r="C73" i="5"/>
  <c r="M73" i="5" s="1"/>
  <c r="P90" i="17"/>
  <c r="U90" i="17" s="1"/>
  <c r="O57" i="17"/>
  <c r="O81" i="17"/>
  <c r="P36" i="17"/>
  <c r="U36" i="17" s="1"/>
  <c r="N16" i="4"/>
  <c r="O13" i="4"/>
  <c r="O9" i="4"/>
  <c r="F16" i="4"/>
  <c r="L14" i="4"/>
  <c r="G13" i="4"/>
  <c r="N12" i="4"/>
  <c r="G9" i="4"/>
  <c r="N8" i="4"/>
  <c r="F8" i="4"/>
  <c r="C45" i="16"/>
  <c r="H45" i="16" s="1"/>
  <c r="I86" i="16"/>
  <c r="N86" i="16" s="1"/>
  <c r="F17" i="4"/>
  <c r="B17" i="4"/>
  <c r="L17" i="4"/>
  <c r="C38" i="16"/>
  <c r="H38" i="16" s="1"/>
  <c r="H17" i="4"/>
  <c r="D17" i="4"/>
  <c r="M60" i="16"/>
  <c r="G60" i="16"/>
  <c r="W23" i="19"/>
  <c r="W117" i="6"/>
  <c r="W226" i="19"/>
  <c r="W155" i="19"/>
  <c r="W160" i="19"/>
  <c r="W239" i="6"/>
  <c r="W234" i="19"/>
  <c r="W59" i="6"/>
  <c r="W179" i="6"/>
  <c r="D52" i="5"/>
  <c r="N52" i="5" s="1"/>
  <c r="D54" i="5"/>
  <c r="N54" i="5" s="1"/>
  <c r="O27" i="5"/>
  <c r="T27" i="5" s="1"/>
  <c r="D86" i="5"/>
  <c r="N86" i="5" s="1"/>
  <c r="O23" i="5"/>
  <c r="T23" i="5" s="1"/>
  <c r="O43" i="5"/>
  <c r="T43" i="5" s="1"/>
  <c r="D101" i="5"/>
  <c r="N101" i="5" s="1"/>
  <c r="C21" i="5"/>
  <c r="M21" i="5" s="1"/>
  <c r="C24" i="5"/>
  <c r="M24" i="5" s="1"/>
  <c r="C28" i="5"/>
  <c r="M28" i="5" s="1"/>
  <c r="C32" i="5"/>
  <c r="M32" i="5" s="1"/>
  <c r="C46" i="5"/>
  <c r="M46" i="5" s="1"/>
  <c r="C52" i="5"/>
  <c r="M52" i="5" s="1"/>
  <c r="D58" i="5"/>
  <c r="N58" i="5" s="1"/>
  <c r="C68" i="5"/>
  <c r="M68" i="5" s="1"/>
  <c r="D50" i="5"/>
  <c r="N50" i="5" s="1"/>
  <c r="O40" i="5"/>
  <c r="T40" i="5" s="1"/>
  <c r="C58" i="5"/>
  <c r="M58" i="5" s="1"/>
  <c r="D35" i="17"/>
  <c r="D36" i="17"/>
  <c r="D39" i="17"/>
  <c r="D56" i="17"/>
  <c r="C12" i="5"/>
  <c r="M12" i="5" s="1"/>
  <c r="C19" i="5"/>
  <c r="M19" i="5" s="1"/>
  <c r="C41" i="5"/>
  <c r="M41" i="5" s="1"/>
  <c r="C45" i="5"/>
  <c r="M45" i="5" s="1"/>
  <c r="D56" i="5"/>
  <c r="N56" i="5" s="1"/>
  <c r="D12" i="5"/>
  <c r="N12" i="5" s="1"/>
  <c r="D28" i="5"/>
  <c r="N28" i="5" s="1"/>
  <c r="D36" i="5"/>
  <c r="N36" i="5" s="1"/>
  <c r="D38" i="5"/>
  <c r="N38" i="5" s="1"/>
  <c r="D40" i="5"/>
  <c r="N40" i="5" s="1"/>
  <c r="D47" i="5"/>
  <c r="N47" i="5" s="1"/>
  <c r="O10" i="5"/>
  <c r="T10" i="5" s="1"/>
  <c r="O13" i="5"/>
  <c r="T13" i="5" s="1"/>
  <c r="O16" i="5"/>
  <c r="T16" i="5" s="1"/>
  <c r="O29" i="5"/>
  <c r="T29" i="5" s="1"/>
  <c r="O41" i="5"/>
  <c r="T41" i="5" s="1"/>
  <c r="O47" i="5"/>
  <c r="T47" i="5" s="1"/>
  <c r="O50" i="5"/>
  <c r="T50" i="5" s="1"/>
  <c r="C56" i="5"/>
  <c r="M56" i="5" s="1"/>
  <c r="D60" i="5"/>
  <c r="N60" i="5" s="1"/>
  <c r="D97" i="5"/>
  <c r="N97" i="5" s="1"/>
  <c r="D99" i="5"/>
  <c r="N99" i="5" s="1"/>
  <c r="D16" i="17"/>
  <c r="D19" i="17"/>
  <c r="D40" i="17"/>
  <c r="N40" i="17" s="1"/>
  <c r="D54" i="17"/>
  <c r="O15" i="5"/>
  <c r="T15" i="5" s="1"/>
  <c r="D49" i="17"/>
  <c r="D50" i="17"/>
  <c r="E39" i="17"/>
  <c r="D68" i="17"/>
  <c r="C35" i="5"/>
  <c r="M35" i="5" s="1"/>
  <c r="C38" i="5"/>
  <c r="M38" i="5" s="1"/>
  <c r="C44" i="5"/>
  <c r="M44" i="5" s="1"/>
  <c r="C47" i="5"/>
  <c r="M47" i="5" s="1"/>
  <c r="C50" i="5"/>
  <c r="M50" i="5" s="1"/>
  <c r="C54" i="5"/>
  <c r="M54" i="5" s="1"/>
  <c r="D19" i="5"/>
  <c r="N19" i="5" s="1"/>
  <c r="D24" i="5"/>
  <c r="N24" i="5" s="1"/>
  <c r="D27" i="5"/>
  <c r="N27" i="5" s="1"/>
  <c r="D29" i="5"/>
  <c r="N29" i="5" s="1"/>
  <c r="D32" i="5"/>
  <c r="N32" i="5" s="1"/>
  <c r="D35" i="5"/>
  <c r="N35" i="5" s="1"/>
  <c r="D68" i="5"/>
  <c r="N68" i="5" s="1"/>
  <c r="O24" i="5"/>
  <c r="T24" i="5" s="1"/>
  <c r="O39" i="5"/>
  <c r="T39" i="5" s="1"/>
  <c r="D85" i="5"/>
  <c r="N85" i="5" s="1"/>
  <c r="D89" i="5"/>
  <c r="N89" i="5" s="1"/>
  <c r="D10" i="17"/>
  <c r="N10" i="17" s="1"/>
  <c r="O79" i="5"/>
  <c r="T79" i="5" s="1"/>
  <c r="C60" i="5"/>
  <c r="M60" i="5" s="1"/>
  <c r="D90" i="5"/>
  <c r="N90" i="5" s="1"/>
  <c r="D96" i="5"/>
  <c r="N96" i="5" s="1"/>
  <c r="D98" i="5"/>
  <c r="N98" i="5" s="1"/>
  <c r="D100" i="5"/>
  <c r="N100" i="5" s="1"/>
  <c r="D13" i="17"/>
  <c r="D15" i="17"/>
  <c r="D20" i="17"/>
  <c r="N20" i="17" s="1"/>
  <c r="D21" i="17"/>
  <c r="D23" i="17"/>
  <c r="D24" i="17"/>
  <c r="D27" i="17"/>
  <c r="D55" i="17"/>
  <c r="O60" i="5"/>
  <c r="T60" i="5" s="1"/>
  <c r="O68" i="5"/>
  <c r="T68" i="5" s="1"/>
  <c r="O73" i="5"/>
  <c r="T73" i="5" s="1"/>
  <c r="O87" i="5"/>
  <c r="T87" i="5" s="1"/>
  <c r="O99" i="5"/>
  <c r="T99" i="5" s="1"/>
  <c r="O101" i="5"/>
  <c r="T101" i="5" s="1"/>
  <c r="E12" i="17"/>
  <c r="N12" i="17" s="1"/>
  <c r="E36" i="17"/>
  <c r="E58" i="17"/>
  <c r="E60" i="17"/>
  <c r="O97" i="5"/>
  <c r="T97" i="5" s="1"/>
  <c r="E16" i="17"/>
  <c r="E21" i="17"/>
  <c r="E33" i="17"/>
  <c r="E55" i="17"/>
  <c r="O33" i="17"/>
  <c r="D46" i="17"/>
  <c r="D47" i="17"/>
  <c r="D52" i="17"/>
  <c r="O56" i="5"/>
  <c r="T56" i="5" s="1"/>
  <c r="O58" i="5"/>
  <c r="T58" i="5" s="1"/>
  <c r="O85" i="5"/>
  <c r="T85" i="5" s="1"/>
  <c r="O89" i="5"/>
  <c r="T89" i="5" s="1"/>
  <c r="O98" i="5"/>
  <c r="T98" i="5" s="1"/>
  <c r="O100" i="5"/>
  <c r="T100" i="5" s="1"/>
  <c r="E15" i="17"/>
  <c r="E29" i="17"/>
  <c r="E52" i="17"/>
  <c r="D73" i="17"/>
  <c r="E24" i="17"/>
  <c r="E28" i="17"/>
  <c r="E32" i="17"/>
  <c r="E35" i="17"/>
  <c r="E38" i="17"/>
  <c r="E44" i="17"/>
  <c r="E47" i="17"/>
  <c r="E50" i="17"/>
  <c r="E54" i="17"/>
  <c r="O25" i="17"/>
  <c r="O45" i="17"/>
  <c r="O46" i="17"/>
  <c r="O49" i="17"/>
  <c r="E19" i="17"/>
  <c r="E41" i="17"/>
  <c r="E45" i="17"/>
  <c r="N45" i="17" s="1"/>
  <c r="E56" i="17"/>
  <c r="O64" i="17"/>
  <c r="O15" i="17"/>
  <c r="O28" i="17"/>
  <c r="O32" i="17"/>
  <c r="C95" i="5"/>
  <c r="M95" i="5" s="1"/>
  <c r="E87" i="17"/>
  <c r="O23" i="17"/>
  <c r="O24" i="17"/>
  <c r="O26" i="17"/>
  <c r="O27" i="17"/>
  <c r="O50" i="17"/>
  <c r="O54" i="17"/>
  <c r="O56" i="17"/>
  <c r="C80" i="5"/>
  <c r="M80" i="5" s="1"/>
  <c r="C86" i="5"/>
  <c r="M86" i="5" s="1"/>
  <c r="C90" i="5"/>
  <c r="M90" i="5" s="1"/>
  <c r="C97" i="5"/>
  <c r="M97" i="5" s="1"/>
  <c r="C99" i="5"/>
  <c r="M99" i="5" s="1"/>
  <c r="D73" i="5"/>
  <c r="N73" i="5" s="1"/>
  <c r="D75" i="5"/>
  <c r="N75" i="5" s="1"/>
  <c r="D79" i="5"/>
  <c r="N79" i="5" s="1"/>
  <c r="D87" i="5"/>
  <c r="N87" i="5" s="1"/>
  <c r="D104" i="5"/>
  <c r="N104" i="5" s="1"/>
  <c r="D29" i="17"/>
  <c r="D32" i="17"/>
  <c r="D43" i="17"/>
  <c r="P16" i="17"/>
  <c r="U16" i="17" s="1"/>
  <c r="P19" i="17"/>
  <c r="U19" i="17" s="1"/>
  <c r="C21" i="17"/>
  <c r="P28" i="17"/>
  <c r="U28" i="17" s="1"/>
  <c r="O13" i="17"/>
  <c r="O16" i="17"/>
  <c r="O19" i="17"/>
  <c r="O20" i="17"/>
  <c r="O21" i="17"/>
  <c r="O29" i="17"/>
  <c r="O36" i="17"/>
  <c r="O38" i="17"/>
  <c r="P13" i="17"/>
  <c r="U13" i="17" s="1"/>
  <c r="C16" i="17"/>
  <c r="C19" i="17"/>
  <c r="P24" i="17"/>
  <c r="U24" i="17" s="1"/>
  <c r="C104" i="5"/>
  <c r="M104" i="5" s="1"/>
  <c r="P10" i="17"/>
  <c r="U10" i="17" s="1"/>
  <c r="C13" i="17"/>
  <c r="P23" i="17"/>
  <c r="U23" i="17" s="1"/>
  <c r="C44" i="17"/>
  <c r="P46" i="17"/>
  <c r="U46" i="17" s="1"/>
  <c r="E96" i="17"/>
  <c r="E101" i="17"/>
  <c r="C23" i="17"/>
  <c r="C24" i="17"/>
  <c r="P27" i="17"/>
  <c r="U27" i="17" s="1"/>
  <c r="C32" i="17"/>
  <c r="P35" i="17"/>
  <c r="U35" i="17" s="1"/>
  <c r="P39" i="17"/>
  <c r="U39" i="17" s="1"/>
  <c r="C43" i="17"/>
  <c r="C50" i="17"/>
  <c r="C56" i="17"/>
  <c r="C58" i="17"/>
  <c r="E73" i="17"/>
  <c r="E75" i="17"/>
  <c r="E90" i="17"/>
  <c r="I9" i="16"/>
  <c r="N9" i="16" s="1"/>
  <c r="O75" i="17"/>
  <c r="O78" i="17"/>
  <c r="P38" i="17"/>
  <c r="U38" i="17" s="1"/>
  <c r="P52" i="17"/>
  <c r="U52" i="17" s="1"/>
  <c r="O63" i="17"/>
  <c r="D80" i="17"/>
  <c r="E80" i="17"/>
  <c r="E102" i="17"/>
  <c r="O37" i="17"/>
  <c r="O41" i="17"/>
  <c r="O47" i="17"/>
  <c r="O52" i="17"/>
  <c r="O53" i="17"/>
  <c r="O59" i="17"/>
  <c r="O72" i="17"/>
  <c r="C85" i="5"/>
  <c r="M85" i="5" s="1"/>
  <c r="C89" i="5"/>
  <c r="M89" i="5" s="1"/>
  <c r="C91" i="5"/>
  <c r="M91" i="5" s="1"/>
  <c r="C96" i="5"/>
  <c r="M96" i="5" s="1"/>
  <c r="C98" i="5"/>
  <c r="M98" i="5" s="1"/>
  <c r="C101" i="5"/>
  <c r="M101" i="5" s="1"/>
  <c r="C15" i="17"/>
  <c r="P29" i="17"/>
  <c r="U29" i="17" s="1"/>
  <c r="C55" i="17"/>
  <c r="P56" i="17"/>
  <c r="U56" i="17" s="1"/>
  <c r="O73" i="17"/>
  <c r="O74" i="17"/>
  <c r="O80" i="17"/>
  <c r="P21" i="17"/>
  <c r="U21" i="17" s="1"/>
  <c r="C27" i="17"/>
  <c r="C28" i="17"/>
  <c r="C29" i="17"/>
  <c r="C33" i="17"/>
  <c r="C35" i="17"/>
  <c r="C36" i="17"/>
  <c r="C38" i="17"/>
  <c r="C41" i="17"/>
  <c r="P47" i="17"/>
  <c r="U47" i="17" s="1"/>
  <c r="C52" i="17"/>
  <c r="C60" i="17"/>
  <c r="E85" i="17"/>
  <c r="E89" i="17"/>
  <c r="E91" i="17"/>
  <c r="E99" i="17"/>
  <c r="E104" i="17"/>
  <c r="O96" i="17"/>
  <c r="O101" i="17"/>
  <c r="I15" i="13"/>
  <c r="D104" i="17"/>
  <c r="P41" i="17"/>
  <c r="U41" i="17" s="1"/>
  <c r="P43" i="17"/>
  <c r="U43" i="17" s="1"/>
  <c r="P44" i="17"/>
  <c r="U44" i="17" s="1"/>
  <c r="C46" i="17"/>
  <c r="C47" i="17"/>
  <c r="C49" i="17"/>
  <c r="C54" i="17"/>
  <c r="P58" i="17"/>
  <c r="U58" i="17" s="1"/>
  <c r="P60" i="17"/>
  <c r="U60" i="17" s="1"/>
  <c r="E68" i="17"/>
  <c r="E79" i="17"/>
  <c r="N79" i="17" s="1"/>
  <c r="E86" i="17"/>
  <c r="N86" i="17" s="1"/>
  <c r="E98" i="17"/>
  <c r="O97" i="17"/>
  <c r="E95" i="17"/>
  <c r="E97" i="17"/>
  <c r="E100" i="17"/>
  <c r="O77" i="17"/>
  <c r="O79" i="17"/>
  <c r="O86" i="17"/>
  <c r="O89" i="17"/>
  <c r="O95" i="17"/>
  <c r="O100" i="17"/>
  <c r="O103" i="17"/>
  <c r="C85" i="17"/>
  <c r="I12" i="16"/>
  <c r="N12" i="16" s="1"/>
  <c r="D85" i="17"/>
  <c r="D87" i="17"/>
  <c r="D101" i="17"/>
  <c r="O102" i="17"/>
  <c r="C68" i="17"/>
  <c r="C73" i="17"/>
  <c r="C80" i="17"/>
  <c r="C90" i="17"/>
  <c r="D89" i="17"/>
  <c r="D95" i="17"/>
  <c r="C20" i="16"/>
  <c r="H20" i="16" s="1"/>
  <c r="I22" i="16"/>
  <c r="N22" i="16" s="1"/>
  <c r="O85" i="17"/>
  <c r="O87" i="17"/>
  <c r="O98" i="17"/>
  <c r="O104" i="17"/>
  <c r="C75" i="17"/>
  <c r="C87" i="17"/>
  <c r="C96" i="17"/>
  <c r="C99" i="17"/>
  <c r="D97" i="17"/>
  <c r="L15" i="13"/>
  <c r="P61" i="5"/>
  <c r="L12" i="13"/>
  <c r="L13" i="13"/>
  <c r="I9" i="13"/>
  <c r="C11" i="13"/>
  <c r="L10" i="13"/>
  <c r="L16" i="13"/>
  <c r="I13" i="13"/>
  <c r="M40" i="5"/>
  <c r="N39" i="5"/>
  <c r="F61" i="5"/>
  <c r="P9" i="3"/>
  <c r="T86" i="5"/>
  <c r="T44" i="5"/>
  <c r="E61" i="5"/>
  <c r="W224" i="19"/>
  <c r="D60" i="16"/>
  <c r="I55" i="16"/>
  <c r="N55" i="16" s="1"/>
  <c r="I72" i="16"/>
  <c r="N72" i="16" s="1"/>
  <c r="C86" i="16"/>
  <c r="H86" i="16" s="1"/>
  <c r="I103" i="16"/>
  <c r="N103" i="16" s="1"/>
  <c r="W8" i="19"/>
  <c r="H61" i="17"/>
  <c r="L11" i="13"/>
  <c r="D14" i="13"/>
  <c r="L17" i="13"/>
  <c r="I11" i="13"/>
  <c r="I16" i="13"/>
  <c r="C15" i="13"/>
  <c r="L9" i="13"/>
  <c r="D12" i="13"/>
  <c r="L14" i="13"/>
  <c r="I12" i="13"/>
  <c r="I17" i="13"/>
  <c r="D10" i="13"/>
  <c r="I8" i="5"/>
  <c r="F61" i="17"/>
  <c r="G61" i="17"/>
  <c r="Q61" i="17"/>
  <c r="J60" i="16"/>
  <c r="K17" i="13"/>
  <c r="G8" i="17"/>
  <c r="W131" i="19"/>
  <c r="W18" i="19"/>
  <c r="U23" i="19"/>
  <c r="U89" i="19"/>
  <c r="W94" i="6"/>
  <c r="W214" i="6"/>
  <c r="J7" i="16"/>
  <c r="D29" i="16"/>
  <c r="M81" i="16"/>
  <c r="F60" i="16"/>
  <c r="P75" i="17"/>
  <c r="U75" i="17" s="1"/>
  <c r="P86" i="17"/>
  <c r="U86" i="17" s="1"/>
  <c r="C89" i="17"/>
  <c r="P98" i="17"/>
  <c r="U98" i="17" s="1"/>
  <c r="P99" i="17"/>
  <c r="U99" i="17" s="1"/>
  <c r="P100" i="17"/>
  <c r="U100" i="17" s="1"/>
  <c r="P101" i="17"/>
  <c r="U101" i="17" s="1"/>
  <c r="C104" i="17"/>
  <c r="C10" i="13"/>
  <c r="C14" i="13"/>
  <c r="C17" i="13"/>
  <c r="C23" i="16"/>
  <c r="H23" i="16" s="1"/>
  <c r="C27" i="16"/>
  <c r="H27" i="16" s="1"/>
  <c r="C43" i="16"/>
  <c r="H43" i="16" s="1"/>
  <c r="I45" i="16"/>
  <c r="N45" i="16" s="1"/>
  <c r="C51" i="16"/>
  <c r="H51" i="16" s="1"/>
  <c r="C67" i="16"/>
  <c r="H67" i="16" s="1"/>
  <c r="C40" i="16"/>
  <c r="H40" i="16" s="1"/>
  <c r="I39" i="16"/>
  <c r="N39" i="16" s="1"/>
  <c r="C49" i="16"/>
  <c r="H49" i="16" s="1"/>
  <c r="I20" i="16"/>
  <c r="N20" i="16" s="1"/>
  <c r="C42" i="16"/>
  <c r="H42" i="16" s="1"/>
  <c r="C46" i="16"/>
  <c r="H46" i="16" s="1"/>
  <c r="C74" i="16"/>
  <c r="H74" i="16" s="1"/>
  <c r="C89" i="16"/>
  <c r="H89" i="16" s="1"/>
  <c r="C97" i="16"/>
  <c r="H97" i="16" s="1"/>
  <c r="C98" i="16"/>
  <c r="H98" i="16" s="1"/>
  <c r="I89" i="16"/>
  <c r="N89" i="16" s="1"/>
  <c r="I97" i="16"/>
  <c r="N97" i="16" s="1"/>
  <c r="D88" i="17"/>
  <c r="P55" i="17"/>
  <c r="U55" i="17" s="1"/>
  <c r="O91" i="5"/>
  <c r="T91" i="5" s="1"/>
  <c r="O45" i="5"/>
  <c r="T45" i="5" s="1"/>
  <c r="C59" i="5"/>
  <c r="M59" i="5" s="1"/>
  <c r="I10" i="13"/>
  <c r="I14" i="13"/>
  <c r="P68" i="17"/>
  <c r="U68" i="17" s="1"/>
  <c r="P79" i="17"/>
  <c r="U79" i="17" s="1"/>
  <c r="P89" i="17"/>
  <c r="U89" i="17" s="1"/>
  <c r="C91" i="17"/>
  <c r="P96" i="17"/>
  <c r="U96" i="17" s="1"/>
  <c r="C98" i="17"/>
  <c r="G94" i="17"/>
  <c r="P104" i="17"/>
  <c r="U104" i="17" s="1"/>
  <c r="D98" i="17"/>
  <c r="D100" i="17"/>
  <c r="C12" i="13"/>
  <c r="C16" i="13"/>
  <c r="I37" i="16"/>
  <c r="N37" i="16" s="1"/>
  <c r="C55" i="16"/>
  <c r="H55" i="16" s="1"/>
  <c r="I57" i="16"/>
  <c r="N57" i="16" s="1"/>
  <c r="I14" i="16"/>
  <c r="N14" i="16" s="1"/>
  <c r="I18" i="16"/>
  <c r="N18" i="16" s="1"/>
  <c r="I34" i="16"/>
  <c r="N34" i="16" s="1"/>
  <c r="I78" i="16"/>
  <c r="N78" i="16" s="1"/>
  <c r="I23" i="16"/>
  <c r="N23" i="16" s="1"/>
  <c r="I27" i="16"/>
  <c r="N27" i="16" s="1"/>
  <c r="C37" i="16"/>
  <c r="H37" i="16" s="1"/>
  <c r="I43" i="16"/>
  <c r="N43" i="16" s="1"/>
  <c r="I59" i="16"/>
  <c r="N59" i="16" s="1"/>
  <c r="C22" i="16"/>
  <c r="H22" i="16" s="1"/>
  <c r="I28" i="16"/>
  <c r="N28" i="16" s="1"/>
  <c r="I95" i="16"/>
  <c r="N95" i="16" s="1"/>
  <c r="I99" i="16"/>
  <c r="N99" i="16" s="1"/>
  <c r="I85" i="16"/>
  <c r="N85" i="16" s="1"/>
  <c r="C95" i="16"/>
  <c r="H95" i="16" s="1"/>
  <c r="I98" i="16"/>
  <c r="N98" i="16" s="1"/>
  <c r="C26" i="17"/>
  <c r="P25" i="17"/>
  <c r="U25" i="17" s="1"/>
  <c r="D9" i="13"/>
  <c r="D11" i="13"/>
  <c r="D13" i="13"/>
  <c r="D15" i="13"/>
  <c r="P73" i="17"/>
  <c r="U73" i="17" s="1"/>
  <c r="P87" i="17"/>
  <c r="U87" i="17" s="1"/>
  <c r="C97" i="17"/>
  <c r="C9" i="16"/>
  <c r="H9" i="16" s="1"/>
  <c r="D96" i="17"/>
  <c r="D99" i="17"/>
  <c r="D102" i="17"/>
  <c r="C9" i="13"/>
  <c r="C13" i="13"/>
  <c r="K16" i="13"/>
  <c r="C39" i="16"/>
  <c r="H39" i="16" s="1"/>
  <c r="I49" i="16"/>
  <c r="N49" i="16" s="1"/>
  <c r="C59" i="16"/>
  <c r="H59" i="16" s="1"/>
  <c r="C85" i="16"/>
  <c r="H85" i="16" s="1"/>
  <c r="C28" i="16"/>
  <c r="H28" i="16" s="1"/>
  <c r="I38" i="16"/>
  <c r="N38" i="16" s="1"/>
  <c r="I42" i="16"/>
  <c r="N42" i="16" s="1"/>
  <c r="I46" i="16"/>
  <c r="N46" i="16" s="1"/>
  <c r="C72" i="16"/>
  <c r="H72" i="16" s="1"/>
  <c r="I74" i="16"/>
  <c r="N74" i="16" s="1"/>
  <c r="I51" i="16"/>
  <c r="N51" i="16" s="1"/>
  <c r="C57" i="16"/>
  <c r="H57" i="16" s="1"/>
  <c r="I67" i="16"/>
  <c r="N67" i="16" s="1"/>
  <c r="C14" i="16"/>
  <c r="H14" i="16" s="1"/>
  <c r="C18" i="16"/>
  <c r="H18" i="16" s="1"/>
  <c r="C34" i="16"/>
  <c r="H34" i="16" s="1"/>
  <c r="I40" i="16"/>
  <c r="N40" i="16" s="1"/>
  <c r="C78" i="16"/>
  <c r="H78" i="16" s="1"/>
  <c r="C84" i="16"/>
  <c r="H84" i="16" s="1"/>
  <c r="I84" i="16"/>
  <c r="N84" i="16" s="1"/>
  <c r="O49" i="5"/>
  <c r="T49" i="5" s="1"/>
  <c r="E26" i="17"/>
  <c r="E25" i="17"/>
  <c r="D84" i="17"/>
  <c r="C81" i="17"/>
  <c r="D77" i="17"/>
  <c r="E72" i="17"/>
  <c r="E71" i="17"/>
  <c r="P69" i="17"/>
  <c r="U69" i="17" s="1"/>
  <c r="O67" i="17"/>
  <c r="E67" i="17"/>
  <c r="P66" i="17"/>
  <c r="U66" i="17" s="1"/>
  <c r="P65" i="17"/>
  <c r="U65" i="17" s="1"/>
  <c r="E65" i="17"/>
  <c r="E64" i="17"/>
  <c r="D63" i="17"/>
  <c r="O62" i="17"/>
  <c r="E62" i="17"/>
  <c r="E57" i="17"/>
  <c r="C53" i="17"/>
  <c r="D34" i="17"/>
  <c r="D31" i="17"/>
  <c r="P26" i="17"/>
  <c r="U26" i="17" s="1"/>
  <c r="P22" i="17"/>
  <c r="U22" i="17" s="1"/>
  <c r="E22" i="17"/>
  <c r="P17" i="17"/>
  <c r="U17" i="17" s="1"/>
  <c r="D14" i="17"/>
  <c r="P11" i="17"/>
  <c r="U11" i="17" s="1"/>
  <c r="P9" i="17"/>
  <c r="U9" i="17" s="1"/>
  <c r="E9" i="17"/>
  <c r="C103" i="5"/>
  <c r="M103" i="5" s="1"/>
  <c r="D84" i="5"/>
  <c r="N84" i="5" s="1"/>
  <c r="O83" i="5"/>
  <c r="T83" i="5" s="1"/>
  <c r="D78" i="5"/>
  <c r="N78" i="5" s="1"/>
  <c r="C74" i="5"/>
  <c r="M74" i="5" s="1"/>
  <c r="D72" i="5"/>
  <c r="N72" i="5" s="1"/>
  <c r="O71" i="5"/>
  <c r="T71" i="5" s="1"/>
  <c r="C64" i="5"/>
  <c r="M64" i="5" s="1"/>
  <c r="C63" i="5"/>
  <c r="M63" i="5" s="1"/>
  <c r="O62" i="5"/>
  <c r="T62" i="5" s="1"/>
  <c r="C62" i="5"/>
  <c r="M62" i="5" s="1"/>
  <c r="C53" i="5"/>
  <c r="O34" i="5"/>
  <c r="T34" i="5" s="1"/>
  <c r="O26" i="5"/>
  <c r="T26" i="5" s="1"/>
  <c r="D22" i="5"/>
  <c r="N22" i="5" s="1"/>
  <c r="D17" i="5"/>
  <c r="N17" i="5" s="1"/>
  <c r="C14" i="5"/>
  <c r="M14" i="5" s="1"/>
  <c r="O11" i="5"/>
  <c r="T11" i="5" s="1"/>
  <c r="D83" i="17"/>
  <c r="P78" i="17"/>
  <c r="U78" i="17" s="1"/>
  <c r="C77" i="17"/>
  <c r="E74" i="17"/>
  <c r="D72" i="17"/>
  <c r="D71" i="17"/>
  <c r="O69" i="17"/>
  <c r="E69" i="17"/>
  <c r="D67" i="17"/>
  <c r="O66" i="17"/>
  <c r="E66" i="17"/>
  <c r="O65" i="17"/>
  <c r="D65" i="17"/>
  <c r="D64" i="17"/>
  <c r="C63" i="17"/>
  <c r="D62" i="17"/>
  <c r="P59" i="17"/>
  <c r="U59" i="17" s="1"/>
  <c r="D57" i="17"/>
  <c r="P53" i="17"/>
  <c r="U53" i="17" s="1"/>
  <c r="C34" i="17"/>
  <c r="C31" i="17"/>
  <c r="D22" i="17"/>
  <c r="O17" i="17"/>
  <c r="E17" i="17"/>
  <c r="C14" i="17"/>
  <c r="E11" i="17"/>
  <c r="D9" i="17"/>
  <c r="C84" i="5"/>
  <c r="M84" i="5" s="1"/>
  <c r="O78" i="5"/>
  <c r="T78" i="5" s="1"/>
  <c r="C78" i="5"/>
  <c r="M78" i="5" s="1"/>
  <c r="C72" i="5"/>
  <c r="M72" i="5" s="1"/>
  <c r="D71" i="5"/>
  <c r="N71" i="5" s="1"/>
  <c r="D69" i="5"/>
  <c r="N69" i="5" s="1"/>
  <c r="D67" i="5"/>
  <c r="N67" i="5" s="1"/>
  <c r="D66" i="5"/>
  <c r="N66" i="5" s="1"/>
  <c r="O65" i="5"/>
  <c r="T65" i="5" s="1"/>
  <c r="O57" i="5"/>
  <c r="T57" i="5" s="1"/>
  <c r="D34" i="5"/>
  <c r="N34" i="5" s="1"/>
  <c r="O31" i="5"/>
  <c r="T31" i="5" s="1"/>
  <c r="D26" i="5"/>
  <c r="N26" i="5" s="1"/>
  <c r="O22" i="5"/>
  <c r="T22" i="5" s="1"/>
  <c r="C22" i="5"/>
  <c r="M22" i="5" s="1"/>
  <c r="D20" i="5"/>
  <c r="N20" i="5" s="1"/>
  <c r="O17" i="5"/>
  <c r="T17" i="5" s="1"/>
  <c r="C17" i="5"/>
  <c r="M17" i="5" s="1"/>
  <c r="D11" i="5"/>
  <c r="N11" i="5" s="1"/>
  <c r="C83" i="17"/>
  <c r="D78" i="17"/>
  <c r="D76" i="17"/>
  <c r="D74" i="17"/>
  <c r="C72" i="17"/>
  <c r="C71" i="17"/>
  <c r="D69" i="17"/>
  <c r="C67" i="17"/>
  <c r="D66" i="17"/>
  <c r="C65" i="17"/>
  <c r="C64" i="17"/>
  <c r="C62" i="17"/>
  <c r="C57" i="17"/>
  <c r="E53" i="17"/>
  <c r="P37" i="17"/>
  <c r="U37" i="17" s="1"/>
  <c r="P34" i="17"/>
  <c r="U34" i="17" s="1"/>
  <c r="P31" i="17"/>
  <c r="U31" i="17" s="1"/>
  <c r="C22" i="17"/>
  <c r="D17" i="17"/>
  <c r="P14" i="17"/>
  <c r="U14" i="17" s="1"/>
  <c r="D11" i="17"/>
  <c r="C9" i="17"/>
  <c r="O103" i="5"/>
  <c r="T103" i="5" s="1"/>
  <c r="D102" i="5"/>
  <c r="N102" i="5" s="1"/>
  <c r="D93" i="5"/>
  <c r="N93" i="5" s="1"/>
  <c r="D92" i="5"/>
  <c r="N92" i="5" s="1"/>
  <c r="D91" i="5"/>
  <c r="N91" i="5" s="1"/>
  <c r="D88" i="5"/>
  <c r="N88" i="5" s="1"/>
  <c r="D83" i="5"/>
  <c r="N83" i="5" s="1"/>
  <c r="D81" i="5"/>
  <c r="N81" i="5" s="1"/>
  <c r="D80" i="5"/>
  <c r="N80" i="5" s="1"/>
  <c r="D77" i="5"/>
  <c r="N77" i="5" s="1"/>
  <c r="D76" i="5"/>
  <c r="N76" i="5" s="1"/>
  <c r="O74" i="5"/>
  <c r="T74" i="5" s="1"/>
  <c r="C71" i="5"/>
  <c r="M71" i="5" s="1"/>
  <c r="O69" i="5"/>
  <c r="T69" i="5" s="1"/>
  <c r="C69" i="5"/>
  <c r="M69" i="5" s="1"/>
  <c r="O67" i="5"/>
  <c r="T67" i="5" s="1"/>
  <c r="C67" i="5"/>
  <c r="M67" i="5" s="1"/>
  <c r="O66" i="5"/>
  <c r="T66" i="5" s="1"/>
  <c r="C66" i="5"/>
  <c r="M66" i="5" s="1"/>
  <c r="D65" i="5"/>
  <c r="N65" i="5" s="1"/>
  <c r="O64" i="5"/>
  <c r="T64" i="5" s="1"/>
  <c r="O59" i="5"/>
  <c r="T59" i="5" s="1"/>
  <c r="D57" i="5"/>
  <c r="N57" i="5" s="1"/>
  <c r="D55" i="5"/>
  <c r="N55" i="5" s="1"/>
  <c r="O53" i="5"/>
  <c r="T53" i="5" s="1"/>
  <c r="O37" i="5"/>
  <c r="T37" i="5" s="1"/>
  <c r="D37" i="5"/>
  <c r="N37" i="5" s="1"/>
  <c r="C34" i="5"/>
  <c r="M34" i="5" s="1"/>
  <c r="D31" i="5"/>
  <c r="N31" i="5" s="1"/>
  <c r="O14" i="5"/>
  <c r="T14" i="5" s="1"/>
  <c r="C11" i="5"/>
  <c r="M11" i="5" s="1"/>
  <c r="D9" i="5"/>
  <c r="N9" i="5" s="1"/>
  <c r="D81" i="17"/>
  <c r="C78" i="17"/>
  <c r="C76" i="17"/>
  <c r="C74" i="17"/>
  <c r="P71" i="17"/>
  <c r="U71" i="17" s="1"/>
  <c r="C69" i="17"/>
  <c r="P67" i="17"/>
  <c r="U67" i="17" s="1"/>
  <c r="C66" i="17"/>
  <c r="P64" i="17"/>
  <c r="U64" i="17" s="1"/>
  <c r="P63" i="17"/>
  <c r="U63" i="17" s="1"/>
  <c r="E63" i="17"/>
  <c r="P62" i="17"/>
  <c r="U62" i="17" s="1"/>
  <c r="P57" i="17"/>
  <c r="U57" i="17" s="1"/>
  <c r="D53" i="17"/>
  <c r="E34" i="17"/>
  <c r="E31" i="17"/>
  <c r="C17" i="17"/>
  <c r="E14" i="17"/>
  <c r="C11" i="17"/>
  <c r="D103" i="5"/>
  <c r="N103" i="5" s="1"/>
  <c r="D95" i="5"/>
  <c r="N95" i="5" s="1"/>
  <c r="O93" i="5"/>
  <c r="T93" i="5" s="1"/>
  <c r="C93" i="5"/>
  <c r="M93" i="5" s="1"/>
  <c r="O92" i="5"/>
  <c r="T92" i="5" s="1"/>
  <c r="C92" i="5"/>
  <c r="M92" i="5" s="1"/>
  <c r="O84" i="5"/>
  <c r="T84" i="5" s="1"/>
  <c r="C83" i="5"/>
  <c r="M83" i="5" s="1"/>
  <c r="O81" i="5"/>
  <c r="T81" i="5" s="1"/>
  <c r="C81" i="5"/>
  <c r="M81" i="5" s="1"/>
  <c r="O77" i="5"/>
  <c r="T77" i="5" s="1"/>
  <c r="C77" i="5"/>
  <c r="M77" i="5" s="1"/>
  <c r="O76" i="5"/>
  <c r="T76" i="5" s="1"/>
  <c r="C76" i="5"/>
  <c r="M76" i="5" s="1"/>
  <c r="D74" i="5"/>
  <c r="N74" i="5" s="1"/>
  <c r="O72" i="5"/>
  <c r="T72" i="5" s="1"/>
  <c r="C65" i="5"/>
  <c r="M65" i="5" s="1"/>
  <c r="D64" i="5"/>
  <c r="N64" i="5" s="1"/>
  <c r="O63" i="5"/>
  <c r="T63" i="5" s="1"/>
  <c r="D63" i="5"/>
  <c r="N63" i="5" s="1"/>
  <c r="D62" i="5"/>
  <c r="N62" i="5" s="1"/>
  <c r="D59" i="5"/>
  <c r="N59" i="5" s="1"/>
  <c r="C57" i="5"/>
  <c r="M57" i="5" s="1"/>
  <c r="D53" i="5"/>
  <c r="N53" i="5" s="1"/>
  <c r="D49" i="5"/>
  <c r="N49" i="5" s="1"/>
  <c r="D45" i="5"/>
  <c r="N45" i="5" s="1"/>
  <c r="D33" i="5"/>
  <c r="N33" i="5" s="1"/>
  <c r="C31" i="5"/>
  <c r="M31" i="5" s="1"/>
  <c r="D14" i="5"/>
  <c r="N14" i="5" s="1"/>
  <c r="O9" i="5"/>
  <c r="T9" i="5" s="1"/>
  <c r="C9" i="5"/>
  <c r="M9" i="5" s="1"/>
  <c r="E88" i="17"/>
  <c r="P91" i="17"/>
  <c r="U91" i="17" s="1"/>
  <c r="O33" i="5"/>
  <c r="T33" i="5" s="1"/>
  <c r="P32" i="17"/>
  <c r="U32" i="17" s="1"/>
  <c r="O20" i="5"/>
  <c r="O102" i="5"/>
  <c r="T102" i="5" s="1"/>
  <c r="O32" i="5"/>
  <c r="T32" i="5" s="1"/>
  <c r="P95" i="17"/>
  <c r="U95" i="17" s="1"/>
  <c r="D26" i="17"/>
  <c r="C26" i="5"/>
  <c r="M26" i="5" s="1"/>
  <c r="E59" i="17"/>
  <c r="C25" i="17"/>
  <c r="D25" i="5"/>
  <c r="N25" i="5" s="1"/>
  <c r="N17" i="4"/>
  <c r="C88" i="5"/>
  <c r="M88" i="5" s="1"/>
  <c r="P33" i="17"/>
  <c r="U33" i="17" s="1"/>
  <c r="P102" i="17"/>
  <c r="U102" i="17" s="1"/>
  <c r="P45" i="17"/>
  <c r="U45" i="17" s="1"/>
  <c r="O55" i="5"/>
  <c r="T55" i="5" s="1"/>
  <c r="O80" i="5"/>
  <c r="T80" i="5" s="1"/>
  <c r="P80" i="17"/>
  <c r="U80" i="17" s="1"/>
  <c r="P49" i="17"/>
  <c r="U49" i="17" s="1"/>
  <c r="P88" i="17"/>
  <c r="U88" i="17" s="1"/>
  <c r="C37" i="17"/>
  <c r="E37" i="17"/>
  <c r="D59" i="17"/>
  <c r="O25" i="5"/>
  <c r="T25" i="5" s="1"/>
  <c r="D25" i="17"/>
  <c r="C99" i="16"/>
  <c r="H99" i="16" s="1"/>
  <c r="C103" i="16"/>
  <c r="H103" i="16" s="1"/>
  <c r="C88" i="17"/>
  <c r="P54" i="17"/>
  <c r="U54" i="17" s="1"/>
  <c r="O54" i="5"/>
  <c r="T54" i="5" s="1"/>
  <c r="P20" i="17"/>
  <c r="U20" i="17" s="1"/>
  <c r="O95" i="5"/>
  <c r="T95" i="5" s="1"/>
  <c r="O88" i="5"/>
  <c r="T88" i="5" s="1"/>
  <c r="D37" i="17"/>
  <c r="C37" i="5"/>
  <c r="M37" i="5" s="1"/>
  <c r="C59" i="17"/>
  <c r="P84" i="17"/>
  <c r="U84" i="17" s="1"/>
  <c r="P83" i="17"/>
  <c r="U83" i="17" s="1"/>
  <c r="C103" i="17"/>
  <c r="P93" i="17"/>
  <c r="U93" i="17" s="1"/>
  <c r="C84" i="17"/>
  <c r="P77" i="17"/>
  <c r="U77" i="17" s="1"/>
  <c r="P72" i="17"/>
  <c r="U72" i="17" s="1"/>
  <c r="L29" i="16"/>
  <c r="P92" i="17"/>
  <c r="U92" i="17" s="1"/>
  <c r="E92" i="17"/>
  <c r="E84" i="17"/>
  <c r="O83" i="17"/>
  <c r="C92" i="17"/>
  <c r="O88" i="17"/>
  <c r="E83" i="17"/>
  <c r="P81" i="17"/>
  <c r="U81" i="17" s="1"/>
  <c r="E81" i="17"/>
  <c r="E78" i="17"/>
  <c r="E77" i="17"/>
  <c r="P76" i="17"/>
  <c r="U76" i="17" s="1"/>
  <c r="O76" i="17"/>
  <c r="E76" i="17"/>
  <c r="P74" i="17"/>
  <c r="U74" i="17" s="1"/>
  <c r="M7" i="16"/>
  <c r="D93" i="16"/>
  <c r="F29" i="16"/>
  <c r="L93" i="16"/>
  <c r="D7" i="16"/>
  <c r="J17" i="16"/>
  <c r="G29" i="16"/>
  <c r="E60" i="16"/>
  <c r="F81" i="16"/>
  <c r="J93" i="16"/>
  <c r="M29" i="16"/>
  <c r="F93" i="16"/>
  <c r="F7" i="16"/>
  <c r="F41" i="16"/>
  <c r="F69" i="16"/>
  <c r="L70" i="17"/>
  <c r="C75" i="16"/>
  <c r="H75" i="16" s="1"/>
  <c r="C44" i="16"/>
  <c r="H44" i="16" s="1"/>
  <c r="I26" i="16"/>
  <c r="N26" i="16" s="1"/>
  <c r="C53" i="16"/>
  <c r="H53" i="16" s="1"/>
  <c r="O93" i="17"/>
  <c r="E93" i="17"/>
  <c r="K61" i="17"/>
  <c r="W301" i="19"/>
  <c r="W228" i="6"/>
  <c r="W118" i="19"/>
  <c r="U243" i="19"/>
  <c r="W72" i="19"/>
  <c r="W217" i="19"/>
  <c r="W134" i="6"/>
  <c r="C101" i="16"/>
  <c r="H101" i="16" s="1"/>
  <c r="I100" i="16"/>
  <c r="N100" i="16" s="1"/>
  <c r="C100" i="16"/>
  <c r="H100" i="16" s="1"/>
  <c r="C91" i="16"/>
  <c r="H91" i="16" s="1"/>
  <c r="I90" i="16"/>
  <c r="N90" i="16" s="1"/>
  <c r="C90" i="16"/>
  <c r="H90" i="16" s="1"/>
  <c r="I88" i="16"/>
  <c r="N88" i="16" s="1"/>
  <c r="C79" i="16"/>
  <c r="H79" i="16" s="1"/>
  <c r="I77" i="16"/>
  <c r="N77" i="16" s="1"/>
  <c r="C77" i="16"/>
  <c r="H77" i="16" s="1"/>
  <c r="C73" i="16"/>
  <c r="H73" i="16" s="1"/>
  <c r="C68" i="16"/>
  <c r="H68" i="16" s="1"/>
  <c r="C64" i="16"/>
  <c r="H64" i="16" s="1"/>
  <c r="I63" i="16"/>
  <c r="N63" i="16" s="1"/>
  <c r="C63" i="16"/>
  <c r="H63" i="16" s="1"/>
  <c r="I62" i="16"/>
  <c r="N62" i="16" s="1"/>
  <c r="C62" i="16"/>
  <c r="I21" i="16"/>
  <c r="N21" i="16" s="1"/>
  <c r="I11" i="16"/>
  <c r="N11" i="16" s="1"/>
  <c r="P103" i="17"/>
  <c r="U103" i="17" s="1"/>
  <c r="C93" i="17"/>
  <c r="D92" i="17"/>
  <c r="C87" i="16"/>
  <c r="H87" i="16" s="1"/>
  <c r="I54" i="16"/>
  <c r="N54" i="16" s="1"/>
  <c r="C54" i="16"/>
  <c r="H54" i="16" s="1"/>
  <c r="C96" i="16"/>
  <c r="H96" i="16" s="1"/>
  <c r="I94" i="16"/>
  <c r="N94" i="16" s="1"/>
  <c r="C94" i="16"/>
  <c r="H94" i="16" s="1"/>
  <c r="C82" i="16"/>
  <c r="H82" i="16" s="1"/>
  <c r="C71" i="16"/>
  <c r="H71" i="16" s="1"/>
  <c r="C66" i="16"/>
  <c r="H66" i="16" s="1"/>
  <c r="I48" i="16"/>
  <c r="N48" i="16" s="1"/>
  <c r="I19" i="16"/>
  <c r="N19" i="16" s="1"/>
  <c r="D93" i="17"/>
  <c r="O92" i="17"/>
  <c r="W170" i="19"/>
  <c r="W11" i="12"/>
  <c r="G16" i="4"/>
  <c r="I101" i="16"/>
  <c r="N101" i="16" s="1"/>
  <c r="I96" i="16"/>
  <c r="N96" i="16" s="1"/>
  <c r="I92" i="16"/>
  <c r="N92" i="16" s="1"/>
  <c r="I83" i="16"/>
  <c r="N83" i="16" s="1"/>
  <c r="I80" i="16"/>
  <c r="N80" i="16" s="1"/>
  <c r="I79" i="16"/>
  <c r="N79" i="16" s="1"/>
  <c r="I73" i="16"/>
  <c r="N73" i="16" s="1"/>
  <c r="I71" i="16"/>
  <c r="N71" i="16" s="1"/>
  <c r="I65" i="16"/>
  <c r="N65" i="16" s="1"/>
  <c r="I61" i="16"/>
  <c r="C35" i="16"/>
  <c r="H35" i="16" s="1"/>
  <c r="C31" i="16"/>
  <c r="H31" i="16" s="1"/>
  <c r="I30" i="16"/>
  <c r="N30" i="16" s="1"/>
  <c r="C30" i="16"/>
  <c r="H30" i="16" s="1"/>
  <c r="C24" i="16"/>
  <c r="H24" i="16" s="1"/>
  <c r="C15" i="16"/>
  <c r="H15" i="16" s="1"/>
  <c r="C11" i="16"/>
  <c r="H11" i="16" s="1"/>
  <c r="I10" i="16"/>
  <c r="N10" i="16" s="1"/>
  <c r="C10" i="16"/>
  <c r="H10" i="16" s="1"/>
  <c r="C102" i="16"/>
  <c r="H102" i="16" s="1"/>
  <c r="C92" i="16"/>
  <c r="H92" i="16" s="1"/>
  <c r="C88" i="16"/>
  <c r="H88" i="16" s="1"/>
  <c r="C83" i="16"/>
  <c r="H83" i="16" s="1"/>
  <c r="C80" i="16"/>
  <c r="H80" i="16" s="1"/>
  <c r="C76" i="16"/>
  <c r="H76" i="16" s="1"/>
  <c r="C70" i="16"/>
  <c r="H70" i="16" s="1"/>
  <c r="C65" i="16"/>
  <c r="H65" i="16" s="1"/>
  <c r="C61" i="16"/>
  <c r="H61" i="16" s="1"/>
  <c r="C58" i="16"/>
  <c r="H58" i="16" s="1"/>
  <c r="C56" i="16"/>
  <c r="H56" i="16" s="1"/>
  <c r="I53" i="16"/>
  <c r="N53" i="16" s="1"/>
  <c r="C52" i="16"/>
  <c r="H52" i="16" s="1"/>
  <c r="C48" i="16"/>
  <c r="H48" i="16" s="1"/>
  <c r="I35" i="16"/>
  <c r="N35" i="16" s="1"/>
  <c r="I31" i="16"/>
  <c r="N31" i="16" s="1"/>
  <c r="I24" i="16"/>
  <c r="N24" i="16" s="1"/>
  <c r="I16" i="16"/>
  <c r="N16" i="16" s="1"/>
  <c r="I15" i="16"/>
  <c r="N15" i="16" s="1"/>
  <c r="E103" i="17"/>
  <c r="I102" i="16"/>
  <c r="N102" i="16" s="1"/>
  <c r="I91" i="16"/>
  <c r="N91" i="16" s="1"/>
  <c r="I87" i="16"/>
  <c r="N87" i="16" s="1"/>
  <c r="I82" i="16"/>
  <c r="N82" i="16" s="1"/>
  <c r="I76" i="16"/>
  <c r="N76" i="16" s="1"/>
  <c r="I75" i="16"/>
  <c r="N75" i="16" s="1"/>
  <c r="I70" i="16"/>
  <c r="N70" i="16" s="1"/>
  <c r="I68" i="16"/>
  <c r="N68" i="16" s="1"/>
  <c r="I66" i="16"/>
  <c r="N66" i="16" s="1"/>
  <c r="I64" i="16"/>
  <c r="N64" i="16" s="1"/>
  <c r="I58" i="16"/>
  <c r="N58" i="16" s="1"/>
  <c r="I56" i="16"/>
  <c r="N56" i="16" s="1"/>
  <c r="I52" i="16"/>
  <c r="N52" i="16" s="1"/>
  <c r="I44" i="16"/>
  <c r="N44" i="16" s="1"/>
  <c r="I36" i="16"/>
  <c r="N36" i="16" s="1"/>
  <c r="C36" i="16"/>
  <c r="H36" i="16" s="1"/>
  <c r="I33" i="16"/>
  <c r="N33" i="16" s="1"/>
  <c r="C33" i="16"/>
  <c r="H33" i="16" s="1"/>
  <c r="I32" i="16"/>
  <c r="N32" i="16" s="1"/>
  <c r="C32" i="16"/>
  <c r="H32" i="16" s="1"/>
  <c r="C26" i="16"/>
  <c r="H26" i="16" s="1"/>
  <c r="I25" i="16"/>
  <c r="N25" i="16" s="1"/>
  <c r="C25" i="16"/>
  <c r="H25" i="16" s="1"/>
  <c r="C21" i="16"/>
  <c r="H21" i="16" s="1"/>
  <c r="C19" i="16"/>
  <c r="H19" i="16" s="1"/>
  <c r="C16" i="16"/>
  <c r="H16" i="16" s="1"/>
  <c r="I13" i="16"/>
  <c r="N13" i="16" s="1"/>
  <c r="C13" i="16"/>
  <c r="H13" i="16" s="1"/>
  <c r="I8" i="16"/>
  <c r="N8" i="16" s="1"/>
  <c r="C8" i="16"/>
  <c r="H8" i="16" s="1"/>
  <c r="D103" i="17"/>
  <c r="W231" i="6"/>
  <c r="W230" i="6"/>
  <c r="W183" i="6"/>
  <c r="W247" i="6"/>
  <c r="D17" i="16"/>
  <c r="D69" i="16"/>
  <c r="G93" i="16"/>
  <c r="W201" i="6"/>
  <c r="R30" i="5"/>
  <c r="W236" i="6"/>
  <c r="W285" i="6"/>
  <c r="M93" i="16"/>
  <c r="E8" i="5"/>
  <c r="J29" i="16"/>
  <c r="J61" i="17"/>
  <c r="J10" i="12"/>
  <c r="M20" i="13"/>
  <c r="M19" i="13"/>
  <c r="J11" i="12"/>
  <c r="L41" i="16"/>
  <c r="J41" i="16"/>
  <c r="J69" i="16"/>
  <c r="W83" i="19"/>
  <c r="W272" i="19"/>
  <c r="L69" i="16"/>
  <c r="W10" i="12"/>
  <c r="W87" i="19"/>
  <c r="W211" i="19"/>
  <c r="U108" i="19"/>
  <c r="W11" i="19"/>
  <c r="O15" i="4"/>
  <c r="O12" i="4"/>
  <c r="L15" i="4"/>
  <c r="L11" i="4"/>
  <c r="O14" i="4"/>
  <c r="O10" i="4"/>
  <c r="N14" i="4"/>
  <c r="G12" i="4"/>
  <c r="G14" i="4"/>
  <c r="F9" i="4"/>
  <c r="O11" i="4"/>
  <c r="F13" i="4"/>
  <c r="G11" i="4"/>
  <c r="N15" i="4"/>
  <c r="K13" i="13"/>
  <c r="N13" i="4"/>
  <c r="N9" i="4"/>
  <c r="G15" i="4"/>
  <c r="L8" i="4"/>
  <c r="O16" i="4"/>
  <c r="O8" i="4"/>
  <c r="K14" i="13"/>
  <c r="K15" i="13"/>
  <c r="G10" i="4"/>
  <c r="L16" i="4"/>
  <c r="F14" i="4"/>
  <c r="N10" i="4"/>
  <c r="F15" i="4"/>
  <c r="N11" i="4"/>
  <c r="K9" i="13"/>
  <c r="L12" i="4"/>
  <c r="F10" i="4"/>
  <c r="L13" i="4"/>
  <c r="L9" i="4"/>
  <c r="K11" i="13"/>
  <c r="G8" i="4"/>
  <c r="F11" i="4"/>
  <c r="K10" i="13"/>
  <c r="K12" i="13"/>
  <c r="U301" i="19"/>
  <c r="U274" i="19"/>
  <c r="S61" i="17"/>
  <c r="W55" i="19"/>
  <c r="F70" i="17"/>
  <c r="W9" i="12"/>
  <c r="J9" i="12"/>
  <c r="X6" i="17"/>
  <c r="W6" i="17"/>
  <c r="U269" i="19"/>
  <c r="M18" i="13"/>
  <c r="W183" i="19"/>
  <c r="W241" i="19"/>
  <c r="U214" i="19"/>
  <c r="W97" i="6"/>
  <c r="W123" i="19"/>
  <c r="W19" i="19"/>
  <c r="W101" i="19"/>
  <c r="N187" i="19"/>
  <c r="W10" i="19"/>
  <c r="W118" i="6"/>
  <c r="W135" i="19"/>
  <c r="W222" i="6"/>
  <c r="U98" i="6"/>
  <c r="W66" i="19"/>
  <c r="W26" i="19"/>
  <c r="W236" i="19"/>
  <c r="W98" i="19"/>
  <c r="W44" i="19"/>
  <c r="W262" i="6"/>
  <c r="W53" i="6"/>
  <c r="W41" i="19"/>
  <c r="W37" i="19"/>
  <c r="U247" i="19"/>
  <c r="W29" i="19"/>
  <c r="U20" i="19"/>
  <c r="W235" i="6"/>
  <c r="M276" i="6"/>
  <c r="W142" i="19"/>
  <c r="M203" i="19"/>
  <c r="U256" i="19"/>
  <c r="U287" i="19"/>
  <c r="W268" i="19"/>
  <c r="W247" i="19"/>
  <c r="U146" i="19"/>
  <c r="M115" i="19"/>
  <c r="U207" i="19"/>
  <c r="W223" i="19"/>
  <c r="U261" i="19"/>
  <c r="W282" i="6"/>
  <c r="W109" i="6"/>
  <c r="W113" i="19"/>
  <c r="W291" i="19"/>
  <c r="U273" i="19"/>
  <c r="U211" i="19"/>
  <c r="U138" i="19"/>
  <c r="U223" i="19"/>
  <c r="W207" i="19"/>
  <c r="W202" i="19"/>
  <c r="W68" i="6"/>
  <c r="U63" i="19"/>
  <c r="W223" i="6"/>
  <c r="W190" i="6"/>
  <c r="W41" i="6"/>
  <c r="W299" i="19"/>
  <c r="U278" i="6"/>
  <c r="W267" i="6"/>
  <c r="U16" i="19"/>
  <c r="W258" i="6"/>
  <c r="U251" i="19"/>
  <c r="N137" i="19"/>
  <c r="W137" i="19" s="1"/>
  <c r="U106" i="19"/>
  <c r="U120" i="19"/>
  <c r="W286" i="6"/>
  <c r="U247" i="6"/>
  <c r="U157" i="6"/>
  <c r="U139" i="6"/>
  <c r="U263" i="19"/>
  <c r="W38" i="19"/>
  <c r="W93" i="19"/>
  <c r="W30" i="19"/>
  <c r="W12" i="19"/>
  <c r="W143" i="19"/>
  <c r="U24" i="19"/>
  <c r="T265" i="19"/>
  <c r="W300" i="19"/>
  <c r="W295" i="19"/>
  <c r="F8" i="17"/>
  <c r="W229" i="19"/>
  <c r="W274" i="6"/>
  <c r="W182" i="6"/>
  <c r="W93" i="6"/>
  <c r="W54" i="6"/>
  <c r="W172" i="19"/>
  <c r="W166" i="19"/>
  <c r="N33" i="19"/>
  <c r="U284" i="19"/>
  <c r="W139" i="19"/>
  <c r="U93" i="19"/>
  <c r="U26" i="19"/>
  <c r="M51" i="6"/>
  <c r="N164" i="19"/>
  <c r="U165" i="19"/>
  <c r="T121" i="19"/>
  <c r="U139" i="19"/>
  <c r="N76" i="19"/>
  <c r="U66" i="19"/>
  <c r="U34" i="19"/>
  <c r="W297" i="19"/>
  <c r="W279" i="19"/>
  <c r="W257" i="19"/>
  <c r="M181" i="19"/>
  <c r="M51" i="19"/>
  <c r="W269" i="19"/>
  <c r="W274" i="19"/>
  <c r="W263" i="19"/>
  <c r="W134" i="19"/>
  <c r="U38" i="19"/>
  <c r="W104" i="19"/>
  <c r="W45" i="19"/>
  <c r="W9" i="19"/>
  <c r="W264" i="6"/>
  <c r="K60" i="16"/>
  <c r="D81" i="16"/>
  <c r="D41" i="16"/>
  <c r="U300" i="19"/>
  <c r="W231" i="19"/>
  <c r="W284" i="19"/>
  <c r="W299" i="6"/>
  <c r="U224" i="6"/>
  <c r="W268" i="6"/>
  <c r="U252" i="19"/>
  <c r="U254" i="19"/>
  <c r="T259" i="19"/>
  <c r="W212" i="19"/>
  <c r="W206" i="19"/>
  <c r="U160" i="19"/>
  <c r="U229" i="19"/>
  <c r="W227" i="19"/>
  <c r="W196" i="19"/>
  <c r="W180" i="19"/>
  <c r="U53" i="19"/>
  <c r="U128" i="19"/>
  <c r="U286" i="6"/>
  <c r="U283" i="6"/>
  <c r="U274" i="6"/>
  <c r="U272" i="6"/>
  <c r="W253" i="6"/>
  <c r="W195" i="6"/>
  <c r="W185" i="6"/>
  <c r="U299" i="6"/>
  <c r="U91" i="6"/>
  <c r="W151" i="6"/>
  <c r="W123" i="6"/>
  <c r="U93" i="6"/>
  <c r="W73" i="6"/>
  <c r="U54" i="6"/>
  <c r="T288" i="19"/>
  <c r="W290" i="19"/>
  <c r="W264" i="19"/>
  <c r="U134" i="19"/>
  <c r="W60" i="19"/>
  <c r="W275" i="19"/>
  <c r="W245" i="19"/>
  <c r="U199" i="19"/>
  <c r="W94" i="19"/>
  <c r="T70" i="19"/>
  <c r="W31" i="19"/>
  <c r="W13" i="19"/>
  <c r="U18" i="19"/>
  <c r="W290" i="6"/>
  <c r="W241" i="6"/>
  <c r="U196" i="6"/>
  <c r="U185" i="19"/>
  <c r="M168" i="19"/>
  <c r="W152" i="19"/>
  <c r="U97" i="19"/>
  <c r="U32" i="19"/>
  <c r="W269" i="6"/>
  <c r="W91" i="19"/>
  <c r="U143" i="19"/>
  <c r="W229" i="6"/>
  <c r="W186" i="6"/>
  <c r="W258" i="19"/>
  <c r="U145" i="19"/>
  <c r="W25" i="19"/>
  <c r="W257" i="6"/>
  <c r="M265" i="19"/>
  <c r="W171" i="19"/>
  <c r="W40" i="19"/>
  <c r="W36" i="19"/>
  <c r="M242" i="19"/>
  <c r="U258" i="19"/>
  <c r="M181" i="6"/>
  <c r="U245" i="19"/>
  <c r="W75" i="19"/>
  <c r="U299" i="19"/>
  <c r="W285" i="19"/>
  <c r="N168" i="19"/>
  <c r="M140" i="19"/>
  <c r="W124" i="19"/>
  <c r="W128" i="19"/>
  <c r="U258" i="6"/>
  <c r="U91" i="19"/>
  <c r="U72" i="19"/>
  <c r="U290" i="6"/>
  <c r="G61" i="5"/>
  <c r="T56" i="19"/>
  <c r="U59" i="19"/>
  <c r="U89" i="6"/>
  <c r="N88" i="6"/>
  <c r="W89" i="6"/>
  <c r="W24" i="19"/>
  <c r="M21" i="19"/>
  <c r="M232" i="19"/>
  <c r="U235" i="19"/>
  <c r="W47" i="19"/>
  <c r="W238" i="6"/>
  <c r="M237" i="6"/>
  <c r="W55" i="6"/>
  <c r="U55" i="6"/>
  <c r="W67" i="19"/>
  <c r="M64" i="19"/>
  <c r="W39" i="19"/>
  <c r="U39" i="19"/>
  <c r="U204" i="19"/>
  <c r="W204" i="19"/>
  <c r="U284" i="6"/>
  <c r="W284" i="6"/>
  <c r="M270" i="19"/>
  <c r="W252" i="19"/>
  <c r="T242" i="19"/>
  <c r="U94" i="19"/>
  <c r="M15" i="19"/>
  <c r="U238" i="6"/>
  <c r="U73" i="6"/>
  <c r="U175" i="6"/>
  <c r="W175" i="6"/>
  <c r="M88" i="6"/>
  <c r="W90" i="6"/>
  <c r="W35" i="19"/>
  <c r="U35" i="19"/>
  <c r="U90" i="19"/>
  <c r="W90" i="19"/>
  <c r="W22" i="19"/>
  <c r="U22" i="19"/>
  <c r="N21" i="19"/>
  <c r="U275" i="19"/>
  <c r="U290" i="19"/>
  <c r="W235" i="19"/>
  <c r="W185" i="19"/>
  <c r="U253" i="6"/>
  <c r="U264" i="19"/>
  <c r="T219" i="19"/>
  <c r="U233" i="19"/>
  <c r="T181" i="19"/>
  <c r="U269" i="6"/>
  <c r="U241" i="6"/>
  <c r="U185" i="6"/>
  <c r="N242" i="19"/>
  <c r="T197" i="19"/>
  <c r="U196" i="19"/>
  <c r="U150" i="19"/>
  <c r="W111" i="19"/>
  <c r="U67" i="19"/>
  <c r="W61" i="19"/>
  <c r="T255" i="6"/>
  <c r="N33" i="6"/>
  <c r="W136" i="6"/>
  <c r="M276" i="19"/>
  <c r="W254" i="19"/>
  <c r="W250" i="19"/>
  <c r="U209" i="19"/>
  <c r="W110" i="19"/>
  <c r="W296" i="6"/>
  <c r="W149" i="6"/>
  <c r="U97" i="6"/>
  <c r="J6" i="19"/>
  <c r="T164" i="6"/>
  <c r="W221" i="19"/>
  <c r="W251" i="19"/>
  <c r="U212" i="19"/>
  <c r="W199" i="19"/>
  <c r="U155" i="19"/>
  <c r="W151" i="19"/>
  <c r="U131" i="19"/>
  <c r="U60" i="19"/>
  <c r="U31" i="19"/>
  <c r="T21" i="19"/>
  <c r="U113" i="19"/>
  <c r="U261" i="6"/>
  <c r="W156" i="6"/>
  <c r="U151" i="6"/>
  <c r="U123" i="6"/>
  <c r="W98" i="6"/>
  <c r="U90" i="6"/>
  <c r="U171" i="19"/>
  <c r="U40" i="19"/>
  <c r="W32" i="19"/>
  <c r="U60" i="6"/>
  <c r="W234" i="6"/>
  <c r="W120" i="19"/>
  <c r="W117" i="19"/>
  <c r="M95" i="19"/>
  <c r="W301" i="6"/>
  <c r="W278" i="6"/>
  <c r="W145" i="19"/>
  <c r="W130" i="6"/>
  <c r="W189" i="6"/>
  <c r="M255" i="6"/>
  <c r="T33" i="19"/>
  <c r="T125" i="19"/>
  <c r="M293" i="6"/>
  <c r="W20" i="19"/>
  <c r="F70" i="5"/>
  <c r="U236" i="19"/>
  <c r="W286" i="19"/>
  <c r="W189" i="19"/>
  <c r="W195" i="19"/>
  <c r="N64" i="19"/>
  <c r="W106" i="19"/>
  <c r="W129" i="19"/>
  <c r="M125" i="19"/>
  <c r="W46" i="19"/>
  <c r="U262" i="6"/>
  <c r="W254" i="6"/>
  <c r="W227" i="6"/>
  <c r="W193" i="6"/>
  <c r="W150" i="6"/>
  <c r="M137" i="6"/>
  <c r="W137" i="6" s="1"/>
  <c r="U124" i="6"/>
  <c r="W91" i="6"/>
  <c r="U74" i="6"/>
  <c r="W287" i="19"/>
  <c r="W261" i="19"/>
  <c r="U78" i="19"/>
  <c r="W59" i="19"/>
  <c r="N27" i="19"/>
  <c r="W53" i="19"/>
  <c r="U30" i="19"/>
  <c r="U298" i="6"/>
  <c r="U279" i="6"/>
  <c r="U267" i="6"/>
  <c r="W146" i="19"/>
  <c r="U142" i="19"/>
  <c r="W50" i="19"/>
  <c r="W17" i="19"/>
  <c r="W16" i="19"/>
  <c r="N213" i="19"/>
  <c r="W253" i="19"/>
  <c r="W218" i="19"/>
  <c r="U218" i="19"/>
  <c r="N219" i="19"/>
  <c r="U205" i="19"/>
  <c r="W122" i="19"/>
  <c r="U122" i="19"/>
  <c r="W14" i="19"/>
  <c r="U14" i="19"/>
  <c r="U12" i="19"/>
  <c r="W251" i="6"/>
  <c r="U251" i="6"/>
  <c r="W245" i="6"/>
  <c r="U245" i="6"/>
  <c r="T197" i="6"/>
  <c r="W260" i="6"/>
  <c r="U260" i="6"/>
  <c r="W75" i="6"/>
  <c r="U286" i="19"/>
  <c r="M132" i="19"/>
  <c r="U135" i="19"/>
  <c r="W68" i="19"/>
  <c r="U68" i="19"/>
  <c r="M33" i="19"/>
  <c r="U36" i="19"/>
  <c r="W246" i="19"/>
  <c r="U246" i="19"/>
  <c r="N88" i="19"/>
  <c r="W63" i="19"/>
  <c r="W101" i="6"/>
  <c r="U29" i="19"/>
  <c r="U222" i="6"/>
  <c r="W92" i="19"/>
  <c r="U183" i="6"/>
  <c r="W278" i="19"/>
  <c r="U253" i="19"/>
  <c r="U250" i="19"/>
  <c r="M213" i="19"/>
  <c r="U198" i="19"/>
  <c r="U231" i="19"/>
  <c r="M107" i="19"/>
  <c r="M99" i="19"/>
  <c r="T140" i="6"/>
  <c r="M255" i="19"/>
  <c r="M248" i="19"/>
  <c r="U234" i="19"/>
  <c r="U202" i="19"/>
  <c r="U195" i="19"/>
  <c r="W215" i="19"/>
  <c r="T153" i="19"/>
  <c r="T147" i="19"/>
  <c r="W130" i="19"/>
  <c r="U98" i="19"/>
  <c r="U9" i="19"/>
  <c r="T219" i="6"/>
  <c r="W178" i="19"/>
  <c r="U210" i="19"/>
  <c r="W210" i="19"/>
  <c r="U127" i="19"/>
  <c r="W127" i="19"/>
  <c r="M42" i="19"/>
  <c r="U28" i="19"/>
  <c r="M27" i="19"/>
  <c r="N70" i="6"/>
  <c r="W166" i="6"/>
  <c r="M164" i="6"/>
  <c r="W155" i="6"/>
  <c r="U155" i="6"/>
  <c r="M70" i="6"/>
  <c r="W69" i="19"/>
  <c r="U41" i="19"/>
  <c r="U37" i="19"/>
  <c r="U25" i="19"/>
  <c r="W292" i="6"/>
  <c r="U292" i="6"/>
  <c r="U263" i="6"/>
  <c r="U240" i="6"/>
  <c r="W240" i="6"/>
  <c r="U223" i="6"/>
  <c r="U194" i="6"/>
  <c r="W194" i="6"/>
  <c r="U103" i="19"/>
  <c r="T270" i="19"/>
  <c r="N259" i="19"/>
  <c r="T225" i="19"/>
  <c r="M187" i="19"/>
  <c r="U178" i="19"/>
  <c r="T115" i="19"/>
  <c r="U110" i="19"/>
  <c r="N81" i="19"/>
  <c r="U69" i="19"/>
  <c r="U92" i="19"/>
  <c r="U301" i="6"/>
  <c r="M265" i="6"/>
  <c r="U189" i="6"/>
  <c r="U52" i="6"/>
  <c r="M27" i="6"/>
  <c r="W103" i="19"/>
  <c r="W263" i="6"/>
  <c r="M197" i="19"/>
  <c r="N158" i="19"/>
  <c r="N132" i="19"/>
  <c r="T99" i="19"/>
  <c r="M88" i="19"/>
  <c r="U73" i="19"/>
  <c r="T237" i="6"/>
  <c r="W297" i="6"/>
  <c r="W217" i="6"/>
  <c r="W199" i="6"/>
  <c r="U26" i="6"/>
  <c r="U104" i="6"/>
  <c r="W78" i="6"/>
  <c r="W167" i="6"/>
  <c r="U135" i="6"/>
  <c r="W287" i="6"/>
  <c r="M115" i="6"/>
  <c r="U170" i="6"/>
  <c r="W144" i="6"/>
  <c r="U241" i="19"/>
  <c r="W246" i="6"/>
  <c r="U78" i="6"/>
  <c r="W14" i="6"/>
  <c r="W62" i="6"/>
  <c r="N276" i="6"/>
  <c r="W19" i="6"/>
  <c r="W31" i="6"/>
  <c r="U144" i="6"/>
  <c r="N121" i="6"/>
  <c r="W67" i="6"/>
  <c r="W170" i="6"/>
  <c r="W10" i="6"/>
  <c r="U13" i="6"/>
  <c r="T174" i="6"/>
  <c r="W46" i="6"/>
  <c r="W135" i="6"/>
  <c r="U227" i="6"/>
  <c r="U202" i="6"/>
  <c r="U184" i="6"/>
  <c r="U46" i="6"/>
  <c r="W110" i="6"/>
  <c r="W86" i="6"/>
  <c r="U75" i="6"/>
  <c r="W40" i="6"/>
  <c r="W160" i="6"/>
  <c r="P12" i="3"/>
  <c r="W58" i="6"/>
  <c r="W109" i="19"/>
  <c r="W283" i="6"/>
  <c r="U236" i="6"/>
  <c r="U234" i="6"/>
  <c r="N164" i="6"/>
  <c r="U94" i="6"/>
  <c r="W61" i="6"/>
  <c r="W17" i="6"/>
  <c r="U180" i="6"/>
  <c r="U176" i="6"/>
  <c r="U127" i="6"/>
  <c r="W119" i="6"/>
  <c r="W205" i="19"/>
  <c r="U180" i="19"/>
  <c r="U205" i="6"/>
  <c r="W211" i="6"/>
  <c r="U112" i="6"/>
  <c r="W104" i="6"/>
  <c r="J9" i="3"/>
  <c r="W50" i="6"/>
  <c r="N140" i="19"/>
  <c r="S70" i="17"/>
  <c r="Q94" i="17"/>
  <c r="G50" i="16"/>
  <c r="U50" i="6"/>
  <c r="W105" i="19"/>
  <c r="U83" i="19"/>
  <c r="W97" i="19"/>
  <c r="U45" i="19"/>
  <c r="W272" i="6"/>
  <c r="T259" i="6"/>
  <c r="W252" i="6"/>
  <c r="W250" i="6"/>
  <c r="U221" i="6"/>
  <c r="W202" i="6"/>
  <c r="U193" i="6"/>
  <c r="U297" i="6"/>
  <c r="U229" i="6"/>
  <c r="U149" i="6"/>
  <c r="U143" i="6"/>
  <c r="N95" i="6"/>
  <c r="U37" i="6"/>
  <c r="T153" i="6"/>
  <c r="W129" i="6"/>
  <c r="M95" i="6"/>
  <c r="U19" i="19"/>
  <c r="W106" i="6"/>
  <c r="U264" i="6"/>
  <c r="U268" i="6"/>
  <c r="W172" i="6"/>
  <c r="W112" i="6"/>
  <c r="W146" i="6"/>
  <c r="W142" i="6"/>
  <c r="U62" i="6"/>
  <c r="N225" i="19"/>
  <c r="U224" i="19"/>
  <c r="T203" i="19"/>
  <c r="U217" i="19"/>
  <c r="M208" i="19"/>
  <c r="U206" i="19"/>
  <c r="N191" i="19"/>
  <c r="W230" i="19"/>
  <c r="W194" i="19"/>
  <c r="U151" i="19"/>
  <c r="U129" i="19"/>
  <c r="T27" i="19"/>
  <c r="U101" i="19"/>
  <c r="U87" i="19"/>
  <c r="W78" i="19"/>
  <c r="U46" i="19"/>
  <c r="U47" i="19"/>
  <c r="U11" i="19"/>
  <c r="M7" i="19"/>
  <c r="N293" i="6"/>
  <c r="M248" i="6"/>
  <c r="N219" i="6"/>
  <c r="W212" i="6"/>
  <c r="W196" i="6"/>
  <c r="U186" i="6"/>
  <c r="T293" i="6"/>
  <c r="U228" i="6"/>
  <c r="U190" i="6"/>
  <c r="M140" i="6"/>
  <c r="W113" i="6"/>
  <c r="U66" i="6"/>
  <c r="U173" i="6"/>
  <c r="W157" i="6"/>
  <c r="M153" i="6"/>
  <c r="W152" i="6"/>
  <c r="U150" i="6"/>
  <c r="W139" i="6"/>
  <c r="M121" i="6"/>
  <c r="W72" i="6"/>
  <c r="U163" i="6"/>
  <c r="U130" i="6"/>
  <c r="U9" i="6"/>
  <c r="N265" i="6"/>
  <c r="W206" i="6"/>
  <c r="W103" i="6"/>
  <c r="W79" i="6"/>
  <c r="P8" i="3"/>
  <c r="W20" i="6"/>
  <c r="U14" i="6"/>
  <c r="W298" i="6"/>
  <c r="W279" i="6"/>
  <c r="N242" i="6"/>
  <c r="W171" i="6"/>
  <c r="W127" i="6"/>
  <c r="U41" i="6"/>
  <c r="H61" i="5"/>
  <c r="H8" i="17"/>
  <c r="U39" i="6"/>
  <c r="P11" i="3"/>
  <c r="U19" i="6"/>
  <c r="M288" i="6"/>
  <c r="U291" i="6"/>
  <c r="M232" i="6"/>
  <c r="U235" i="6"/>
  <c r="M203" i="6"/>
  <c r="U300" i="6"/>
  <c r="U296" i="6"/>
  <c r="U254" i="6"/>
  <c r="W216" i="6"/>
  <c r="M197" i="6"/>
  <c r="U92" i="6"/>
  <c r="M81" i="6"/>
  <c r="W84" i="6"/>
  <c r="U53" i="6"/>
  <c r="U167" i="6"/>
  <c r="T137" i="6"/>
  <c r="U77" i="6"/>
  <c r="W77" i="6"/>
  <c r="W224" i="6"/>
  <c r="U195" i="6"/>
  <c r="W80" i="6"/>
  <c r="M132" i="6"/>
  <c r="M259" i="6"/>
  <c r="M242" i="6"/>
  <c r="U275" i="6"/>
  <c r="M270" i="6"/>
  <c r="U273" i="6"/>
  <c r="M208" i="6"/>
  <c r="N153" i="6"/>
  <c r="U156" i="6"/>
  <c r="T81" i="6"/>
  <c r="W74" i="6"/>
  <c r="T51" i="6"/>
  <c r="U12" i="6"/>
  <c r="W12" i="6"/>
  <c r="U13" i="19"/>
  <c r="W161" i="6"/>
  <c r="T115" i="6"/>
  <c r="W105" i="6"/>
  <c r="M99" i="6"/>
  <c r="U68" i="6"/>
  <c r="W116" i="6"/>
  <c r="U116" i="6"/>
  <c r="U47" i="6"/>
  <c r="W47" i="6"/>
  <c r="T7" i="6"/>
  <c r="U17" i="19"/>
  <c r="W178" i="6"/>
  <c r="U178" i="6"/>
  <c r="W131" i="6"/>
  <c r="U87" i="6"/>
  <c r="W44" i="6"/>
  <c r="M225" i="6"/>
  <c r="U231" i="6"/>
  <c r="W184" i="6"/>
  <c r="N265" i="19"/>
  <c r="M191" i="19"/>
  <c r="N153" i="19"/>
  <c r="T51" i="19"/>
  <c r="T76" i="19"/>
  <c r="U109" i="19"/>
  <c r="U105" i="19"/>
  <c r="T42" i="19"/>
  <c r="U295" i="6"/>
  <c r="U230" i="6"/>
  <c r="W291" i="6"/>
  <c r="U285" i="6"/>
  <c r="M280" i="6"/>
  <c r="W261" i="6"/>
  <c r="W244" i="6"/>
  <c r="W273" i="6"/>
  <c r="W205" i="6"/>
  <c r="T27" i="6"/>
  <c r="U210" i="6"/>
  <c r="W66" i="6"/>
  <c r="T276" i="19"/>
  <c r="U220" i="19"/>
  <c r="U230" i="19"/>
  <c r="U194" i="19"/>
  <c r="U268" i="19"/>
  <c r="T237" i="19"/>
  <c r="T213" i="19"/>
  <c r="W162" i="19"/>
  <c r="M147" i="19"/>
  <c r="M121" i="19"/>
  <c r="U43" i="19"/>
  <c r="U10" i="19"/>
  <c r="T280" i="6"/>
  <c r="T248" i="6"/>
  <c r="W300" i="6"/>
  <c r="W295" i="6"/>
  <c r="U287" i="6"/>
  <c r="U246" i="6"/>
  <c r="W275" i="6"/>
  <c r="U252" i="6"/>
  <c r="W188" i="6"/>
  <c r="W221" i="6"/>
  <c r="M187" i="6"/>
  <c r="U152" i="6"/>
  <c r="W124" i="6"/>
  <c r="W92" i="6"/>
  <c r="U72" i="6"/>
  <c r="U118" i="6"/>
  <c r="M56" i="6"/>
  <c r="W37" i="6"/>
  <c r="N140" i="6"/>
  <c r="N132" i="6"/>
  <c r="T242" i="6"/>
  <c r="U216" i="6"/>
  <c r="M33" i="6"/>
  <c r="W133" i="6"/>
  <c r="U146" i="6"/>
  <c r="U110" i="6"/>
  <c r="U86" i="6"/>
  <c r="U83" i="6"/>
  <c r="W38" i="6"/>
  <c r="U172" i="6"/>
  <c r="N158" i="6"/>
  <c r="T147" i="6"/>
  <c r="U138" i="6"/>
  <c r="W128" i="6"/>
  <c r="T121" i="6"/>
  <c r="W26" i="6"/>
  <c r="U23" i="6"/>
  <c r="U11" i="6"/>
  <c r="N51" i="19"/>
  <c r="T15" i="19"/>
  <c r="N280" i="6"/>
  <c r="U24" i="6"/>
  <c r="T191" i="6"/>
  <c r="U133" i="19"/>
  <c r="N255" i="6"/>
  <c r="U186" i="19"/>
  <c r="N181" i="19"/>
  <c r="M25" i="5"/>
  <c r="T164" i="19"/>
  <c r="U166" i="19"/>
  <c r="J61" i="5"/>
  <c r="U79" i="6"/>
  <c r="U171" i="6"/>
  <c r="M168" i="6"/>
  <c r="W163" i="6"/>
  <c r="W210" i="6"/>
  <c r="W87" i="6"/>
  <c r="J8" i="3"/>
  <c r="U212" i="6"/>
  <c r="U206" i="6"/>
  <c r="N197" i="6"/>
  <c r="U217" i="6"/>
  <c r="W215" i="6"/>
  <c r="U211" i="6"/>
  <c r="U201" i="6"/>
  <c r="U199" i="6"/>
  <c r="N191" i="6"/>
  <c r="U84" i="6"/>
  <c r="N174" i="6"/>
  <c r="W23" i="6"/>
  <c r="T181" i="6"/>
  <c r="T168" i="6"/>
  <c r="U161" i="6"/>
  <c r="Q61" i="5"/>
  <c r="J70" i="5"/>
  <c r="I51" i="5"/>
  <c r="F8" i="5"/>
  <c r="F30" i="17"/>
  <c r="G42" i="17"/>
  <c r="J70" i="17"/>
  <c r="I61" i="17"/>
  <c r="G70" i="17"/>
  <c r="E81" i="16"/>
  <c r="W180" i="6"/>
  <c r="W176" i="6"/>
  <c r="U128" i="6"/>
  <c r="U103" i="6"/>
  <c r="U58" i="6"/>
  <c r="U145" i="6"/>
  <c r="W83" i="6"/>
  <c r="U38" i="6"/>
  <c r="N208" i="19"/>
  <c r="I7" i="3"/>
  <c r="U22" i="6"/>
  <c r="N99" i="19"/>
  <c r="W177" i="6"/>
  <c r="W173" i="6"/>
  <c r="U129" i="6"/>
  <c r="N107" i="6"/>
  <c r="N81" i="6"/>
  <c r="N56" i="6"/>
  <c r="U63" i="6"/>
  <c r="N42" i="6"/>
  <c r="W39" i="6"/>
  <c r="W143" i="6"/>
  <c r="T280" i="19"/>
  <c r="F30" i="5"/>
  <c r="Q30" i="17"/>
  <c r="J82" i="5"/>
  <c r="S18" i="17"/>
  <c r="F82" i="17"/>
  <c r="S94" i="17"/>
  <c r="G7" i="16"/>
  <c r="L60" i="16"/>
  <c r="W145" i="6"/>
  <c r="T187" i="6"/>
  <c r="N147" i="6"/>
  <c r="U136" i="6"/>
  <c r="U134" i="6"/>
  <c r="U111" i="6"/>
  <c r="U109" i="6"/>
  <c r="M147" i="6"/>
  <c r="U131" i="6"/>
  <c r="R6" i="6"/>
  <c r="E7" i="3"/>
  <c r="N115" i="6"/>
  <c r="N99" i="6"/>
  <c r="U61" i="6"/>
  <c r="U59" i="6"/>
  <c r="N232" i="6"/>
  <c r="M219" i="6"/>
  <c r="W207" i="6"/>
  <c r="M191" i="6"/>
  <c r="U162" i="6"/>
  <c r="U119" i="6"/>
  <c r="U117" i="6"/>
  <c r="U105" i="6"/>
  <c r="T99" i="6"/>
  <c r="U80" i="6"/>
  <c r="N64" i="6"/>
  <c r="T276" i="6"/>
  <c r="T265" i="6"/>
  <c r="U44" i="6"/>
  <c r="U18" i="6"/>
  <c r="U20" i="6"/>
  <c r="U17" i="6"/>
  <c r="W13" i="6"/>
  <c r="W11" i="6"/>
  <c r="M7" i="6"/>
  <c r="T56" i="6"/>
  <c r="N15" i="19"/>
  <c r="H70" i="5"/>
  <c r="L42" i="17"/>
  <c r="I18" i="17"/>
  <c r="E93" i="16"/>
  <c r="L81" i="16"/>
  <c r="U179" i="6"/>
  <c r="U177" i="6"/>
  <c r="M174" i="6"/>
  <c r="W162" i="6"/>
  <c r="M158" i="6"/>
  <c r="M125" i="6"/>
  <c r="M76" i="6"/>
  <c r="M42" i="6"/>
  <c r="U120" i="6"/>
  <c r="U101" i="6"/>
  <c r="W60" i="6"/>
  <c r="W45" i="6"/>
  <c r="W200" i="6"/>
  <c r="U85" i="6"/>
  <c r="U40" i="6"/>
  <c r="W9" i="6"/>
  <c r="W18" i="6"/>
  <c r="P10" i="3"/>
  <c r="W169" i="19"/>
  <c r="N203" i="6"/>
  <c r="N7" i="19"/>
  <c r="N15" i="6"/>
  <c r="N56" i="19"/>
  <c r="R18" i="5"/>
  <c r="I30" i="5"/>
  <c r="R61" i="5"/>
  <c r="F18" i="5"/>
  <c r="P18" i="5"/>
  <c r="H82" i="5"/>
  <c r="I8" i="17"/>
  <c r="J94" i="5"/>
  <c r="Q94" i="5"/>
  <c r="L17" i="16"/>
  <c r="U160" i="6"/>
  <c r="N125" i="6"/>
  <c r="U31" i="6"/>
  <c r="U207" i="6"/>
  <c r="W120" i="6"/>
  <c r="U106" i="6"/>
  <c r="U102" i="6"/>
  <c r="W63" i="6"/>
  <c r="U45" i="6"/>
  <c r="U215" i="6"/>
  <c r="U200" i="6"/>
  <c r="U113" i="6"/>
  <c r="W111" i="6"/>
  <c r="M107" i="6"/>
  <c r="W85" i="6"/>
  <c r="W69" i="6"/>
  <c r="U67" i="6"/>
  <c r="M64" i="6"/>
  <c r="T21" i="6"/>
  <c r="U10" i="6"/>
  <c r="U172" i="19"/>
  <c r="N259" i="6"/>
  <c r="T75" i="5"/>
  <c r="F50" i="16"/>
  <c r="D50" i="16"/>
  <c r="W102" i="6"/>
  <c r="N21" i="6"/>
  <c r="U69" i="6"/>
  <c r="M15" i="6"/>
  <c r="U249" i="6"/>
  <c r="T15" i="6"/>
  <c r="N288" i="6"/>
  <c r="U114" i="19"/>
  <c r="W273" i="19"/>
  <c r="U179" i="19"/>
  <c r="T140" i="19"/>
  <c r="N232" i="19"/>
  <c r="I6" i="19"/>
  <c r="H6" i="19"/>
  <c r="T81" i="19"/>
  <c r="T42" i="6"/>
  <c r="N237" i="6"/>
  <c r="N208" i="6"/>
  <c r="P82" i="5"/>
  <c r="F18" i="17"/>
  <c r="J82" i="17"/>
  <c r="N42" i="19"/>
  <c r="N174" i="19"/>
  <c r="S6" i="19"/>
  <c r="W179" i="19"/>
  <c r="U61" i="19"/>
  <c r="R6" i="19"/>
  <c r="T203" i="6"/>
  <c r="P6" i="6"/>
  <c r="T132" i="19"/>
  <c r="T248" i="19"/>
  <c r="N213" i="6"/>
  <c r="N225" i="6"/>
  <c r="U114" i="6"/>
  <c r="T88" i="6"/>
  <c r="U291" i="19"/>
  <c r="Q6" i="19"/>
  <c r="N237" i="19"/>
  <c r="W267" i="19"/>
  <c r="U239" i="19"/>
  <c r="U221" i="19"/>
  <c r="U156" i="19"/>
  <c r="E6" i="19"/>
  <c r="M56" i="19"/>
  <c r="U55" i="19"/>
  <c r="T213" i="6"/>
  <c r="R30" i="17"/>
  <c r="K42" i="17"/>
  <c r="G51" i="17"/>
  <c r="H82" i="17"/>
  <c r="N27" i="6"/>
  <c r="T88" i="19"/>
  <c r="N270" i="6"/>
  <c r="T225" i="6"/>
  <c r="N51" i="6"/>
  <c r="Q6" i="6"/>
  <c r="M20" i="5"/>
  <c r="M23" i="5"/>
  <c r="M27" i="5"/>
  <c r="M49" i="5"/>
  <c r="Q51" i="5"/>
  <c r="H8" i="5"/>
  <c r="N16" i="5"/>
  <c r="H18" i="5"/>
  <c r="N21" i="5"/>
  <c r="N23" i="5"/>
  <c r="R51" i="5"/>
  <c r="P42" i="5"/>
  <c r="J42" i="5"/>
  <c r="P51" i="5"/>
  <c r="Q51" i="17"/>
  <c r="I70" i="5"/>
  <c r="R42" i="17"/>
  <c r="P70" i="5"/>
  <c r="S30" i="17"/>
  <c r="J42" i="17"/>
  <c r="S42" i="17"/>
  <c r="F51" i="17"/>
  <c r="Q70" i="5"/>
  <c r="M79" i="5"/>
  <c r="G82" i="5"/>
  <c r="G94" i="5"/>
  <c r="I70" i="17"/>
  <c r="K50" i="16"/>
  <c r="K93" i="16"/>
  <c r="T208" i="19"/>
  <c r="T7" i="19"/>
  <c r="N181" i="6"/>
  <c r="J6" i="6"/>
  <c r="J11" i="3"/>
  <c r="L6" i="6"/>
  <c r="F6" i="19"/>
  <c r="T191" i="19"/>
  <c r="U75" i="19"/>
  <c r="U136" i="19"/>
  <c r="N125" i="19"/>
  <c r="T232" i="19"/>
  <c r="U96" i="19"/>
  <c r="N248" i="6"/>
  <c r="T232" i="6"/>
  <c r="I6" i="6"/>
  <c r="J10" i="3"/>
  <c r="K6" i="6"/>
  <c r="W186" i="19"/>
  <c r="U104" i="19"/>
  <c r="U50" i="19"/>
  <c r="U152" i="19"/>
  <c r="N288" i="19"/>
  <c r="U278" i="19"/>
  <c r="U272" i="19"/>
  <c r="T168" i="19"/>
  <c r="T174" i="19"/>
  <c r="U162" i="19"/>
  <c r="P6" i="19"/>
  <c r="U130" i="19"/>
  <c r="W136" i="19"/>
  <c r="N70" i="19"/>
  <c r="U239" i="6"/>
  <c r="N248" i="19"/>
  <c r="N203" i="19"/>
  <c r="N95" i="19"/>
  <c r="T208" i="6"/>
  <c r="N187" i="6"/>
  <c r="T132" i="6"/>
  <c r="T107" i="6"/>
  <c r="U182" i="6"/>
  <c r="N168" i="6"/>
  <c r="T95" i="6"/>
  <c r="N76" i="6"/>
  <c r="E6" i="6"/>
  <c r="T158" i="6"/>
  <c r="T76" i="6"/>
  <c r="S6" i="6"/>
  <c r="N7" i="6"/>
  <c r="U297" i="19"/>
  <c r="T187" i="19"/>
  <c r="W73" i="19"/>
  <c r="T64" i="19"/>
  <c r="N293" i="19"/>
  <c r="L6" i="19"/>
  <c r="M280" i="19"/>
  <c r="U267" i="19"/>
  <c r="G6" i="19"/>
  <c r="U200" i="19"/>
  <c r="W244" i="19"/>
  <c r="T158" i="19"/>
  <c r="K6" i="19"/>
  <c r="T33" i="6"/>
  <c r="T288" i="6"/>
  <c r="T270" i="6"/>
  <c r="T64" i="6"/>
  <c r="T70" i="6"/>
  <c r="W249" i="6"/>
  <c r="T125" i="6"/>
  <c r="F6" i="6"/>
  <c r="H6" i="6"/>
  <c r="J12" i="3"/>
  <c r="G6" i="6"/>
  <c r="W240" i="19"/>
  <c r="U240" i="19"/>
  <c r="N280" i="19"/>
  <c r="W163" i="19"/>
  <c r="U163" i="19"/>
  <c r="U79" i="19"/>
  <c r="I7" i="12"/>
  <c r="J8" i="12"/>
  <c r="M43" i="5"/>
  <c r="M7" i="5"/>
  <c r="K6" i="5"/>
  <c r="N43" i="5"/>
  <c r="T19" i="5"/>
  <c r="T21" i="5"/>
  <c r="T36" i="5"/>
  <c r="T52" i="5"/>
  <c r="U7" i="17"/>
  <c r="T6" i="17"/>
  <c r="I61" i="5"/>
  <c r="T90" i="5"/>
  <c r="Q70" i="17"/>
  <c r="M102" i="5"/>
  <c r="H70" i="17"/>
  <c r="R61" i="17"/>
  <c r="E29" i="16"/>
  <c r="E41" i="16"/>
  <c r="E50" i="16"/>
  <c r="L50" i="16"/>
  <c r="K41" i="16"/>
  <c r="J50" i="16"/>
  <c r="G69" i="16"/>
  <c r="J81" i="16"/>
  <c r="G81" i="16"/>
  <c r="C6" i="6"/>
  <c r="W29" i="6"/>
  <c r="I47" i="16"/>
  <c r="N47" i="16" s="1"/>
  <c r="C47" i="16"/>
  <c r="H47" i="16" s="1"/>
  <c r="B17" i="13"/>
  <c r="B16" i="13"/>
  <c r="B15" i="13"/>
  <c r="B14" i="13"/>
  <c r="B13" i="13"/>
  <c r="B12" i="13"/>
  <c r="B11" i="13"/>
  <c r="B10" i="13"/>
  <c r="B9" i="13"/>
  <c r="E17" i="13"/>
  <c r="E16" i="13"/>
  <c r="E15" i="13"/>
  <c r="E14" i="13"/>
  <c r="E13" i="13"/>
  <c r="E12" i="13"/>
  <c r="E11" i="13"/>
  <c r="E10" i="13"/>
  <c r="E9" i="13"/>
  <c r="D17" i="13"/>
  <c r="D16" i="13"/>
  <c r="P48" i="17"/>
  <c r="U48" i="17" s="1"/>
  <c r="C48" i="17"/>
  <c r="O48" i="17"/>
  <c r="E48" i="17"/>
  <c r="D48" i="17"/>
  <c r="O48" i="5"/>
  <c r="T48" i="5" s="1"/>
  <c r="D48" i="5"/>
  <c r="N48" i="5" s="1"/>
  <c r="C48" i="5"/>
  <c r="M48" i="5" s="1"/>
  <c r="B16" i="4"/>
  <c r="H14" i="4"/>
  <c r="D14" i="4"/>
  <c r="C13" i="4"/>
  <c r="B12" i="4"/>
  <c r="H10" i="4"/>
  <c r="D10" i="4"/>
  <c r="C9" i="4"/>
  <c r="B8" i="4"/>
  <c r="H15" i="4"/>
  <c r="D15" i="4"/>
  <c r="C14" i="4"/>
  <c r="B13" i="4"/>
  <c r="H11" i="4"/>
  <c r="D11" i="4"/>
  <c r="C10" i="4"/>
  <c r="B9" i="4"/>
  <c r="H16" i="4"/>
  <c r="D16" i="4"/>
  <c r="C15" i="4"/>
  <c r="B14" i="4"/>
  <c r="H12" i="4"/>
  <c r="D12" i="4"/>
  <c r="C11" i="4"/>
  <c r="B10" i="4"/>
  <c r="H8" i="4"/>
  <c r="D8" i="4"/>
  <c r="C16" i="4"/>
  <c r="B15" i="4"/>
  <c r="H13" i="4"/>
  <c r="D13" i="4"/>
  <c r="C12" i="4"/>
  <c r="B11" i="4"/>
  <c r="H9" i="4"/>
  <c r="D9" i="4"/>
  <c r="C8" i="4"/>
  <c r="W262" i="19"/>
  <c r="U262" i="19"/>
  <c r="U228" i="19"/>
  <c r="W228" i="19"/>
  <c r="W157" i="19"/>
  <c r="U157" i="19"/>
  <c r="D6" i="19"/>
  <c r="N107" i="19"/>
  <c r="U257" i="6"/>
  <c r="W218" i="6"/>
  <c r="U218" i="6"/>
  <c r="Q8" i="5"/>
  <c r="U222" i="19"/>
  <c r="W222" i="19"/>
  <c r="M225" i="19"/>
  <c r="N197" i="19"/>
  <c r="W167" i="19"/>
  <c r="U167" i="19"/>
  <c r="M164" i="19"/>
  <c r="U117" i="19"/>
  <c r="U123" i="19"/>
  <c r="U111" i="19"/>
  <c r="W58" i="19"/>
  <c r="U58" i="19"/>
  <c r="G30" i="5"/>
  <c r="G42" i="5"/>
  <c r="T7" i="5"/>
  <c r="S6" i="5"/>
  <c r="H42" i="5"/>
  <c r="R42" i="5"/>
  <c r="P8" i="5"/>
  <c r="P30" i="5"/>
  <c r="R70" i="5"/>
  <c r="L30" i="17"/>
  <c r="Q42" i="17"/>
  <c r="E70" i="5"/>
  <c r="R18" i="17"/>
  <c r="I51" i="17"/>
  <c r="S8" i="17"/>
  <c r="J30" i="17"/>
  <c r="J51" i="17"/>
  <c r="Q82" i="5"/>
  <c r="G30" i="17"/>
  <c r="K51" i="17"/>
  <c r="R70" i="17"/>
  <c r="I82" i="17"/>
  <c r="I94" i="17"/>
  <c r="K70" i="17"/>
  <c r="L82" i="17"/>
  <c r="L7" i="16"/>
  <c r="M17" i="16"/>
  <c r="K69" i="16"/>
  <c r="K81" i="16"/>
  <c r="W35" i="6"/>
  <c r="U220" i="6"/>
  <c r="M213" i="6"/>
  <c r="U142" i="6"/>
  <c r="W24" i="6"/>
  <c r="W271" i="19"/>
  <c r="N270" i="19"/>
  <c r="U161" i="19"/>
  <c r="W161" i="19"/>
  <c r="M158" i="19"/>
  <c r="U173" i="19"/>
  <c r="U85" i="19"/>
  <c r="U285" i="19"/>
  <c r="U257" i="19"/>
  <c r="U184" i="19"/>
  <c r="W184" i="19"/>
  <c r="M237" i="19"/>
  <c r="W200" i="19"/>
  <c r="U189" i="19"/>
  <c r="W173" i="19"/>
  <c r="U149" i="19"/>
  <c r="W149" i="19"/>
  <c r="T95" i="19"/>
  <c r="W74" i="19"/>
  <c r="U74" i="19"/>
  <c r="N147" i="19"/>
  <c r="O6" i="19"/>
  <c r="T107" i="19"/>
  <c r="U84" i="19"/>
  <c r="W84" i="19"/>
  <c r="W8" i="12"/>
  <c r="E7" i="12"/>
  <c r="W48" i="6"/>
  <c r="U48" i="6"/>
  <c r="W36" i="6"/>
  <c r="U36" i="6"/>
  <c r="U296" i="19"/>
  <c r="W296" i="19"/>
  <c r="W298" i="19"/>
  <c r="U298" i="19"/>
  <c r="M293" i="19"/>
  <c r="N255" i="19"/>
  <c r="T255" i="19"/>
  <c r="U279" i="19"/>
  <c r="M259" i="19"/>
  <c r="W239" i="19"/>
  <c r="U170" i="19"/>
  <c r="U227" i="19"/>
  <c r="U215" i="19"/>
  <c r="W201" i="19"/>
  <c r="U201" i="19"/>
  <c r="U176" i="19"/>
  <c r="W176" i="19"/>
  <c r="U244" i="19"/>
  <c r="U183" i="19"/>
  <c r="M153" i="19"/>
  <c r="W150" i="19"/>
  <c r="W156" i="19"/>
  <c r="U118" i="19"/>
  <c r="W85" i="19"/>
  <c r="W79" i="19"/>
  <c r="W62" i="19"/>
  <c r="U62" i="19"/>
  <c r="U124" i="19"/>
  <c r="C6" i="19"/>
  <c r="U54" i="19"/>
  <c r="W54" i="19"/>
  <c r="U44" i="19"/>
  <c r="U282" i="6"/>
  <c r="U244" i="6"/>
  <c r="U250" i="6"/>
  <c r="U166" i="6"/>
  <c r="M10" i="5"/>
  <c r="M13" i="5"/>
  <c r="M16" i="5"/>
  <c r="G18" i="5"/>
  <c r="M29" i="5"/>
  <c r="Q30" i="5"/>
  <c r="M33" i="5"/>
  <c r="M36" i="5"/>
  <c r="M39" i="5"/>
  <c r="Q42" i="5"/>
  <c r="M55" i="5"/>
  <c r="N10" i="5"/>
  <c r="N13" i="5"/>
  <c r="N15" i="5"/>
  <c r="H30" i="5"/>
  <c r="N41" i="5"/>
  <c r="N44" i="5"/>
  <c r="N46" i="5"/>
  <c r="E18" i="5"/>
  <c r="T28" i="5"/>
  <c r="E30" i="5"/>
  <c r="T35" i="5"/>
  <c r="T38" i="5"/>
  <c r="E42" i="5"/>
  <c r="E51" i="5"/>
  <c r="J8" i="5"/>
  <c r="J18" i="5"/>
  <c r="F51" i="5"/>
  <c r="R82" i="5"/>
  <c r="H94" i="5"/>
  <c r="R94" i="5"/>
  <c r="L8" i="17"/>
  <c r="H18" i="17"/>
  <c r="H51" i="17"/>
  <c r="E82" i="5"/>
  <c r="E94" i="5"/>
  <c r="R8" i="17"/>
  <c r="R51" i="17"/>
  <c r="F94" i="5"/>
  <c r="J8" i="17"/>
  <c r="J18" i="17"/>
  <c r="L61" i="17"/>
  <c r="K8" i="17"/>
  <c r="G18" i="17"/>
  <c r="R82" i="17"/>
  <c r="R94" i="17"/>
  <c r="E7" i="16"/>
  <c r="G82" i="17"/>
  <c r="K94" i="17"/>
  <c r="Q82" i="17"/>
  <c r="H94" i="17"/>
  <c r="K7" i="16"/>
  <c r="M41" i="16"/>
  <c r="E69" i="16"/>
  <c r="F17" i="16"/>
  <c r="M50" i="16"/>
  <c r="G17" i="16"/>
  <c r="K29" i="16"/>
  <c r="W25" i="6"/>
  <c r="U25" i="6"/>
  <c r="U29" i="6"/>
  <c r="W292" i="19"/>
  <c r="U292" i="19"/>
  <c r="U190" i="19"/>
  <c r="W190" i="19"/>
  <c r="U193" i="19"/>
  <c r="W193" i="19"/>
  <c r="W144" i="19"/>
  <c r="U144" i="19"/>
  <c r="N115" i="19"/>
  <c r="W277" i="19"/>
  <c r="N276" i="19"/>
  <c r="W177" i="19"/>
  <c r="U177" i="19"/>
  <c r="M174" i="19"/>
  <c r="U283" i="19"/>
  <c r="W283" i="19"/>
  <c r="T293" i="19"/>
  <c r="U295" i="19"/>
  <c r="M288" i="19"/>
  <c r="U277" i="19"/>
  <c r="U271" i="19"/>
  <c r="W282" i="19"/>
  <c r="U282" i="19"/>
  <c r="U216" i="19"/>
  <c r="W216" i="19"/>
  <c r="M219" i="19"/>
  <c r="U119" i="19"/>
  <c r="W119" i="19"/>
  <c r="U112" i="19"/>
  <c r="W112" i="19"/>
  <c r="U102" i="19"/>
  <c r="W102" i="19"/>
  <c r="W86" i="19"/>
  <c r="U86" i="19"/>
  <c r="M81" i="19"/>
  <c r="W80" i="19"/>
  <c r="U80" i="19"/>
  <c r="N121" i="19"/>
  <c r="M76" i="19"/>
  <c r="M70" i="19"/>
  <c r="W48" i="19"/>
  <c r="U48" i="19"/>
  <c r="O6" i="16"/>
  <c r="U32" i="6"/>
  <c r="W32" i="6"/>
  <c r="G8" i="5"/>
  <c r="M15" i="5"/>
  <c r="Q18" i="5"/>
  <c r="G51" i="5"/>
  <c r="R8" i="5"/>
  <c r="H51" i="5"/>
  <c r="L6" i="5"/>
  <c r="N7" i="5"/>
  <c r="I18" i="5"/>
  <c r="I42" i="5"/>
  <c r="T46" i="5"/>
  <c r="J30" i="5"/>
  <c r="F42" i="5"/>
  <c r="J51" i="5"/>
  <c r="Q8" i="17"/>
  <c r="L18" i="17"/>
  <c r="Q18" i="17"/>
  <c r="H30" i="17"/>
  <c r="H42" i="17"/>
  <c r="L51" i="17"/>
  <c r="I82" i="5"/>
  <c r="I94" i="5"/>
  <c r="N7" i="17"/>
  <c r="M6" i="17"/>
  <c r="I30" i="17"/>
  <c r="I42" i="17"/>
  <c r="F82" i="5"/>
  <c r="P94" i="5"/>
  <c r="F42" i="17"/>
  <c r="S51" i="17"/>
  <c r="G70" i="5"/>
  <c r="K18" i="17"/>
  <c r="K30" i="17"/>
  <c r="S82" i="17"/>
  <c r="J94" i="17"/>
  <c r="F94" i="17"/>
  <c r="K82" i="17"/>
  <c r="L94" i="17"/>
  <c r="E17" i="16"/>
  <c r="M69" i="16"/>
  <c r="K17" i="16"/>
  <c r="G41" i="16"/>
  <c r="U35" i="6"/>
  <c r="D6" i="6"/>
  <c r="W30" i="6"/>
  <c r="U30" i="6"/>
  <c r="O6" i="6"/>
  <c r="M21" i="6"/>
  <c r="N49" i="17" l="1"/>
  <c r="V49" i="17" s="1"/>
  <c r="N60" i="17"/>
  <c r="V60" i="17" s="1"/>
  <c r="N23" i="17"/>
  <c r="V23" i="17" s="1"/>
  <c r="N24" i="17"/>
  <c r="V24" i="17" s="1"/>
  <c r="N36" i="17"/>
  <c r="V36" i="17" s="1"/>
  <c r="I17" i="4"/>
  <c r="N16" i="17"/>
  <c r="V16" i="17" s="1"/>
  <c r="E17" i="4"/>
  <c r="N55" i="17"/>
  <c r="V55" i="17" s="1"/>
  <c r="N39" i="17"/>
  <c r="V39" i="17" s="1"/>
  <c r="N44" i="17"/>
  <c r="V44" i="17" s="1"/>
  <c r="N56" i="17"/>
  <c r="V56" i="17" s="1"/>
  <c r="N38" i="17"/>
  <c r="V38" i="17" s="1"/>
  <c r="N15" i="17"/>
  <c r="V15" i="17" s="1"/>
  <c r="N27" i="17"/>
  <c r="V27" i="17" s="1"/>
  <c r="N32" i="17"/>
  <c r="V32" i="17" s="1"/>
  <c r="N29" i="17"/>
  <c r="V29" i="17" s="1"/>
  <c r="N33" i="17"/>
  <c r="V33" i="17" s="1"/>
  <c r="O42" i="17"/>
  <c r="N54" i="17"/>
  <c r="V54" i="17" s="1"/>
  <c r="N41" i="17"/>
  <c r="V41" i="17" s="1"/>
  <c r="N101" i="17"/>
  <c r="V101" i="17" s="1"/>
  <c r="N90" i="17"/>
  <c r="V90" i="17" s="1"/>
  <c r="O82" i="16"/>
  <c r="O102" i="16"/>
  <c r="N19" i="17"/>
  <c r="V19" i="17" s="1"/>
  <c r="O51" i="17"/>
  <c r="O30" i="17"/>
  <c r="O18" i="17"/>
  <c r="N28" i="17"/>
  <c r="V28" i="17" s="1"/>
  <c r="N43" i="17"/>
  <c r="V43" i="17" s="1"/>
  <c r="N52" i="17"/>
  <c r="V52" i="17" s="1"/>
  <c r="N95" i="17"/>
  <c r="V95" i="17" s="1"/>
  <c r="N47" i="17"/>
  <c r="V47" i="17" s="1"/>
  <c r="N35" i="17"/>
  <c r="V35" i="17" s="1"/>
  <c r="N46" i="17"/>
  <c r="V46" i="17" s="1"/>
  <c r="N21" i="17"/>
  <c r="V21" i="17" s="1"/>
  <c r="N58" i="17"/>
  <c r="V58" i="17" s="1"/>
  <c r="N13" i="17"/>
  <c r="V13" i="17" s="1"/>
  <c r="E42" i="17"/>
  <c r="D42" i="17"/>
  <c r="N80" i="17"/>
  <c r="V80" i="17" s="1"/>
  <c r="N50" i="17"/>
  <c r="V50" i="17" s="1"/>
  <c r="N75" i="17"/>
  <c r="V75" i="17" s="1"/>
  <c r="N87" i="17"/>
  <c r="V87" i="17" s="1"/>
  <c r="E94" i="17"/>
  <c r="N100" i="17"/>
  <c r="V100" i="17" s="1"/>
  <c r="U12" i="5"/>
  <c r="O70" i="17"/>
  <c r="N73" i="17"/>
  <c r="V73" i="17" s="1"/>
  <c r="N102" i="17"/>
  <c r="V102" i="17" s="1"/>
  <c r="N85" i="17"/>
  <c r="V85" i="17" s="1"/>
  <c r="N96" i="17"/>
  <c r="V96" i="17" s="1"/>
  <c r="O94" i="17"/>
  <c r="N99" i="17"/>
  <c r="V99" i="17" s="1"/>
  <c r="N104" i="17"/>
  <c r="V104" i="17" s="1"/>
  <c r="N68" i="17"/>
  <c r="V68" i="17" s="1"/>
  <c r="N91" i="17"/>
  <c r="V91" i="17" s="1"/>
  <c r="C42" i="17"/>
  <c r="O8" i="17"/>
  <c r="N89" i="17"/>
  <c r="V89" i="17" s="1"/>
  <c r="U40" i="5"/>
  <c r="V12" i="17"/>
  <c r="U39" i="5"/>
  <c r="W88" i="6"/>
  <c r="O79" i="16"/>
  <c r="V40" i="17"/>
  <c r="C94" i="5"/>
  <c r="M94" i="5" s="1"/>
  <c r="C51" i="5"/>
  <c r="M51" i="5" s="1"/>
  <c r="M53" i="5"/>
  <c r="U53" i="5" s="1"/>
  <c r="C18" i="5"/>
  <c r="M18" i="5" s="1"/>
  <c r="O39" i="16"/>
  <c r="W88" i="19"/>
  <c r="D8" i="5"/>
  <c r="N8" i="5" s="1"/>
  <c r="O8" i="5"/>
  <c r="T8" i="5" s="1"/>
  <c r="C70" i="5"/>
  <c r="M70" i="5" s="1"/>
  <c r="L8" i="13"/>
  <c r="O16" i="16"/>
  <c r="L7" i="13"/>
  <c r="D18" i="5"/>
  <c r="N18" i="5" s="1"/>
  <c r="W95" i="6"/>
  <c r="U92" i="5"/>
  <c r="C30" i="5"/>
  <c r="M30" i="5" s="1"/>
  <c r="O82" i="5"/>
  <c r="T82" i="5" s="1"/>
  <c r="O30" i="5"/>
  <c r="T30" i="5" s="1"/>
  <c r="U88" i="5"/>
  <c r="O11" i="16"/>
  <c r="F10" i="13"/>
  <c r="G10" i="13" s="1"/>
  <c r="U93" i="5"/>
  <c r="O70" i="5"/>
  <c r="T70" i="5" s="1"/>
  <c r="P18" i="17"/>
  <c r="U18" i="17" s="1"/>
  <c r="U26" i="5"/>
  <c r="O95" i="16"/>
  <c r="U81" i="5"/>
  <c r="P51" i="17"/>
  <c r="U51" i="17" s="1"/>
  <c r="U17" i="5"/>
  <c r="U83" i="5"/>
  <c r="O61" i="17"/>
  <c r="P94" i="17"/>
  <c r="U94" i="17" s="1"/>
  <c r="O18" i="5"/>
  <c r="T18" i="5" s="1"/>
  <c r="O61" i="5"/>
  <c r="T61" i="5" s="1"/>
  <c r="C82" i="5"/>
  <c r="M82" i="5" s="1"/>
  <c r="T20" i="5"/>
  <c r="U20" i="5" s="1"/>
  <c r="O99" i="16"/>
  <c r="D94" i="5"/>
  <c r="N94" i="5" s="1"/>
  <c r="O94" i="5"/>
  <c r="T94" i="5" s="1"/>
  <c r="P30" i="17"/>
  <c r="U30" i="17" s="1"/>
  <c r="D70" i="5"/>
  <c r="N70" i="5" s="1"/>
  <c r="P82" i="17"/>
  <c r="U82" i="17" s="1"/>
  <c r="D82" i="5"/>
  <c r="N82" i="5" s="1"/>
  <c r="D61" i="5"/>
  <c r="N61" i="5" s="1"/>
  <c r="D30" i="5"/>
  <c r="N30" i="5" s="1"/>
  <c r="D51" i="5"/>
  <c r="N51" i="5" s="1"/>
  <c r="P8" i="17"/>
  <c r="U8" i="17" s="1"/>
  <c r="C8" i="5"/>
  <c r="M8" i="5" s="1"/>
  <c r="C61" i="5"/>
  <c r="M61" i="5" s="1"/>
  <c r="C8" i="17"/>
  <c r="C51" i="17"/>
  <c r="N81" i="17"/>
  <c r="V81" i="17" s="1"/>
  <c r="N83" i="17"/>
  <c r="V83" i="17" s="1"/>
  <c r="F15" i="13"/>
  <c r="M15" i="13" s="1"/>
  <c r="F14" i="13"/>
  <c r="M14" i="13" s="1"/>
  <c r="U25" i="5"/>
  <c r="F9" i="13"/>
  <c r="G9" i="13" s="1"/>
  <c r="P70" i="17"/>
  <c r="U70" i="17" s="1"/>
  <c r="O51" i="5"/>
  <c r="T51" i="5" s="1"/>
  <c r="F12" i="13"/>
  <c r="G12" i="13" s="1"/>
  <c r="F11" i="13"/>
  <c r="G11" i="13" s="1"/>
  <c r="C8" i="13"/>
  <c r="F13" i="13"/>
  <c r="G13" i="13" s="1"/>
  <c r="C7" i="13"/>
  <c r="I8" i="13"/>
  <c r="I7" i="13"/>
  <c r="N34" i="17"/>
  <c r="V34" i="17" s="1"/>
  <c r="N98" i="17"/>
  <c r="V98" i="17" s="1"/>
  <c r="O94" i="16"/>
  <c r="C70" i="17"/>
  <c r="N71" i="17"/>
  <c r="V71" i="17" s="1"/>
  <c r="N78" i="17"/>
  <c r="V78" i="17" s="1"/>
  <c r="N84" i="17"/>
  <c r="V84" i="17" s="1"/>
  <c r="N63" i="17"/>
  <c r="V63" i="17" s="1"/>
  <c r="N69" i="17"/>
  <c r="V69" i="17" s="1"/>
  <c r="N65" i="17"/>
  <c r="V65" i="17" s="1"/>
  <c r="D30" i="17"/>
  <c r="N59" i="17"/>
  <c r="V59" i="17" s="1"/>
  <c r="C30" i="17"/>
  <c r="C94" i="17"/>
  <c r="C18" i="17"/>
  <c r="N25" i="17"/>
  <c r="V25" i="17" s="1"/>
  <c r="E8" i="17"/>
  <c r="E18" i="17"/>
  <c r="N97" i="17"/>
  <c r="V97" i="17" s="1"/>
  <c r="N76" i="17"/>
  <c r="V76" i="17" s="1"/>
  <c r="N74" i="17"/>
  <c r="V74" i="17" s="1"/>
  <c r="N22" i="17"/>
  <c r="V22" i="17" s="1"/>
  <c r="D51" i="17"/>
  <c r="D70" i="17"/>
  <c r="D18" i="17"/>
  <c r="N53" i="17"/>
  <c r="V53" i="17" s="1"/>
  <c r="N77" i="17"/>
  <c r="V77" i="17" s="1"/>
  <c r="D8" i="17"/>
  <c r="N57" i="17"/>
  <c r="V57" i="17" s="1"/>
  <c r="N64" i="17"/>
  <c r="V64" i="17" s="1"/>
  <c r="D61" i="17"/>
  <c r="N31" i="17"/>
  <c r="V31" i="17" s="1"/>
  <c r="N14" i="17"/>
  <c r="V14" i="17" s="1"/>
  <c r="D94" i="17"/>
  <c r="E51" i="17"/>
  <c r="E82" i="17"/>
  <c r="U65" i="5"/>
  <c r="U34" i="5"/>
  <c r="O68" i="16"/>
  <c r="O91" i="16"/>
  <c r="N62" i="17"/>
  <c r="V62" i="17" s="1"/>
  <c r="U72" i="5"/>
  <c r="N92" i="17"/>
  <c r="V92" i="17" s="1"/>
  <c r="U80" i="5"/>
  <c r="U14" i="5"/>
  <c r="U77" i="5"/>
  <c r="C82" i="17"/>
  <c r="C61" i="17"/>
  <c r="P61" i="17"/>
  <c r="U61" i="17" s="1"/>
  <c r="U86" i="5"/>
  <c r="O82" i="17"/>
  <c r="N11" i="17"/>
  <c r="V11" i="17" s="1"/>
  <c r="E61" i="17"/>
  <c r="N26" i="17"/>
  <c r="V26" i="17" s="1"/>
  <c r="N37" i="17"/>
  <c r="V37" i="17" s="1"/>
  <c r="N88" i="17"/>
  <c r="V88" i="17" s="1"/>
  <c r="E30" i="17"/>
  <c r="O38" i="16"/>
  <c r="O103" i="16"/>
  <c r="N17" i="17"/>
  <c r="V17" i="17" s="1"/>
  <c r="E70" i="17"/>
  <c r="N66" i="17"/>
  <c r="V66" i="17" s="1"/>
  <c r="N9" i="17"/>
  <c r="V9" i="17" s="1"/>
  <c r="U59" i="5"/>
  <c r="U37" i="5"/>
  <c r="U31" i="5"/>
  <c r="U11" i="5"/>
  <c r="N72" i="17"/>
  <c r="U103" i="5"/>
  <c r="U9" i="5"/>
  <c r="N67" i="17"/>
  <c r="V67" i="17" s="1"/>
  <c r="U71" i="5"/>
  <c r="U78" i="5"/>
  <c r="U66" i="5"/>
  <c r="U69" i="5"/>
  <c r="U76" i="5"/>
  <c r="U62" i="5"/>
  <c r="U67" i="5"/>
  <c r="U55" i="5"/>
  <c r="U33" i="5"/>
  <c r="C50" i="16"/>
  <c r="H50" i="16" s="1"/>
  <c r="O97" i="16"/>
  <c r="U91" i="5"/>
  <c r="O26" i="16"/>
  <c r="O100" i="16"/>
  <c r="O27" i="16"/>
  <c r="I16" i="4"/>
  <c r="C93" i="16"/>
  <c r="H93" i="16" s="1"/>
  <c r="O96" i="16"/>
  <c r="O20" i="16"/>
  <c r="O57" i="16"/>
  <c r="W270" i="19"/>
  <c r="O101" i="16"/>
  <c r="C29" i="16"/>
  <c r="H29" i="16" s="1"/>
  <c r="O66" i="16"/>
  <c r="O88" i="16"/>
  <c r="O75" i="16"/>
  <c r="O8" i="16"/>
  <c r="O80" i="16"/>
  <c r="O86" i="16"/>
  <c r="C81" i="16"/>
  <c r="H81" i="16" s="1"/>
  <c r="I81" i="16"/>
  <c r="N81" i="16" s="1"/>
  <c r="O58" i="16"/>
  <c r="O87" i="16"/>
  <c r="D82" i="17"/>
  <c r="W64" i="6"/>
  <c r="W107" i="6"/>
  <c r="O77" i="16"/>
  <c r="C41" i="16"/>
  <c r="H41" i="16" s="1"/>
  <c r="W121" i="19"/>
  <c r="I13" i="4"/>
  <c r="U208" i="19"/>
  <c r="U197" i="6"/>
  <c r="W259" i="6"/>
  <c r="C60" i="16"/>
  <c r="H60" i="16" s="1"/>
  <c r="O64" i="16"/>
  <c r="O73" i="16"/>
  <c r="I69" i="16"/>
  <c r="N69" i="16" s="1"/>
  <c r="O35" i="16"/>
  <c r="C17" i="16"/>
  <c r="H17" i="16" s="1"/>
  <c r="I50" i="16"/>
  <c r="N50" i="16" s="1"/>
  <c r="C7" i="16"/>
  <c r="H7" i="16" s="1"/>
  <c r="I17" i="16"/>
  <c r="N17" i="16" s="1"/>
  <c r="H62" i="16"/>
  <c r="O62" i="16" s="1"/>
  <c r="O24" i="16"/>
  <c r="W56" i="19"/>
  <c r="W7" i="6"/>
  <c r="O13" i="16"/>
  <c r="N103" i="17"/>
  <c r="V103" i="17" s="1"/>
  <c r="O30" i="16"/>
  <c r="O56" i="16"/>
  <c r="O31" i="16"/>
  <c r="U95" i="5"/>
  <c r="I7" i="16"/>
  <c r="N7" i="16" s="1"/>
  <c r="O21" i="16"/>
  <c r="U64" i="5"/>
  <c r="W255" i="6"/>
  <c r="O70" i="16"/>
  <c r="O85" i="16"/>
  <c r="O34" i="16"/>
  <c r="U248" i="6"/>
  <c r="W153" i="6"/>
  <c r="W203" i="6"/>
  <c r="W70" i="6"/>
  <c r="O83" i="16"/>
  <c r="W248" i="19"/>
  <c r="U51" i="6"/>
  <c r="U259" i="6"/>
  <c r="O71" i="16"/>
  <c r="O33" i="16"/>
  <c r="U132" i="19"/>
  <c r="W147" i="6"/>
  <c r="O44" i="16"/>
  <c r="O65" i="16"/>
  <c r="W225" i="6"/>
  <c r="U137" i="6"/>
  <c r="W208" i="19"/>
  <c r="O10" i="16"/>
  <c r="O32" i="16"/>
  <c r="O36" i="16"/>
  <c r="O15" i="16"/>
  <c r="C69" i="16"/>
  <c r="H69" i="16" s="1"/>
  <c r="I93" i="16"/>
  <c r="N93" i="16" s="1"/>
  <c r="U225" i="6"/>
  <c r="I29" i="16"/>
  <c r="N29" i="16" s="1"/>
  <c r="W181" i="19"/>
  <c r="W265" i="19"/>
  <c r="O74" i="16"/>
  <c r="O49" i="16"/>
  <c r="U90" i="5"/>
  <c r="W168" i="6"/>
  <c r="O53" i="16"/>
  <c r="O48" i="16"/>
  <c r="O54" i="16"/>
  <c r="O63" i="16"/>
  <c r="O19" i="16"/>
  <c r="O90" i="16"/>
  <c r="N93" i="17"/>
  <c r="V93" i="17" s="1"/>
  <c r="O25" i="16"/>
  <c r="O92" i="16"/>
  <c r="N61" i="16"/>
  <c r="O61" i="16" s="1"/>
  <c r="I60" i="16"/>
  <c r="N60" i="16" s="1"/>
  <c r="I9" i="4"/>
  <c r="I8" i="4"/>
  <c r="I10" i="4"/>
  <c r="I12" i="4"/>
  <c r="J7" i="3"/>
  <c r="P42" i="17"/>
  <c r="U125" i="19"/>
  <c r="U21" i="5"/>
  <c r="U137" i="19"/>
  <c r="O18" i="16"/>
  <c r="U88" i="19"/>
  <c r="U181" i="6"/>
  <c r="W15" i="19"/>
  <c r="U22" i="5"/>
  <c r="W203" i="19"/>
  <c r="U42" i="19"/>
  <c r="W187" i="6"/>
  <c r="U15" i="6"/>
  <c r="U45" i="5"/>
  <c r="W191" i="6"/>
  <c r="W270" i="6"/>
  <c r="W197" i="6"/>
  <c r="W248" i="6"/>
  <c r="W27" i="19"/>
  <c r="U242" i="19"/>
  <c r="W140" i="19"/>
  <c r="W276" i="6"/>
  <c r="F5" i="16"/>
  <c r="U101" i="5"/>
  <c r="U15" i="19"/>
  <c r="U27" i="6"/>
  <c r="U255" i="6"/>
  <c r="U191" i="6"/>
  <c r="D5" i="16"/>
  <c r="U164" i="6"/>
  <c r="U121" i="6"/>
  <c r="U57" i="5"/>
  <c r="W95" i="19"/>
  <c r="O76" i="16"/>
  <c r="U36" i="5"/>
  <c r="W158" i="6"/>
  <c r="U97" i="5"/>
  <c r="W242" i="19"/>
  <c r="W115" i="19"/>
  <c r="U276" i="6"/>
  <c r="U95" i="19"/>
  <c r="U79" i="5"/>
  <c r="U203" i="19"/>
  <c r="W15" i="6"/>
  <c r="W132" i="6"/>
  <c r="W121" i="6"/>
  <c r="U203" i="6"/>
  <c r="U288" i="6"/>
  <c r="U174" i="6"/>
  <c r="U81" i="6"/>
  <c r="W232" i="6"/>
  <c r="U153" i="6"/>
  <c r="U7" i="19"/>
  <c r="U95" i="6"/>
  <c r="W115" i="6"/>
  <c r="W33" i="19"/>
  <c r="W293" i="6"/>
  <c r="U147" i="6"/>
  <c r="U74" i="5"/>
  <c r="K7" i="13"/>
  <c r="G7" i="4"/>
  <c r="N7" i="4"/>
  <c r="J5" i="16"/>
  <c r="W187" i="19"/>
  <c r="U132" i="6"/>
  <c r="O98" i="16"/>
  <c r="V45" i="17"/>
  <c r="U293" i="6"/>
  <c r="W42" i="19"/>
  <c r="U58" i="5"/>
  <c r="U70" i="6"/>
  <c r="W219" i="6"/>
  <c r="U115" i="6"/>
  <c r="U232" i="6"/>
  <c r="W181" i="6"/>
  <c r="O14" i="16"/>
  <c r="V20" i="17"/>
  <c r="U197" i="19"/>
  <c r="W7" i="19"/>
  <c r="W132" i="19"/>
  <c r="W213" i="19"/>
  <c r="W21" i="19"/>
  <c r="F7" i="4"/>
  <c r="U64" i="6"/>
  <c r="O78" i="16"/>
  <c r="O28" i="16"/>
  <c r="O7" i="4"/>
  <c r="U63" i="5"/>
  <c r="W56" i="6"/>
  <c r="W242" i="6"/>
  <c r="F17" i="13"/>
  <c r="M17" i="13" s="1"/>
  <c r="U140" i="19"/>
  <c r="W288" i="6"/>
  <c r="C7" i="4"/>
  <c r="U7" i="6"/>
  <c r="U208" i="6"/>
  <c r="W280" i="6"/>
  <c r="W99" i="6"/>
  <c r="W208" i="6"/>
  <c r="W81" i="6"/>
  <c r="U265" i="6"/>
  <c r="W164" i="6"/>
  <c r="W99" i="19"/>
  <c r="U33" i="19"/>
  <c r="U88" i="6"/>
  <c r="W64" i="19"/>
  <c r="W237" i="6"/>
  <c r="W232" i="19"/>
  <c r="U84" i="5"/>
  <c r="W51" i="19"/>
  <c r="W51" i="6"/>
  <c r="L7" i="4"/>
  <c r="K8" i="13"/>
  <c r="I14" i="4"/>
  <c r="O59" i="16"/>
  <c r="U56" i="19"/>
  <c r="W76" i="6"/>
  <c r="U187" i="6"/>
  <c r="O52" i="16"/>
  <c r="U168" i="6"/>
  <c r="T6" i="6"/>
  <c r="U242" i="6"/>
  <c r="U280" i="6"/>
  <c r="U27" i="5"/>
  <c r="W265" i="6"/>
  <c r="O89" i="16"/>
  <c r="U237" i="6"/>
  <c r="U107" i="6"/>
  <c r="O40" i="16"/>
  <c r="U265" i="19"/>
  <c r="O37" i="16"/>
  <c r="U102" i="5"/>
  <c r="U270" i="6"/>
  <c r="U187" i="19"/>
  <c r="W125" i="19"/>
  <c r="U51" i="19"/>
  <c r="O55" i="16"/>
  <c r="U21" i="19"/>
  <c r="U64" i="19"/>
  <c r="U232" i="19"/>
  <c r="I11" i="4"/>
  <c r="V79" i="17"/>
  <c r="U75" i="5"/>
  <c r="U248" i="19"/>
  <c r="W27" i="6"/>
  <c r="U147" i="19"/>
  <c r="U213" i="19"/>
  <c r="U99" i="19"/>
  <c r="U181" i="19"/>
  <c r="U276" i="19"/>
  <c r="W147" i="19"/>
  <c r="L5" i="16"/>
  <c r="I15" i="4"/>
  <c r="U99" i="5"/>
  <c r="U168" i="19"/>
  <c r="W42" i="6"/>
  <c r="U76" i="6"/>
  <c r="U50" i="5"/>
  <c r="W7" i="12"/>
  <c r="U16" i="5"/>
  <c r="D7" i="13"/>
  <c r="U99" i="6"/>
  <c r="W168" i="19"/>
  <c r="U56" i="6"/>
  <c r="W140" i="6"/>
  <c r="U158" i="6"/>
  <c r="U49" i="5"/>
  <c r="P7" i="3"/>
  <c r="U140" i="6"/>
  <c r="W174" i="6"/>
  <c r="U191" i="19"/>
  <c r="U27" i="19"/>
  <c r="U219" i="6"/>
  <c r="W33" i="6"/>
  <c r="W191" i="19"/>
  <c r="U33" i="6"/>
  <c r="N6" i="6"/>
  <c r="U23" i="5"/>
  <c r="U42" i="6"/>
  <c r="M6" i="6"/>
  <c r="W125" i="6"/>
  <c r="D8" i="13"/>
  <c r="O43" i="16"/>
  <c r="O23" i="16"/>
  <c r="I41" i="16"/>
  <c r="N41" i="16" s="1"/>
  <c r="F16" i="13"/>
  <c r="G16" i="13" s="1"/>
  <c r="U125" i="6"/>
  <c r="U280" i="19"/>
  <c r="U47" i="5"/>
  <c r="U15" i="5"/>
  <c r="O51" i="16"/>
  <c r="G6" i="17"/>
  <c r="U270" i="19"/>
  <c r="O45" i="16"/>
  <c r="U87" i="5"/>
  <c r="F6" i="5"/>
  <c r="I6" i="5"/>
  <c r="O67" i="16"/>
  <c r="U41" i="5"/>
  <c r="U52" i="5"/>
  <c r="U255" i="19"/>
  <c r="U24" i="5"/>
  <c r="G5" i="16"/>
  <c r="U115" i="19"/>
  <c r="O42" i="16"/>
  <c r="U96" i="5"/>
  <c r="W255" i="19"/>
  <c r="U56" i="5"/>
  <c r="W197" i="19"/>
  <c r="U35" i="5"/>
  <c r="G6" i="5"/>
  <c r="E6" i="5"/>
  <c r="H6" i="5"/>
  <c r="O84" i="16"/>
  <c r="M5" i="16"/>
  <c r="O9" i="16"/>
  <c r="I6" i="17"/>
  <c r="N6" i="19"/>
  <c r="F6" i="17"/>
  <c r="U46" i="5"/>
  <c r="R6" i="5"/>
  <c r="H6" i="17"/>
  <c r="U32" i="5"/>
  <c r="M6" i="19"/>
  <c r="U89" i="5"/>
  <c r="U10" i="5"/>
  <c r="W276" i="19"/>
  <c r="U100" i="5"/>
  <c r="W76" i="19"/>
  <c r="U76" i="19"/>
  <c r="K5" i="16"/>
  <c r="U98" i="5"/>
  <c r="O12" i="16"/>
  <c r="V7" i="17"/>
  <c r="U44" i="5"/>
  <c r="J6" i="5"/>
  <c r="W153" i="19"/>
  <c r="U153" i="19"/>
  <c r="W225" i="19"/>
  <c r="U225" i="19"/>
  <c r="H7" i="4"/>
  <c r="N48" i="17"/>
  <c r="V48" i="17" s="1"/>
  <c r="E8" i="13"/>
  <c r="E7" i="13"/>
  <c r="D42" i="5"/>
  <c r="N42" i="5" s="1"/>
  <c r="U7" i="5"/>
  <c r="W107" i="19"/>
  <c r="T6" i="19"/>
  <c r="W280" i="19"/>
  <c r="U174" i="19"/>
  <c r="W174" i="19"/>
  <c r="W259" i="19"/>
  <c r="U259" i="19"/>
  <c r="U19" i="5"/>
  <c r="U60" i="5"/>
  <c r="U54" i="5"/>
  <c r="O46" i="16"/>
  <c r="E5" i="16"/>
  <c r="U85" i="5"/>
  <c r="U13" i="5"/>
  <c r="W237" i="19"/>
  <c r="U237" i="19"/>
  <c r="Q6" i="17"/>
  <c r="U38" i="5"/>
  <c r="U28" i="5"/>
  <c r="W81" i="19"/>
  <c r="U81" i="19"/>
  <c r="W219" i="19"/>
  <c r="U219" i="19"/>
  <c r="K6" i="17"/>
  <c r="J6" i="17"/>
  <c r="R6" i="17"/>
  <c r="U29" i="5"/>
  <c r="W293" i="19"/>
  <c r="U293" i="19"/>
  <c r="U121" i="19"/>
  <c r="W158" i="19"/>
  <c r="U158" i="19"/>
  <c r="U104" i="5"/>
  <c r="E11" i="4"/>
  <c r="E15" i="4"/>
  <c r="E10" i="4"/>
  <c r="E14" i="4"/>
  <c r="E9" i="4"/>
  <c r="E13" i="4"/>
  <c r="E8" i="4"/>
  <c r="B7" i="4"/>
  <c r="E12" i="4"/>
  <c r="E16" i="4"/>
  <c r="B8" i="13"/>
  <c r="B7" i="13"/>
  <c r="U68" i="5"/>
  <c r="C42" i="5"/>
  <c r="M42" i="5" s="1"/>
  <c r="U107" i="19"/>
  <c r="U288" i="19"/>
  <c r="W288" i="19"/>
  <c r="L6" i="17"/>
  <c r="O72" i="16"/>
  <c r="U73" i="5"/>
  <c r="W164" i="19"/>
  <c r="U164" i="19"/>
  <c r="U48" i="5"/>
  <c r="O47" i="16"/>
  <c r="V86" i="17"/>
  <c r="V10" i="17"/>
  <c r="U43" i="5"/>
  <c r="W70" i="19"/>
  <c r="U70" i="19"/>
  <c r="W21" i="6"/>
  <c r="U21" i="6"/>
  <c r="U213" i="6"/>
  <c r="W213" i="6"/>
  <c r="S6" i="17"/>
  <c r="P6" i="5"/>
  <c r="Q6" i="5"/>
  <c r="D7" i="4"/>
  <c r="O22" i="16"/>
  <c r="O42" i="5"/>
  <c r="T42" i="5" s="1"/>
  <c r="J7" i="12"/>
  <c r="P17" i="4" l="1"/>
  <c r="J17" i="4"/>
  <c r="M10" i="13"/>
  <c r="O6" i="17"/>
  <c r="G14" i="13"/>
  <c r="G15" i="13"/>
  <c r="M9" i="13"/>
  <c r="M11" i="13"/>
  <c r="M12" i="13"/>
  <c r="M13" i="13"/>
  <c r="O60" i="16"/>
  <c r="N18" i="17"/>
  <c r="V18" i="17" s="1"/>
  <c r="N70" i="17"/>
  <c r="V70" i="17" s="1"/>
  <c r="N51" i="17"/>
  <c r="V51" i="17" s="1"/>
  <c r="V72" i="17"/>
  <c r="E6" i="17"/>
  <c r="D6" i="17"/>
  <c r="C6" i="17"/>
  <c r="P6" i="17"/>
  <c r="N30" i="17"/>
  <c r="V30" i="17" s="1"/>
  <c r="N61" i="17"/>
  <c r="V61" i="17" s="1"/>
  <c r="N8" i="17"/>
  <c r="V8" i="17" s="1"/>
  <c r="P16" i="4"/>
  <c r="P13" i="4"/>
  <c r="U42" i="17"/>
  <c r="U6" i="17" s="1"/>
  <c r="W6" i="19"/>
  <c r="N94" i="17"/>
  <c r="V94" i="17" s="1"/>
  <c r="N82" i="17"/>
  <c r="V82" i="17" s="1"/>
  <c r="O17" i="16"/>
  <c r="C5" i="16"/>
  <c r="P9" i="4"/>
  <c r="O93" i="16"/>
  <c r="G17" i="13"/>
  <c r="N42" i="17"/>
  <c r="O81" i="16"/>
  <c r="O50" i="16"/>
  <c r="O69" i="16"/>
  <c r="O29" i="16"/>
  <c r="U51" i="5"/>
  <c r="P12" i="4"/>
  <c r="P10" i="4"/>
  <c r="I5" i="16"/>
  <c r="P14" i="4"/>
  <c r="P15" i="4"/>
  <c r="F8" i="13"/>
  <c r="G8" i="13" s="1"/>
  <c r="M16" i="13"/>
  <c r="F7" i="13"/>
  <c r="G7" i="13" s="1"/>
  <c r="I7" i="4"/>
  <c r="P11" i="4"/>
  <c r="U61" i="5"/>
  <c r="U70" i="5"/>
  <c r="O41" i="16"/>
  <c r="W6" i="6"/>
  <c r="U6" i="6"/>
  <c r="D6" i="5"/>
  <c r="N6" i="5"/>
  <c r="T6" i="5"/>
  <c r="U30" i="5"/>
  <c r="U94" i="5"/>
  <c r="U6" i="19"/>
  <c r="O6" i="5"/>
  <c r="E7" i="4"/>
  <c r="P8" i="4"/>
  <c r="O7" i="16"/>
  <c r="H5" i="16"/>
  <c r="U8" i="5"/>
  <c r="J10" i="4"/>
  <c r="J9" i="4"/>
  <c r="J12" i="4"/>
  <c r="U18" i="5"/>
  <c r="C6" i="5"/>
  <c r="J13" i="4"/>
  <c r="J15" i="4"/>
  <c r="N5" i="16"/>
  <c r="J8" i="4"/>
  <c r="U42" i="5"/>
  <c r="J14" i="4"/>
  <c r="J11" i="4"/>
  <c r="U82" i="5"/>
  <c r="J16" i="4"/>
  <c r="M6" i="5"/>
  <c r="M8" i="13" l="1"/>
  <c r="N6" i="17"/>
  <c r="V6" i="17" s="1"/>
  <c r="V42" i="17"/>
  <c r="P7" i="4"/>
  <c r="M7" i="13"/>
  <c r="U6" i="5"/>
  <c r="J7" i="4"/>
  <c r="O5" i="16"/>
</calcChain>
</file>

<file path=xl/sharedStrings.xml><?xml version="1.0" encoding="utf-8"?>
<sst xmlns="http://schemas.openxmlformats.org/spreadsheetml/2006/main" count="1736" uniqueCount="271">
  <si>
    <t>ที่อยู่ปัจจุบัน/ที่มีพฤติการณ์</t>
  </si>
  <si>
    <t>รายละเอียดพฤติการณ์</t>
  </si>
  <si>
    <t>พฤติการณ์</t>
  </si>
  <si>
    <t>ชนิดยาเสพติดที่มีการร้องเรียน</t>
  </si>
  <si>
    <t>จำนวน</t>
  </si>
  <si>
    <t>สน.</t>
  </si>
  <si>
    <t>บก.น.</t>
  </si>
  <si>
    <t>การดำเนินการ</t>
  </si>
  <si>
    <t>ชนิดยาเสพติดที่พบพฤติการณ์</t>
  </si>
  <si>
    <t>รายละเอียดการดำเนินการ</t>
  </si>
  <si>
    <t>เจ้าหน้าที่รัฐ</t>
  </si>
  <si>
    <t>ซ้ำ</t>
  </si>
  <si>
    <t>แหล่งข้อมูล</t>
  </si>
  <si>
    <t>ส่งหน่วยปฏิบัติ</t>
  </si>
  <si>
    <t>หมายเหตุผลร้องเรียนซ้ำ</t>
  </si>
  <si>
    <t>เบอร์โทรศัพท์ผู้ติดต่อกลับ</t>
  </si>
  <si>
    <t xml:space="preserve">ตรวจพิสูจน์ทราบ </t>
  </si>
  <si>
    <t>ดำเนินการ (กรณีพบพฤติการณ์)</t>
  </si>
  <si>
    <t>ผลการจับกุม</t>
  </si>
  <si>
    <t>บช.น.</t>
  </si>
  <si>
    <t>สปพ.</t>
  </si>
  <si>
    <t>ปปส.กทม.</t>
  </si>
  <si>
    <t>อื่นๆ</t>
  </si>
  <si>
    <t>ที่</t>
  </si>
  <si>
    <t>วัน</t>
  </si>
  <si>
    <t>เดือน</t>
  </si>
  <si>
    <t>ปี</t>
  </si>
  <si>
    <t>กลุ่ม</t>
  </si>
  <si>
    <t>รหัสบุคคล/รหัสข่าว</t>
  </si>
  <si>
    <t>เพศ</t>
  </si>
  <si>
    <t>ชื่อ</t>
  </si>
  <si>
    <t>นามสกุล</t>
  </si>
  <si>
    <t>เลขที่บัตรประชาชน</t>
  </si>
  <si>
    <t>ชุมชน</t>
  </si>
  <si>
    <t>แขวง</t>
  </si>
  <si>
    <t>เขต</t>
  </si>
  <si>
    <t>กลุ่มพื้นที่</t>
  </si>
  <si>
    <t>เสพ</t>
  </si>
  <si>
    <t>ค้า</t>
  </si>
  <si>
    <t>เสพ/ค้า</t>
  </si>
  <si>
    <t>ผลิต</t>
  </si>
  <si>
    <t>ยาบ้า</t>
  </si>
  <si>
    <t>ไอซ์</t>
  </si>
  <si>
    <t>ยาอี</t>
  </si>
  <si>
    <t>คีตามีน</t>
  </si>
  <si>
    <t>โคเคน</t>
  </si>
  <si>
    <t>เฮโรอีน</t>
  </si>
  <si>
    <t>มอร์ฟีน</t>
  </si>
  <si>
    <t>กระท่อม</t>
  </si>
  <si>
    <t>กัญชา</t>
  </si>
  <si>
    <t>สารระเหย</t>
  </si>
  <si>
    <t>ยาใช้ในทางที่ผิด</t>
  </si>
  <si>
    <t>ได้รับผลการดำเนินการแล้ว</t>
  </si>
  <si>
    <t>พบพฤติการณ์</t>
  </si>
  <si>
    <t>ไม่พบพฤติการณ์</t>
  </si>
  <si>
    <t>พิสูจน์ทราบไม่ได้/ไม่พบตัว/</t>
  </si>
  <si>
    <t>ตรวจค้น</t>
  </si>
  <si>
    <t>จับกุม</t>
  </si>
  <si>
    <t>หลบหนี</t>
  </si>
  <si>
    <t>อยู่ระหว่างสืบสวน/ไม่แน่ใจ</t>
  </si>
  <si>
    <t>บำบัด</t>
  </si>
  <si>
    <t>จำหน่าย</t>
  </si>
  <si>
    <t>เพื่อจำหน่าย</t>
  </si>
  <si>
    <t>ครอบครอง</t>
  </si>
  <si>
    <t>ไม่ระบุ</t>
  </si>
  <si>
    <t>วันที่ดำเนินการ/รายงาน</t>
  </si>
  <si>
    <t>วันที่ดำเนินการ/บันทึก</t>
  </si>
  <si>
    <t>บึงกุ่ม</t>
  </si>
  <si>
    <t>กรุงเทพตะวันออก</t>
  </si>
  <si>
    <t>โคกคราม</t>
  </si>
  <si>
    <t>แสมดำ</t>
  </si>
  <si>
    <t>บางขุนเทียน</t>
  </si>
  <si>
    <t>กรุงธนใต้</t>
  </si>
  <si>
    <t>ประเวศ</t>
  </si>
  <si>
    <t>อุดมสุข</t>
  </si>
  <si>
    <t>บางแค</t>
  </si>
  <si>
    <t>เพชรเกษม</t>
  </si>
  <si>
    <t>คันนายาว</t>
  </si>
  <si>
    <t>สาทร</t>
  </si>
  <si>
    <t>กรุงเทพใต้</t>
  </si>
  <si>
    <t>ยานนาวา</t>
  </si>
  <si>
    <t>คลองสาน</t>
  </si>
  <si>
    <t>กรุงธนเหนือ</t>
  </si>
  <si>
    <t>สมเด็จเจ้าพระยา</t>
  </si>
  <si>
    <t>ลาดกระบัง</t>
  </si>
  <si>
    <t>จรเข้น้อย</t>
  </si>
  <si>
    <t>ดินแดง</t>
  </si>
  <si>
    <t>กรุงเทพกลาง</t>
  </si>
  <si>
    <t>สุทธิสาร</t>
  </si>
  <si>
    <t>พญาไท</t>
  </si>
  <si>
    <t>สวนหลวง</t>
  </si>
  <si>
    <t>หัวหมาก</t>
  </si>
  <si>
    <t>หลักสอง</t>
  </si>
  <si>
    <t>หนองแขม</t>
  </si>
  <si>
    <t>บางบอน</t>
  </si>
  <si>
    <t>ดอนเมือง</t>
  </si>
  <si>
    <t>กรุงเทพเหนือ</t>
  </si>
  <si>
    <t>คลองเตย</t>
  </si>
  <si>
    <t>ลุมพินี</t>
  </si>
  <si>
    <t>จตุจักร</t>
  </si>
  <si>
    <t>พหลโยธิน</t>
  </si>
  <si>
    <t>สะพานสูง</t>
  </si>
  <si>
    <t>บางชัน</t>
  </si>
  <si>
    <t>ท่าเรือ</t>
  </si>
  <si>
    <t>วัดพระยาไกร</t>
  </si>
  <si>
    <t>บางคอแหลม</t>
  </si>
  <si>
    <t>บางพลัด</t>
  </si>
  <si>
    <t>บางเขน</t>
  </si>
  <si>
    <t>บางนา</t>
  </si>
  <si>
    <t>คลองสามวา</t>
  </si>
  <si>
    <t>บางมด</t>
  </si>
  <si>
    <t>จอมทอง</t>
  </si>
  <si>
    <t>ท่าข้าม</t>
  </si>
  <si>
    <t>ราษฎร์บูรณะ</t>
  </si>
  <si>
    <t>ราชเทวี</t>
  </si>
  <si>
    <t>พระโขนง</t>
  </si>
  <si>
    <t>มีนบุรี</t>
  </si>
  <si>
    <t>ทุ่งสองห้อง</t>
  </si>
  <si>
    <t>หลักสี่</t>
  </si>
  <si>
    <t>บางกะปิ</t>
  </si>
  <si>
    <t>ลาดพร้าว</t>
  </si>
  <si>
    <t>เทียนทะเล</t>
  </si>
  <si>
    <t>ธนบุรี</t>
  </si>
  <si>
    <t>บุปผาราม</t>
  </si>
  <si>
    <t>ฉลองกรุง</t>
  </si>
  <si>
    <t>บางรัก</t>
  </si>
  <si>
    <t>บางกอกน้อย</t>
  </si>
  <si>
    <t>บางยี่ขัน</t>
  </si>
  <si>
    <t>คลองตัน</t>
  </si>
  <si>
    <t>ป้อมปราบศัตรูพ่าย</t>
  </si>
  <si>
    <t>พลับพลาไชย 1</t>
  </si>
  <si>
    <t>นิมิตรใหม่</t>
  </si>
  <si>
    <t>โชคชัย</t>
  </si>
  <si>
    <t>บางซื่อ</t>
  </si>
  <si>
    <t>เตาปูน</t>
  </si>
  <si>
    <t>หนองค้างพลู</t>
  </si>
  <si>
    <t>วัฒนา</t>
  </si>
  <si>
    <t>ทองหล่อ</t>
  </si>
  <si>
    <t>สัมพันธวงศ์</t>
  </si>
  <si>
    <t>พลับพลาไชย 2</t>
  </si>
  <si>
    <t>ห้วยขวาง</t>
  </si>
  <si>
    <t>หนองจอก</t>
  </si>
  <si>
    <t>ทุ่งมหาเมฆ</t>
  </si>
  <si>
    <t>สายไหม</t>
  </si>
  <si>
    <t xml:space="preserve">จำแนกตาม กลุ่ม 1 - 5 </t>
  </si>
  <si>
    <t>รับเรื่อง</t>
  </si>
  <si>
    <t>ผลการดำเนินงานต่อข้อร้องเรียน</t>
  </si>
  <si>
    <t>รับ</t>
  </si>
  <si>
    <t>รอตรวจสอบ</t>
  </si>
  <si>
    <t>พิสูจน์ทราบ</t>
  </si>
  <si>
    <t>การดำเนินการ (กรณีพบพฤติการณ์)</t>
  </si>
  <si>
    <t>พิสูจน์ทราบไม่ได้ /ไม่พบตัว</t>
  </si>
  <si>
    <t>รวม</t>
  </si>
  <si>
    <t>อยู่ระหว่างสืบสวน</t>
  </si>
  <si>
    <t xml:space="preserve">รอผล  </t>
  </si>
  <si>
    <t>ร้อยละ</t>
  </si>
  <si>
    <t xml:space="preserve">จำแนกตาม บก.น.1 - 9/สปพ. </t>
  </si>
  <si>
    <t xml:space="preserve">รอผล </t>
  </si>
  <si>
    <t xml:space="preserve">       </t>
  </si>
  <si>
    <r>
      <t xml:space="preserve"> จำแนกตาม กลุ่ม 1 - 5/</t>
    </r>
    <r>
      <rPr>
        <b/>
        <u/>
        <sz val="16"/>
        <color theme="1"/>
        <rFont val="TH SarabunPSK"/>
        <family val="2"/>
      </rPr>
      <t>สน.</t>
    </r>
  </si>
  <si>
    <t xml:space="preserve">  ผลดำเนินงานต่อข้อร้องเรียน</t>
  </si>
  <si>
    <t>รอผล</t>
  </si>
  <si>
    <t>กลุ่ม 1</t>
  </si>
  <si>
    <t>กลุ่ม 2</t>
  </si>
  <si>
    <t>กลุ่ม 3</t>
  </si>
  <si>
    <t>กลุ่ม 4</t>
  </si>
  <si>
    <t>กลุ่ม 5</t>
  </si>
  <si>
    <t>ชนะสงคราม</t>
  </si>
  <si>
    <t>ดุสิต</t>
  </si>
  <si>
    <t>นางเลิ้ง</t>
  </si>
  <si>
    <t>มักกะสัน</t>
  </si>
  <si>
    <t>สามเสน</t>
  </si>
  <si>
    <t>บางโพ</t>
  </si>
  <si>
    <t>ประชาชื่น</t>
  </si>
  <si>
    <t>ประชาสำราญ</t>
  </si>
  <si>
    <t>ร่มเกล้า</t>
  </si>
  <si>
    <t>ลำผักชี</t>
  </si>
  <si>
    <t>ลำหิน</t>
  </si>
  <si>
    <t>สุวินทวงศ์</t>
  </si>
  <si>
    <t>วังทองหลาง</t>
  </si>
  <si>
    <t>บางโพงพาง</t>
  </si>
  <si>
    <t>จักรวรรดิ</t>
  </si>
  <si>
    <t>ปทุมวัน</t>
  </si>
  <si>
    <t>พระราชวัง</t>
  </si>
  <si>
    <t>สำราญราษฎร์</t>
  </si>
  <si>
    <t>ตลิ่งชัน</t>
  </si>
  <si>
    <t>ท่าพระ</t>
  </si>
  <si>
    <t>ธรรมศาลา</t>
  </si>
  <si>
    <t>บางกอกใหญ่</t>
  </si>
  <si>
    <t>บางขุนนนท์</t>
  </si>
  <si>
    <t>บางเสาธง</t>
  </si>
  <si>
    <t>ศาลาแดง</t>
  </si>
  <si>
    <t>บวรมงคล</t>
  </si>
  <si>
    <t>ตลาดพลู</t>
  </si>
  <si>
    <t>ทุ่งครุ</t>
  </si>
  <si>
    <t>บางยี่เรือ</t>
  </si>
  <si>
    <t>บุคคโล</t>
  </si>
  <si>
    <t>สำเหร่</t>
  </si>
  <si>
    <t>ปากคลองสาน</t>
  </si>
  <si>
    <t>ภาษีเจริญ</t>
  </si>
  <si>
    <r>
      <t>จำแนกตาม กลุ่ม 1 - 5/</t>
    </r>
    <r>
      <rPr>
        <b/>
        <u/>
        <sz val="16"/>
        <color theme="1"/>
        <rFont val="TH SarabunPSK"/>
        <family val="2"/>
      </rPr>
      <t>เขต</t>
    </r>
  </si>
  <si>
    <t>ผลดำเนินงานต่อข้อร้องเรียน</t>
  </si>
  <si>
    <t>หักเรื่องซ้ำยอดรับเข้า</t>
  </si>
  <si>
    <t>ทวีวัฒนา</t>
  </si>
  <si>
    <t>นพวงศ์</t>
  </si>
  <si>
    <t>พระนคร</t>
  </si>
  <si>
    <t>ครอบครองเพื่อจำหน่าย</t>
  </si>
  <si>
    <t>สี่คูณร้อย</t>
  </si>
  <si>
    <t>ฝื่น</t>
  </si>
  <si>
    <t>ฝิ่น</t>
  </si>
  <si>
    <t>วัตถุออกฤทธิ์</t>
  </si>
  <si>
    <t>ประเภทสถานที่</t>
  </si>
  <si>
    <t>วัด</t>
  </si>
  <si>
    <t>สถานประกอบการ</t>
  </si>
  <si>
    <t>สถานบันเทิง/ร้านอาหาร</t>
  </si>
  <si>
    <t>พิกัด Y</t>
  </si>
  <si>
    <t>พิกัด X</t>
  </si>
  <si>
    <t>กลุ่มพื้นที่ สูตร</t>
  </si>
  <si>
    <t>ซ้ำในปีงบ</t>
  </si>
  <si>
    <t>แจ้งซ้ำในปีงบ</t>
  </si>
  <si>
    <t>คค เพื่อเสพ</t>
  </si>
  <si>
    <t xml:space="preserve"> </t>
  </si>
  <si>
    <t>พฤติการณ์ร้องเรียน</t>
  </si>
  <si>
    <t>ข้อหา (กรณีจับกุม)</t>
  </si>
  <si>
    <t>ครอบครองเพื่อเสพ</t>
  </si>
  <si>
    <t>ส่งหน่วยปฏิบัติ (จริง)</t>
  </si>
  <si>
    <t>เท่ากับระบบDN ตัดซ้ำ</t>
  </si>
  <si>
    <t>จำแนกตามพฤติการณ์ที่ร้องเรียน (บางเรื่องร้องพฤติการณ์มากกว่า 1)</t>
  </si>
  <si>
    <t>คค ซึ่งยาเสพติด</t>
  </si>
  <si>
    <t>การดำเนินงานต่อข้อร้องเรียนของประชาชน ปีงบประมาณ 2566</t>
  </si>
  <si>
    <t>แฮปปี้ วอเตอร์</t>
  </si>
  <si>
    <t>ไม่ส่ง</t>
  </si>
  <si>
    <t>อาการทางจิต</t>
  </si>
  <si>
    <t>รวมเรื่องซ้ำ</t>
  </si>
  <si>
    <t>ชุมชนเป้าหมาย 2567</t>
  </si>
  <si>
    <t>เป้าหมายชุมชน 357</t>
  </si>
  <si>
    <t>ชุมชนกองทุนแม่</t>
  </si>
  <si>
    <t>บก.น. 1</t>
  </si>
  <si>
    <t>บก.น. 2</t>
  </si>
  <si>
    <t>บก.น. 3</t>
  </si>
  <si>
    <t>บก.น. 4</t>
  </si>
  <si>
    <t>บก.น. 5</t>
  </si>
  <si>
    <t>บก.น. 6</t>
  </si>
  <si>
    <t>บก.น. 7</t>
  </si>
  <si>
    <t>บก.น. 8</t>
  </si>
  <si>
    <t>บก.น. 9</t>
  </si>
  <si>
    <t>รวมส่ง บช.น.</t>
  </si>
  <si>
    <t>รวมส่งบช.น.+สปพ.</t>
  </si>
  <si>
    <t>ข้อมูลจากระบบ DN ณ วันที่ 26 ธ.ค. 66 เวลา 16.30 น.</t>
  </si>
  <si>
    <t>บก.สส.</t>
  </si>
  <si>
    <t>บก.สปพ.</t>
  </si>
  <si>
    <t>เลขไม่ตรง</t>
  </si>
  <si>
    <r>
      <t xml:space="preserve"> จำแนกตาม กลุ่ม 1 - 5/</t>
    </r>
    <r>
      <rPr>
        <b/>
        <u/>
        <sz val="20"/>
        <color theme="1"/>
        <rFont val="TH SarabunPSK"/>
        <family val="2"/>
      </rPr>
      <t>สน.</t>
    </r>
    <r>
      <rPr>
        <b/>
        <sz val="20"/>
        <color theme="1"/>
        <rFont val="TH SarabunPSK"/>
        <family val="2"/>
      </rPr>
      <t xml:space="preserve"> </t>
    </r>
    <r>
      <rPr>
        <b/>
        <sz val="20"/>
        <color rgb="FFFF0000"/>
        <rFont val="TH SarabunPSK"/>
        <family val="2"/>
      </rPr>
      <t>ข้อมูลพิจารณาส่งหน่วยปฏิบัติถึง 13 เมษายน 2567</t>
    </r>
  </si>
  <si>
    <r>
      <t xml:space="preserve">จำแนกตาม บก.น.1 - 9/สปพ. </t>
    </r>
    <r>
      <rPr>
        <b/>
        <sz val="20"/>
        <color rgb="FFFF0000"/>
        <rFont val="TH SarabunPSK"/>
        <family val="2"/>
      </rPr>
      <t>ข้อมูลพิจารณาส่งหน่วยปฏิบัติถึง 23 เมษายน 2567</t>
    </r>
  </si>
  <si>
    <r>
      <t xml:space="preserve"> จำแนกตาม กลุ่ม 1 - 5/</t>
    </r>
    <r>
      <rPr>
        <b/>
        <u/>
        <sz val="16"/>
        <color theme="1"/>
        <rFont val="TH SarabunPSK"/>
        <family val="2"/>
      </rPr>
      <t>สน.</t>
    </r>
    <r>
      <rPr>
        <b/>
        <sz val="16"/>
        <color theme="1"/>
        <rFont val="TH SarabunPSK"/>
        <family val="2"/>
      </rPr>
      <t xml:space="preserve"> </t>
    </r>
    <r>
      <rPr>
        <b/>
        <sz val="16"/>
        <color rgb="FFFF0000"/>
        <rFont val="TH SarabunPSK"/>
        <family val="2"/>
      </rPr>
      <t xml:space="preserve">จำแนกพฤติการณ์ (กลุ่ม 1 - 3) ยอดรวม=รวมเรื่องซ้ำ / </t>
    </r>
    <r>
      <rPr>
        <b/>
        <u/>
        <sz val="16"/>
        <color rgb="FFFF0000"/>
        <rFont val="TH SarabunPSK"/>
        <family val="2"/>
      </rPr>
      <t>ยอด</t>
    </r>
    <r>
      <rPr>
        <b/>
        <sz val="16"/>
        <color rgb="FFFF0000"/>
        <rFont val="TH SarabunPSK"/>
        <family val="2"/>
      </rPr>
      <t>ผลดำเนินงาน-รอผล=ตัดเรื่องซ้ำ</t>
    </r>
    <r>
      <rPr>
        <b/>
        <sz val="16"/>
        <color theme="1"/>
        <rFont val="TH SarabunPSK"/>
        <family val="2"/>
      </rPr>
      <t xml:space="preserve"> </t>
    </r>
    <r>
      <rPr>
        <b/>
        <sz val="16"/>
        <color theme="8" tint="-0.249977111117893"/>
        <rFont val="TH SarabunPSK"/>
        <family val="2"/>
      </rPr>
      <t>(บำบัด-อาการทางจิต ข้อมูลถึง  2567)</t>
    </r>
  </si>
  <si>
    <t>ประเภท เจ้าหน้าที่รัฐ</t>
  </si>
  <si>
    <t>ส่งหน่วยปฏิบัติ (จากพิม บก.)</t>
  </si>
  <si>
    <t>รายละเอียดพฤติการณ์ กรองแล้ว (จากพิม บก.)</t>
  </si>
  <si>
    <r>
      <t xml:space="preserve">การดำเนินงานต่อข้อร้องเรียนของประชาชน ปีงบประมาณ 2567 ห้วง </t>
    </r>
    <r>
      <rPr>
        <b/>
        <sz val="16"/>
        <color rgb="FFFF0000"/>
        <rFont val="TH SarabunPSK"/>
        <family val="2"/>
      </rPr>
      <t>(1 ตุลาคม 2566 - 4 มิถุนายน 2567)</t>
    </r>
  </si>
  <si>
    <t>บำบัด/อาการทางจิต (จากพิม บก.)</t>
  </si>
  <si>
    <t>รหัสชุมชน (Nispa)</t>
  </si>
  <si>
    <t>การดำเนินงานต่อข้อร้องเรียนของประชาชน ปีงบประมาณ 2568</t>
  </si>
  <si>
    <r>
      <t xml:space="preserve">การดำเนินงานต่อข้อร้องเรียนของประชาชน ปีงบประมาณ 2568 ห้วง </t>
    </r>
    <r>
      <rPr>
        <b/>
        <sz val="20"/>
        <color rgb="FFFF0000"/>
        <rFont val="TH SarabunPSK"/>
        <family val="2"/>
      </rPr>
      <t>(1 ตุลาคม 2566 - 4 มิถุนายน 2567)</t>
    </r>
  </si>
  <si>
    <r>
      <t xml:space="preserve">การดำเนินงานต่อข้อร้องเรียนของประชาชน ปีงบประมาณ 2568 </t>
    </r>
    <r>
      <rPr>
        <b/>
        <sz val="16"/>
        <color rgb="FFFF0000"/>
        <rFont val="TH SarabunPSK"/>
        <family val="2"/>
      </rPr>
      <t>(ห้วง 1 ตุลาคม 2567 - 4 มิถุนายน 2567)</t>
    </r>
  </si>
  <si>
    <r>
      <t xml:space="preserve">การดำเนินงานต่อข้อร้องเรียนของประชาชนปีงบประมาณ 2568 </t>
    </r>
    <r>
      <rPr>
        <b/>
        <sz val="16"/>
        <color rgb="FFFF0000"/>
        <rFont val="TH SarabunPSK"/>
        <family val="2"/>
      </rPr>
      <t>ห้วง (1 ตุลาคม 2567 - 12 พฤศจิกายน 2567)</t>
    </r>
  </si>
  <si>
    <t>ฐานข้อมูลดิบเรื่องร้องเรียน ปีงบประมาณ 2569</t>
  </si>
  <si>
    <t>อื่น</t>
  </si>
  <si>
    <t>เสียชีวิต</t>
  </si>
  <si>
    <t>จำนวนครั้งร้องเรียน</t>
  </si>
  <si>
    <t xml:space="preserve">  </t>
  </si>
  <si>
    <r>
      <t xml:space="preserve">การดำเนินงานต่อข้อร้องเรียนของประชาชนปีงบประมาณ 2569 </t>
    </r>
    <r>
      <rPr>
        <b/>
        <sz val="16"/>
        <color rgb="FFFF0000"/>
        <rFont val="TH SarabunPSK"/>
        <family val="2"/>
      </rPr>
      <t>ห้วง (1 ตุลาคม 2568 -  31 พฤษภาคม 2569)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</si>
</sst>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8"/>
      <color indexed="8"/>
      <name val="TH SarabunPSK"/>
      <family val="2"/>
    </font>
    <font>
      <sz val="18"/>
      <color rgb="FFFF0000"/>
      <name val="TH SarabunPSK"/>
      <family val="2"/>
    </font>
    <font>
      <sz val="18"/>
      <name val="TH SarabunPSK"/>
      <family val="2"/>
    </font>
    <font>
      <b/>
      <sz val="18"/>
      <color indexed="8"/>
      <name val="TH SarabunPSK"/>
      <family val="2"/>
    </font>
    <font>
      <b/>
      <u/>
      <sz val="16"/>
      <color theme="1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2"/>
      <name val="TH SarabunPSK"/>
      <family val="2"/>
    </font>
    <font>
      <b/>
      <sz val="14"/>
      <name val="TH SarabunPSK"/>
      <family val="2"/>
    </font>
    <font>
      <b/>
      <u/>
      <sz val="20"/>
      <color theme="1"/>
      <name val="TH SarabunPSK"/>
      <family val="2"/>
    </font>
    <font>
      <sz val="8"/>
      <name val="Calibri"/>
      <family val="2"/>
      <scheme val="minor"/>
    </font>
    <font>
      <sz val="14"/>
      <name val="TH SarabunPSK"/>
      <family val="2"/>
    </font>
    <font>
      <b/>
      <sz val="16"/>
      <color rgb="FFFF0000"/>
      <name val="TH SarabunPSK"/>
      <family val="2"/>
    </font>
    <font>
      <b/>
      <sz val="20"/>
      <color rgb="FFFF0000"/>
      <name val="TH SarabunPSK"/>
      <family val="2"/>
    </font>
    <font>
      <sz val="14"/>
      <color rgb="FFFF0000"/>
      <name val="TH SarabunPSK"/>
      <family val="2"/>
    </font>
    <font>
      <b/>
      <u/>
      <sz val="16"/>
      <color rgb="FFFF0000"/>
      <name val="TH SarabunPSK"/>
      <family val="2"/>
    </font>
    <font>
      <b/>
      <sz val="16"/>
      <color theme="8" tint="-0.249977111117893"/>
      <name val="TH SarabunPSK"/>
      <family val="2"/>
    </font>
    <font>
      <sz val="16"/>
      <name val="TH SarabunPSK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2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4"/>
      <name val="Cordia New"/>
      <family val="2"/>
    </font>
    <font>
      <sz val="14"/>
      <color theme="1"/>
      <name val="TH SarabunPSK"/>
      <family val="2"/>
      <charset val="222"/>
    </font>
    <font>
      <sz val="14"/>
      <color rgb="FFFF0000"/>
      <name val="TH SarabunPSK"/>
      <family val="2"/>
      <charset val="222"/>
    </font>
    <font>
      <sz val="10"/>
      <color indexed="8"/>
      <name val="Tahoma"/>
      <family val="2"/>
    </font>
  </fonts>
  <fills count="5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252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5FF7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F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ABAD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4F0D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FAFA"/>
        <bgColor indexed="64"/>
      </patternFill>
    </fill>
    <fill>
      <patternFill patternType="solid">
        <fgColor rgb="FFAFD5F0"/>
        <bgColor indexed="64"/>
      </patternFill>
    </fill>
    <fill>
      <patternFill patternType="solid">
        <fgColor rgb="FFC8E6B2"/>
        <bgColor indexed="64"/>
      </patternFill>
    </fill>
    <fill>
      <patternFill patternType="solid">
        <fgColor rgb="FFBEE3BA"/>
        <bgColor indexed="64"/>
      </patternFill>
    </fill>
    <fill>
      <patternFill patternType="solid">
        <fgColor rgb="FFFEE7AA"/>
        <bgColor indexed="64"/>
      </patternFill>
    </fill>
    <fill>
      <patternFill patternType="solid">
        <fgColor rgb="FFFCF695"/>
        <bgColor indexed="64"/>
      </patternFill>
    </fill>
    <fill>
      <patternFill patternType="solid">
        <fgColor rgb="FFCFE0EB"/>
        <bgColor indexed="64"/>
      </patternFill>
    </fill>
    <fill>
      <patternFill patternType="solid">
        <fgColor rgb="FFFFB3C6"/>
        <bgColor indexed="64"/>
      </patternFill>
    </fill>
    <fill>
      <patternFill patternType="solid">
        <fgColor rgb="FFFFA778"/>
        <bgColor indexed="64"/>
      </patternFill>
    </fill>
    <fill>
      <patternFill patternType="solid">
        <fgColor rgb="FFFFC39B"/>
        <bgColor indexed="64"/>
      </patternFill>
    </fill>
    <fill>
      <patternFill patternType="solid">
        <fgColor rgb="FFFFC79C"/>
        <bgColor indexed="64"/>
      </patternFill>
    </fill>
    <fill>
      <patternFill patternType="solid">
        <fgColor rgb="FFFFD1AD"/>
        <bgColor indexed="64"/>
      </patternFill>
    </fill>
    <fill>
      <patternFill patternType="solid">
        <fgColor rgb="FFFF8986"/>
        <bgColor indexed="64"/>
      </patternFill>
    </fill>
    <fill>
      <patternFill patternType="solid">
        <fgColor rgb="FFF8DF95"/>
        <bgColor indexed="64"/>
      </patternFill>
    </fill>
    <fill>
      <patternFill patternType="solid">
        <fgColor rgb="FFFF0000"/>
        <bgColor indexed="64"/>
      </patternFill>
    </fill>
  </fills>
  <borders count="18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C00000"/>
      </left>
      <right style="thin">
        <color theme="1"/>
      </right>
      <top style="thin">
        <color rgb="FFC00000"/>
      </top>
      <bottom style="thin">
        <color rgb="FFC00000"/>
      </bottom>
      <diagonal/>
    </border>
    <border>
      <left/>
      <right style="thin">
        <color theme="1"/>
      </right>
      <top style="thin">
        <color rgb="FFC00000"/>
      </top>
      <bottom/>
      <diagonal/>
    </border>
    <border>
      <left/>
      <right style="thin">
        <color theme="1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/>
      <bottom style="thin">
        <color rgb="FFFF0000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rgb="FFC00000"/>
      </left>
      <right/>
      <top/>
      <bottom/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rgb="FFFF0000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/>
      <right style="thin">
        <color rgb="FFC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rgb="FFFF0000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/>
      <bottom style="thin">
        <color rgb="FFFF0000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theme="1"/>
      </bottom>
      <diagonal/>
    </border>
    <border>
      <left/>
      <right style="thin">
        <color indexed="64"/>
      </right>
      <top style="thin">
        <color rgb="FFFF0000"/>
      </top>
      <bottom style="thin">
        <color theme="1"/>
      </bottom>
      <diagonal/>
    </border>
    <border>
      <left/>
      <right style="thin">
        <color rgb="FFC00000"/>
      </right>
      <top style="thin">
        <color indexed="64"/>
      </top>
      <bottom/>
      <diagonal/>
    </border>
  </borders>
  <cellStyleXfs count="26">
    <xf numFmtId="0" fontId="0" fillId="0" borderId="0"/>
    <xf numFmtId="0" fontId="3" fillId="0" borderId="0"/>
    <xf numFmtId="0" fontId="18" fillId="0" borderId="0"/>
    <xf numFmtId="0" fontId="30" fillId="0" borderId="0"/>
    <xf numFmtId="0" fontId="2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" fillId="0" borderId="0"/>
    <xf numFmtId="0" fontId="31" fillId="0" borderId="0"/>
    <xf numFmtId="0" fontId="2" fillId="0" borderId="0"/>
    <xf numFmtId="0" fontId="3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0" fillId="0" borderId="0"/>
    <xf numFmtId="0" fontId="34" fillId="0" borderId="0"/>
    <xf numFmtId="0" fontId="2" fillId="0" borderId="0"/>
    <xf numFmtId="0" fontId="1" fillId="0" borderId="0"/>
    <xf numFmtId="0" fontId="37" fillId="0" borderId="0"/>
  </cellStyleXfs>
  <cellXfs count="865">
    <xf numFmtId="0" fontId="0" fillId="0" borderId="0" xfId="0"/>
    <xf numFmtId="0" fontId="6" fillId="4" borderId="7" xfId="1" applyFont="1" applyFill="1" applyBorder="1" applyAlignment="1">
      <alignment horizontal="center" vertical="distributed" wrapText="1" shrinkToFit="1"/>
    </xf>
    <xf numFmtId="0" fontId="6" fillId="4" borderId="8" xfId="1" applyFont="1" applyFill="1" applyBorder="1" applyAlignment="1">
      <alignment horizontal="center" vertical="distributed" wrapText="1" shrinkToFit="1"/>
    </xf>
    <xf numFmtId="0" fontId="6" fillId="4" borderId="9" xfId="1" applyFont="1" applyFill="1" applyBorder="1" applyAlignment="1">
      <alignment horizontal="center" vertical="distributed" wrapText="1" shrinkToFit="1"/>
    </xf>
    <xf numFmtId="0" fontId="6" fillId="4" borderId="4" xfId="1" applyFont="1" applyFill="1" applyBorder="1" applyAlignment="1">
      <alignment horizontal="center" vertical="center" wrapText="1" shrinkToFit="1"/>
    </xf>
    <xf numFmtId="1" fontId="6" fillId="4" borderId="4" xfId="1" applyNumberFormat="1" applyFont="1" applyFill="1" applyBorder="1" applyAlignment="1">
      <alignment horizontal="left" vertical="distributed" wrapText="1" shrinkToFit="1"/>
    </xf>
    <xf numFmtId="0" fontId="6" fillId="4" borderId="4" xfId="1" applyFont="1" applyFill="1" applyBorder="1" applyAlignment="1">
      <alignment vertical="distributed" wrapText="1" shrinkToFit="1"/>
    </xf>
    <xf numFmtId="164" fontId="6" fillId="4" borderId="4" xfId="1" applyNumberFormat="1" applyFont="1" applyFill="1" applyBorder="1" applyAlignment="1">
      <alignment vertical="distributed" wrapText="1" shrinkToFit="1"/>
    </xf>
    <xf numFmtId="1" fontId="6" fillId="4" borderId="4" xfId="1" applyNumberFormat="1" applyFont="1" applyFill="1" applyBorder="1" applyAlignment="1">
      <alignment vertical="distributed" wrapText="1" shrinkToFit="1"/>
    </xf>
    <xf numFmtId="0" fontId="6" fillId="4" borderId="4" xfId="1" applyFont="1" applyFill="1" applyBorder="1" applyAlignment="1">
      <alignment horizontal="center" vertical="distributed" wrapText="1" shrinkToFit="1"/>
    </xf>
    <xf numFmtId="0" fontId="8" fillId="0" borderId="0" xfId="1" applyFont="1"/>
    <xf numFmtId="0" fontId="10" fillId="0" borderId="34" xfId="1" applyFont="1" applyBorder="1" applyAlignment="1">
      <alignment horizontal="center" vertical="center"/>
    </xf>
    <xf numFmtId="3" fontId="9" fillId="0" borderId="35" xfId="1" applyNumberFormat="1" applyFont="1" applyBorder="1"/>
    <xf numFmtId="3" fontId="9" fillId="0" borderId="36" xfId="1" applyNumberFormat="1" applyFont="1" applyBorder="1"/>
    <xf numFmtId="3" fontId="9" fillId="0" borderId="37" xfId="1" applyNumberFormat="1" applyFont="1" applyBorder="1"/>
    <xf numFmtId="3" fontId="9" fillId="0" borderId="38" xfId="1" applyNumberFormat="1" applyFont="1" applyBorder="1"/>
    <xf numFmtId="3" fontId="9" fillId="0" borderId="30" xfId="1" applyNumberFormat="1" applyFont="1" applyBorder="1"/>
    <xf numFmtId="4" fontId="9" fillId="0" borderId="31" xfId="1" applyNumberFormat="1" applyFont="1" applyBorder="1"/>
    <xf numFmtId="3" fontId="11" fillId="0" borderId="39" xfId="1" applyNumberFormat="1" applyFont="1" applyBorder="1"/>
    <xf numFmtId="3" fontId="8" fillId="0" borderId="0" xfId="1" applyNumberFormat="1" applyFont="1"/>
    <xf numFmtId="0" fontId="12" fillId="0" borderId="40" xfId="1" applyFont="1" applyBorder="1" applyAlignment="1">
      <alignment horizontal="center" vertical="center"/>
    </xf>
    <xf numFmtId="3" fontId="11" fillId="0" borderId="41" xfId="1" applyNumberFormat="1" applyFont="1" applyBorder="1"/>
    <xf numFmtId="3" fontId="11" fillId="0" borderId="42" xfId="1" applyNumberFormat="1" applyFont="1" applyBorder="1"/>
    <xf numFmtId="3" fontId="11" fillId="0" borderId="43" xfId="1" applyNumberFormat="1" applyFont="1" applyBorder="1"/>
    <xf numFmtId="4" fontId="11" fillId="0" borderId="43" xfId="1" applyNumberFormat="1" applyFont="1" applyBorder="1"/>
    <xf numFmtId="3" fontId="11" fillId="0" borderId="44" xfId="1" applyNumberFormat="1" applyFont="1" applyBorder="1"/>
    <xf numFmtId="0" fontId="12" fillId="0" borderId="45" xfId="1" applyFont="1" applyBorder="1" applyAlignment="1">
      <alignment horizontal="center" vertical="center"/>
    </xf>
    <xf numFmtId="3" fontId="11" fillId="0" borderId="46" xfId="1" applyNumberFormat="1" applyFont="1" applyBorder="1"/>
    <xf numFmtId="3" fontId="11" fillId="0" borderId="15" xfId="1" applyNumberFormat="1" applyFont="1" applyBorder="1"/>
    <xf numFmtId="3" fontId="11" fillId="0" borderId="47" xfId="1" applyNumberFormat="1" applyFont="1" applyBorder="1"/>
    <xf numFmtId="4" fontId="11" fillId="0" borderId="47" xfId="1" applyNumberFormat="1" applyFont="1" applyBorder="1"/>
    <xf numFmtId="3" fontId="11" fillId="0" borderId="48" xfId="1" applyNumberFormat="1" applyFont="1" applyBorder="1"/>
    <xf numFmtId="0" fontId="12" fillId="4" borderId="49" xfId="1" applyFont="1" applyFill="1" applyBorder="1" applyAlignment="1">
      <alignment horizontal="center" vertical="center"/>
    </xf>
    <xf numFmtId="3" fontId="11" fillId="4" borderId="50" xfId="1" applyNumberFormat="1" applyFont="1" applyFill="1" applyBorder="1"/>
    <xf numFmtId="3" fontId="11" fillId="4" borderId="51" xfId="1" applyNumberFormat="1" applyFont="1" applyFill="1" applyBorder="1"/>
    <xf numFmtId="3" fontId="11" fillId="4" borderId="52" xfId="1" applyNumberFormat="1" applyFont="1" applyFill="1" applyBorder="1"/>
    <xf numFmtId="4" fontId="11" fillId="4" borderId="52" xfId="1" applyNumberFormat="1" applyFont="1" applyFill="1" applyBorder="1"/>
    <xf numFmtId="3" fontId="11" fillId="4" borderId="53" xfId="1" applyNumberFormat="1" applyFont="1" applyFill="1" applyBorder="1"/>
    <xf numFmtId="3" fontId="11" fillId="0" borderId="51" xfId="1" applyNumberFormat="1" applyFont="1" applyBorder="1"/>
    <xf numFmtId="0" fontId="8" fillId="4" borderId="0" xfId="1" applyFont="1" applyFill="1"/>
    <xf numFmtId="3" fontId="8" fillId="4" borderId="0" xfId="1" applyNumberFormat="1" applyFont="1" applyFill="1"/>
    <xf numFmtId="0" fontId="6" fillId="0" borderId="0" xfId="1" applyFont="1"/>
    <xf numFmtId="0" fontId="11" fillId="0" borderId="0" xfId="1" applyFont="1"/>
    <xf numFmtId="0" fontId="12" fillId="4" borderId="40" xfId="1" applyFont="1" applyFill="1" applyBorder="1" applyAlignment="1">
      <alignment horizontal="center" vertical="center"/>
    </xf>
    <xf numFmtId="3" fontId="11" fillId="4" borderId="41" xfId="1" applyNumberFormat="1" applyFont="1" applyFill="1" applyBorder="1"/>
    <xf numFmtId="3" fontId="11" fillId="4" borderId="42" xfId="1" applyNumberFormat="1" applyFont="1" applyFill="1" applyBorder="1"/>
    <xf numFmtId="3" fontId="11" fillId="4" borderId="43" xfId="1" applyNumberFormat="1" applyFont="1" applyFill="1" applyBorder="1"/>
    <xf numFmtId="3" fontId="11" fillId="4" borderId="42" xfId="1" applyNumberFormat="1" applyFont="1" applyFill="1" applyBorder="1" applyAlignment="1">
      <alignment vertical="top" wrapText="1"/>
    </xf>
    <xf numFmtId="4" fontId="11" fillId="4" borderId="43" xfId="1" applyNumberFormat="1" applyFont="1" applyFill="1" applyBorder="1"/>
    <xf numFmtId="0" fontId="14" fillId="4" borderId="45" xfId="1" applyFont="1" applyFill="1" applyBorder="1" applyAlignment="1">
      <alignment horizontal="center" vertical="center"/>
    </xf>
    <xf numFmtId="3" fontId="14" fillId="4" borderId="46" xfId="1" applyNumberFormat="1" applyFont="1" applyFill="1" applyBorder="1"/>
    <xf numFmtId="3" fontId="14" fillId="4" borderId="15" xfId="1" applyNumberFormat="1" applyFont="1" applyFill="1" applyBorder="1"/>
    <xf numFmtId="3" fontId="14" fillId="4" borderId="47" xfId="1" applyNumberFormat="1" applyFont="1" applyFill="1" applyBorder="1"/>
    <xf numFmtId="4" fontId="14" fillId="4" borderId="47" xfId="1" applyNumberFormat="1" applyFont="1" applyFill="1" applyBorder="1"/>
    <xf numFmtId="0" fontId="14" fillId="4" borderId="0" xfId="1" applyFont="1" applyFill="1"/>
    <xf numFmtId="0" fontId="14" fillId="0" borderId="0" xfId="1" applyFont="1"/>
    <xf numFmtId="0" fontId="14" fillId="4" borderId="57" xfId="1" applyFont="1" applyFill="1" applyBorder="1" applyAlignment="1">
      <alignment horizontal="center" vertical="center"/>
    </xf>
    <xf numFmtId="3" fontId="14" fillId="4" borderId="41" xfId="1" applyNumberFormat="1" applyFont="1" applyFill="1" applyBorder="1"/>
    <xf numFmtId="3" fontId="14" fillId="4" borderId="42" xfId="1" applyNumberFormat="1" applyFont="1" applyFill="1" applyBorder="1"/>
    <xf numFmtId="3" fontId="14" fillId="4" borderId="43" xfId="1" applyNumberFormat="1" applyFont="1" applyFill="1" applyBorder="1"/>
    <xf numFmtId="4" fontId="14" fillId="4" borderId="43" xfId="1" applyNumberFormat="1" applyFont="1" applyFill="1" applyBorder="1"/>
    <xf numFmtId="0" fontId="12" fillId="4" borderId="57" xfId="1" applyFont="1" applyFill="1" applyBorder="1" applyAlignment="1">
      <alignment horizontal="center" vertical="center"/>
    </xf>
    <xf numFmtId="0" fontId="11" fillId="4" borderId="0" xfId="1" applyFont="1" applyFill="1"/>
    <xf numFmtId="0" fontId="12" fillId="4" borderId="45" xfId="1" applyFont="1" applyFill="1" applyBorder="1" applyAlignment="1">
      <alignment horizontal="center" vertical="center"/>
    </xf>
    <xf numFmtId="3" fontId="11" fillId="4" borderId="58" xfId="1" applyNumberFormat="1" applyFont="1" applyFill="1" applyBorder="1"/>
    <xf numFmtId="0" fontId="15" fillId="4" borderId="49" xfId="1" applyFont="1" applyFill="1" applyBorder="1" applyAlignment="1">
      <alignment horizontal="center" vertical="center"/>
    </xf>
    <xf numFmtId="3" fontId="9" fillId="4" borderId="59" xfId="1" applyNumberFormat="1" applyFont="1" applyFill="1" applyBorder="1"/>
    <xf numFmtId="3" fontId="9" fillId="4" borderId="51" xfId="1" applyNumberFormat="1" applyFont="1" applyFill="1" applyBorder="1"/>
    <xf numFmtId="3" fontId="9" fillId="4" borderId="52" xfId="1" applyNumberFormat="1" applyFont="1" applyFill="1" applyBorder="1"/>
    <xf numFmtId="4" fontId="9" fillId="4" borderId="52" xfId="1" applyNumberFormat="1" applyFont="1" applyFill="1" applyBorder="1"/>
    <xf numFmtId="3" fontId="9" fillId="4" borderId="50" xfId="1" applyNumberFormat="1" applyFont="1" applyFill="1" applyBorder="1"/>
    <xf numFmtId="0" fontId="4" fillId="0" borderId="0" xfId="1" applyFont="1"/>
    <xf numFmtId="0" fontId="4" fillId="0" borderId="16" xfId="1" applyFont="1" applyBorder="1" applyAlignment="1">
      <alignment horizontal="left"/>
    </xf>
    <xf numFmtId="0" fontId="4" fillId="0" borderId="66" xfId="1" applyFont="1" applyBorder="1" applyAlignment="1">
      <alignment horizontal="left"/>
    </xf>
    <xf numFmtId="3" fontId="4" fillId="0" borderId="72" xfId="1" applyNumberFormat="1" applyFont="1" applyBorder="1" applyAlignment="1">
      <alignment horizontal="right"/>
    </xf>
    <xf numFmtId="3" fontId="4" fillId="0" borderId="30" xfId="1" applyNumberFormat="1" applyFont="1" applyBorder="1" applyAlignment="1">
      <alignment horizontal="right"/>
    </xf>
    <xf numFmtId="3" fontId="4" fillId="0" borderId="73" xfId="1" applyNumberFormat="1" applyFont="1" applyBorder="1" applyAlignment="1">
      <alignment horizontal="right"/>
    </xf>
    <xf numFmtId="3" fontId="4" fillId="0" borderId="38" xfId="1" applyNumberFormat="1" applyFont="1" applyBorder="1" applyAlignment="1">
      <alignment horizontal="right"/>
    </xf>
    <xf numFmtId="3" fontId="4" fillId="0" borderId="33" xfId="1" applyNumberFormat="1" applyFont="1" applyBorder="1" applyAlignment="1">
      <alignment horizontal="right"/>
    </xf>
    <xf numFmtId="3" fontId="4" fillId="0" borderId="33" xfId="1" applyNumberFormat="1" applyFont="1" applyBorder="1"/>
    <xf numFmtId="0" fontId="8" fillId="0" borderId="54" xfId="1" applyFont="1" applyBorder="1" applyAlignment="1">
      <alignment horizontal="left"/>
    </xf>
    <xf numFmtId="0" fontId="4" fillId="0" borderId="62" xfId="1" applyFont="1" applyBorder="1" applyAlignment="1">
      <alignment horizontal="left"/>
    </xf>
    <xf numFmtId="3" fontId="4" fillId="5" borderId="75" xfId="1" applyNumberFormat="1" applyFont="1" applyFill="1" applyBorder="1" applyAlignment="1">
      <alignment horizontal="right"/>
    </xf>
    <xf numFmtId="3" fontId="4" fillId="5" borderId="76" xfId="1" applyNumberFormat="1" applyFont="1" applyFill="1" applyBorder="1" applyAlignment="1">
      <alignment horizontal="right"/>
    </xf>
    <xf numFmtId="3" fontId="4" fillId="0" borderId="76" xfId="1" applyNumberFormat="1" applyFont="1" applyBorder="1" applyAlignment="1">
      <alignment horizontal="right"/>
    </xf>
    <xf numFmtId="3" fontId="4" fillId="0" borderId="77" xfId="1" applyNumberFormat="1" applyFont="1" applyBorder="1" applyAlignment="1">
      <alignment horizontal="right"/>
    </xf>
    <xf numFmtId="3" fontId="4" fillId="5" borderId="61" xfId="1" applyNumberFormat="1" applyFont="1" applyFill="1" applyBorder="1" applyAlignment="1">
      <alignment horizontal="right"/>
    </xf>
    <xf numFmtId="3" fontId="4" fillId="0" borderId="78" xfId="1" applyNumberFormat="1" applyFont="1" applyBorder="1" applyAlignment="1">
      <alignment horizontal="right"/>
    </xf>
    <xf numFmtId="3" fontId="4" fillId="0" borderId="39" xfId="1" applyNumberFormat="1" applyFont="1" applyBorder="1"/>
    <xf numFmtId="0" fontId="8" fillId="0" borderId="35" xfId="1" applyFont="1" applyBorder="1" applyAlignment="1">
      <alignment horizontal="center"/>
    </xf>
    <xf numFmtId="0" fontId="8" fillId="0" borderId="79" xfId="1" applyFont="1" applyBorder="1"/>
    <xf numFmtId="3" fontId="8" fillId="0" borderId="80" xfId="1" applyNumberFormat="1" applyFont="1" applyBorder="1"/>
    <xf numFmtId="3" fontId="8" fillId="0" borderId="36" xfId="1" applyNumberFormat="1" applyFont="1" applyBorder="1"/>
    <xf numFmtId="3" fontId="8" fillId="5" borderId="36" xfId="1" applyNumberFormat="1" applyFont="1" applyFill="1" applyBorder="1"/>
    <xf numFmtId="3" fontId="8" fillId="0" borderId="77" xfId="1" applyNumberFormat="1" applyFont="1" applyBorder="1"/>
    <xf numFmtId="3" fontId="8" fillId="0" borderId="35" xfId="1" applyNumberFormat="1" applyFont="1" applyBorder="1"/>
    <xf numFmtId="3" fontId="8" fillId="0" borderId="78" xfId="1" applyNumberFormat="1" applyFont="1" applyBorder="1"/>
    <xf numFmtId="3" fontId="4" fillId="0" borderId="78" xfId="1" applyNumberFormat="1" applyFont="1" applyBorder="1"/>
    <xf numFmtId="0" fontId="8" fillId="0" borderId="41" xfId="1" applyFont="1" applyBorder="1" applyAlignment="1">
      <alignment horizontal="center"/>
    </xf>
    <xf numFmtId="0" fontId="8" fillId="0" borderId="81" xfId="1" applyFont="1" applyBorder="1"/>
    <xf numFmtId="3" fontId="8" fillId="0" borderId="82" xfId="1" applyNumberFormat="1" applyFont="1" applyBorder="1"/>
    <xf numFmtId="3" fontId="8" fillId="0" borderId="42" xfId="1" applyNumberFormat="1" applyFont="1" applyBorder="1"/>
    <xf numFmtId="3" fontId="8" fillId="5" borderId="42" xfId="1" applyNumberFormat="1" applyFont="1" applyFill="1" applyBorder="1"/>
    <xf numFmtId="3" fontId="8" fillId="0" borderId="83" xfId="1" applyNumberFormat="1" applyFont="1" applyBorder="1"/>
    <xf numFmtId="3" fontId="8" fillId="0" borderId="41" xfId="1" applyNumberFormat="1" applyFont="1" applyBorder="1"/>
    <xf numFmtId="3" fontId="8" fillId="0" borderId="84" xfId="1" applyNumberFormat="1" applyFont="1" applyBorder="1"/>
    <xf numFmtId="3" fontId="4" fillId="0" borderId="85" xfId="1" applyNumberFormat="1" applyFont="1" applyBorder="1"/>
    <xf numFmtId="0" fontId="8" fillId="0" borderId="46" xfId="1" applyFont="1" applyBorder="1" applyAlignment="1">
      <alignment horizontal="center"/>
    </xf>
    <xf numFmtId="0" fontId="8" fillId="0" borderId="86" xfId="1" applyFont="1" applyBorder="1"/>
    <xf numFmtId="3" fontId="8" fillId="0" borderId="15" xfId="1" applyNumberFormat="1" applyFont="1" applyBorder="1"/>
    <xf numFmtId="3" fontId="4" fillId="0" borderId="48" xfId="1" applyNumberFormat="1" applyFont="1" applyBorder="1"/>
    <xf numFmtId="0" fontId="8" fillId="0" borderId="87" xfId="1" applyFont="1" applyBorder="1" applyAlignment="1">
      <alignment horizontal="center"/>
    </xf>
    <xf numFmtId="0" fontId="8" fillId="0" borderId="88" xfId="1" applyFont="1" applyBorder="1"/>
    <xf numFmtId="3" fontId="8" fillId="0" borderId="89" xfId="1" applyNumberFormat="1" applyFont="1" applyBorder="1"/>
    <xf numFmtId="3" fontId="8" fillId="0" borderId="5" xfId="1" applyNumberFormat="1" applyFont="1" applyBorder="1"/>
    <xf numFmtId="3" fontId="8" fillId="5" borderId="5" xfId="1" applyNumberFormat="1" applyFont="1" applyFill="1" applyBorder="1"/>
    <xf numFmtId="3" fontId="8" fillId="0" borderId="1" xfId="1" applyNumberFormat="1" applyFont="1" applyBorder="1"/>
    <xf numFmtId="3" fontId="8" fillId="0" borderId="90" xfId="1" applyNumberFormat="1" applyFont="1" applyBorder="1"/>
    <xf numFmtId="3" fontId="4" fillId="0" borderId="91" xfId="1" applyNumberFormat="1" applyFont="1" applyBorder="1"/>
    <xf numFmtId="3" fontId="4" fillId="0" borderId="44" xfId="1" applyNumberFormat="1" applyFont="1" applyBorder="1"/>
    <xf numFmtId="3" fontId="8" fillId="0" borderId="92" xfId="1" applyNumberFormat="1" applyFont="1" applyBorder="1"/>
    <xf numFmtId="3" fontId="8" fillId="5" borderId="90" xfId="1" applyNumberFormat="1" applyFont="1" applyFill="1" applyBorder="1"/>
    <xf numFmtId="3" fontId="8" fillId="0" borderId="93" xfId="1" applyNumberFormat="1" applyFont="1" applyBorder="1"/>
    <xf numFmtId="3" fontId="8" fillId="0" borderId="87" xfId="1" applyNumberFormat="1" applyFont="1" applyBorder="1"/>
    <xf numFmtId="3" fontId="8" fillId="0" borderId="94" xfId="1" applyNumberFormat="1" applyFont="1" applyBorder="1"/>
    <xf numFmtId="3" fontId="4" fillId="0" borderId="95" xfId="1" applyNumberFormat="1" applyFont="1" applyBorder="1"/>
    <xf numFmtId="0" fontId="8" fillId="0" borderId="0" xfId="1" applyFont="1" applyAlignment="1">
      <alignment horizontal="center"/>
    </xf>
    <xf numFmtId="0" fontId="4" fillId="0" borderId="71" xfId="1" applyFont="1" applyBorder="1" applyAlignment="1">
      <alignment horizontal="left"/>
    </xf>
    <xf numFmtId="3" fontId="4" fillId="0" borderId="16" xfId="1" applyNumberFormat="1" applyFont="1" applyBorder="1"/>
    <xf numFmtId="3" fontId="4" fillId="0" borderId="0" xfId="1" applyNumberFormat="1" applyFont="1"/>
    <xf numFmtId="0" fontId="8" fillId="0" borderId="35" xfId="1" applyFont="1" applyBorder="1" applyAlignment="1">
      <alignment horizontal="left"/>
    </xf>
    <xf numFmtId="3" fontId="8" fillId="0" borderId="36" xfId="1" applyNumberFormat="1" applyFont="1" applyBorder="1" applyAlignment="1">
      <alignment horizontal="right"/>
    </xf>
    <xf numFmtId="3" fontId="8" fillId="0" borderId="35" xfId="1" applyNumberFormat="1" applyFont="1" applyBorder="1" applyAlignment="1">
      <alignment horizontal="right"/>
    </xf>
    <xf numFmtId="3" fontId="8" fillId="0" borderId="39" xfId="1" applyNumberFormat="1" applyFont="1" applyBorder="1" applyAlignment="1">
      <alignment horizontal="right"/>
    </xf>
    <xf numFmtId="3" fontId="4" fillId="0" borderId="54" xfId="1" applyNumberFormat="1" applyFont="1" applyBorder="1"/>
    <xf numFmtId="3" fontId="4" fillId="3" borderId="0" xfId="1" applyNumberFormat="1" applyFont="1" applyFill="1"/>
    <xf numFmtId="0" fontId="8" fillId="0" borderId="41" xfId="1" applyFont="1" applyBorder="1" applyAlignment="1">
      <alignment horizontal="left"/>
    </xf>
    <xf numFmtId="0" fontId="8" fillId="0" borderId="83" xfId="1" applyFont="1" applyBorder="1" applyAlignment="1">
      <alignment horizontal="left"/>
    </xf>
    <xf numFmtId="3" fontId="8" fillId="0" borderId="42" xfId="1" applyNumberFormat="1" applyFont="1" applyBorder="1" applyAlignment="1">
      <alignment horizontal="right"/>
    </xf>
    <xf numFmtId="3" fontId="8" fillId="0" borderId="83" xfId="1" applyNumberFormat="1" applyFont="1" applyBorder="1" applyAlignment="1">
      <alignment horizontal="right"/>
    </xf>
    <xf numFmtId="3" fontId="8" fillId="0" borderId="41" xfId="1" applyNumberFormat="1" applyFont="1" applyBorder="1" applyAlignment="1">
      <alignment horizontal="right"/>
    </xf>
    <xf numFmtId="3" fontId="8" fillId="0" borderId="44" xfId="1" applyNumberFormat="1" applyFont="1" applyBorder="1" applyAlignment="1">
      <alignment horizontal="right"/>
    </xf>
    <xf numFmtId="0" fontId="8" fillId="0" borderId="41" xfId="1" applyFont="1" applyBorder="1"/>
    <xf numFmtId="0" fontId="8" fillId="0" borderId="100" xfId="1" applyFont="1" applyBorder="1"/>
    <xf numFmtId="3" fontId="8" fillId="0" borderId="15" xfId="1" applyNumberFormat="1" applyFont="1" applyBorder="1" applyAlignment="1">
      <alignment horizontal="right"/>
    </xf>
    <xf numFmtId="3" fontId="8" fillId="0" borderId="104" xfId="1" applyNumberFormat="1" applyFont="1" applyBorder="1"/>
    <xf numFmtId="3" fontId="8" fillId="0" borderId="46" xfId="1" applyNumberFormat="1" applyFont="1" applyBorder="1" applyAlignment="1">
      <alignment horizontal="right"/>
    </xf>
    <xf numFmtId="3" fontId="8" fillId="0" borderId="48" xfId="1" applyNumberFormat="1" applyFont="1" applyBorder="1" applyAlignment="1">
      <alignment horizontal="right"/>
    </xf>
    <xf numFmtId="0" fontId="8" fillId="0" borderId="46" xfId="1" applyFont="1" applyBorder="1"/>
    <xf numFmtId="0" fontId="8" fillId="0" borderId="104" xfId="1" applyFont="1" applyBorder="1"/>
    <xf numFmtId="0" fontId="8" fillId="0" borderId="87" xfId="1" applyFont="1" applyBorder="1"/>
    <xf numFmtId="0" fontId="8" fillId="0" borderId="93" xfId="1" applyFont="1" applyBorder="1"/>
    <xf numFmtId="3" fontId="8" fillId="0" borderId="90" xfId="1" applyNumberFormat="1" applyFont="1" applyBorder="1" applyAlignment="1">
      <alignment horizontal="right"/>
    </xf>
    <xf numFmtId="3" fontId="8" fillId="0" borderId="87" xfId="1" applyNumberFormat="1" applyFont="1" applyBorder="1" applyAlignment="1">
      <alignment horizontal="right"/>
    </xf>
    <xf numFmtId="3" fontId="8" fillId="0" borderId="91" xfId="1" applyNumberFormat="1" applyFont="1" applyBorder="1" applyAlignment="1">
      <alignment horizontal="right"/>
    </xf>
    <xf numFmtId="0" fontId="8" fillId="0" borderId="38" xfId="1" applyFont="1" applyBorder="1"/>
    <xf numFmtId="0" fontId="8" fillId="0" borderId="73" xfId="1" applyFont="1" applyBorder="1"/>
    <xf numFmtId="3" fontId="8" fillId="0" borderId="94" xfId="1" applyNumberFormat="1" applyFont="1" applyBorder="1" applyAlignment="1">
      <alignment horizontal="right"/>
    </xf>
    <xf numFmtId="3" fontId="8" fillId="0" borderId="106" xfId="1" applyNumberFormat="1" applyFont="1" applyBorder="1"/>
    <xf numFmtId="3" fontId="8" fillId="0" borderId="102" xfId="1" applyNumberFormat="1" applyFont="1" applyBorder="1" applyAlignment="1">
      <alignment horizontal="right"/>
    </xf>
    <xf numFmtId="3" fontId="8" fillId="0" borderId="95" xfId="1" applyNumberFormat="1" applyFont="1" applyBorder="1" applyAlignment="1">
      <alignment horizontal="right"/>
    </xf>
    <xf numFmtId="0" fontId="8" fillId="0" borderId="38" xfId="1" applyFont="1" applyBorder="1" applyAlignment="1">
      <alignment horizontal="left"/>
    </xf>
    <xf numFmtId="0" fontId="8" fillId="0" borderId="73" xfId="1" applyFont="1" applyBorder="1" applyAlignment="1">
      <alignment horizontal="left"/>
    </xf>
    <xf numFmtId="3" fontId="8" fillId="0" borderId="77" xfId="1" applyNumberFormat="1" applyFont="1" applyBorder="1" applyAlignment="1">
      <alignment horizontal="right"/>
    </xf>
    <xf numFmtId="3" fontId="8" fillId="0" borderId="38" xfId="1" applyNumberFormat="1" applyFont="1" applyBorder="1" applyAlignment="1">
      <alignment horizontal="right"/>
    </xf>
    <xf numFmtId="0" fontId="8" fillId="0" borderId="1" xfId="1" applyFont="1" applyBorder="1" applyAlignment="1">
      <alignment horizontal="left"/>
    </xf>
    <xf numFmtId="0" fontId="8" fillId="0" borderId="100" xfId="1" applyFont="1" applyBorder="1" applyAlignment="1">
      <alignment horizontal="left"/>
    </xf>
    <xf numFmtId="0" fontId="8" fillId="0" borderId="83" xfId="1" applyFont="1" applyBorder="1"/>
    <xf numFmtId="0" fontId="8" fillId="0" borderId="1" xfId="1" applyFont="1" applyBorder="1"/>
    <xf numFmtId="0" fontId="8" fillId="0" borderId="77" xfId="1" applyFont="1" applyBorder="1" applyAlignment="1">
      <alignment horizontal="left"/>
    </xf>
    <xf numFmtId="0" fontId="8" fillId="0" borderId="107" xfId="1" applyFont="1" applyBorder="1" applyAlignment="1">
      <alignment horizontal="left"/>
    </xf>
    <xf numFmtId="0" fontId="8" fillId="0" borderId="104" xfId="1" applyFont="1" applyBorder="1" applyAlignment="1">
      <alignment horizontal="left"/>
    </xf>
    <xf numFmtId="0" fontId="8" fillId="0" borderId="106" xfId="1" applyFont="1" applyBorder="1" applyAlignment="1">
      <alignment horizontal="left"/>
    </xf>
    <xf numFmtId="0" fontId="8" fillId="0" borderId="96" xfId="1" applyFont="1" applyBorder="1" applyAlignment="1">
      <alignment horizontal="left"/>
    </xf>
    <xf numFmtId="0" fontId="8" fillId="0" borderId="102" xfId="1" applyFont="1" applyBorder="1"/>
    <xf numFmtId="0" fontId="8" fillId="0" borderId="35" xfId="1" applyFont="1" applyBorder="1"/>
    <xf numFmtId="3" fontId="8" fillId="0" borderId="39" xfId="1" applyNumberFormat="1" applyFont="1" applyBorder="1"/>
    <xf numFmtId="0" fontId="8" fillId="0" borderId="93" xfId="1" applyFont="1" applyBorder="1" applyAlignment="1">
      <alignment horizontal="left"/>
    </xf>
    <xf numFmtId="3" fontId="8" fillId="0" borderId="84" xfId="1" applyNumberFormat="1" applyFont="1" applyBorder="1" applyAlignment="1">
      <alignment horizontal="right"/>
    </xf>
    <xf numFmtId="3" fontId="8" fillId="0" borderId="107" xfId="1" applyNumberFormat="1" applyFont="1" applyBorder="1" applyAlignment="1">
      <alignment horizontal="right"/>
    </xf>
    <xf numFmtId="3" fontId="8" fillId="0" borderId="96" xfId="1" applyNumberFormat="1" applyFont="1" applyBorder="1" applyAlignment="1">
      <alignment horizontal="right"/>
    </xf>
    <xf numFmtId="3" fontId="8" fillId="0" borderId="85" xfId="1" applyNumberFormat="1" applyFont="1" applyBorder="1" applyAlignment="1">
      <alignment horizontal="right"/>
    </xf>
    <xf numFmtId="3" fontId="4" fillId="0" borderId="108" xfId="1" applyNumberFormat="1" applyFont="1" applyBorder="1"/>
    <xf numFmtId="3" fontId="4" fillId="0" borderId="56" xfId="1" applyNumberFormat="1" applyFont="1" applyBorder="1"/>
    <xf numFmtId="3" fontId="4" fillId="0" borderId="109" xfId="1" applyNumberFormat="1" applyFont="1" applyBorder="1"/>
    <xf numFmtId="3" fontId="8" fillId="0" borderId="54" xfId="1" applyNumberFormat="1" applyFont="1" applyBorder="1" applyAlignment="1">
      <alignment horizontal="right"/>
    </xf>
    <xf numFmtId="3" fontId="8" fillId="0" borderId="1" xfId="1" applyNumberFormat="1" applyFont="1" applyBorder="1" applyAlignment="1">
      <alignment horizontal="right"/>
    </xf>
    <xf numFmtId="3" fontId="8" fillId="0" borderId="5" xfId="1" applyNumberFormat="1" applyFont="1" applyBorder="1" applyAlignment="1">
      <alignment horizontal="right"/>
    </xf>
    <xf numFmtId="3" fontId="8" fillId="0" borderId="100" xfId="1" applyNumberFormat="1" applyFont="1" applyBorder="1" applyAlignment="1">
      <alignment horizontal="right"/>
    </xf>
    <xf numFmtId="3" fontId="8" fillId="0" borderId="6" xfId="1" applyNumberFormat="1" applyFont="1" applyBorder="1" applyAlignment="1">
      <alignment horizontal="right"/>
    </xf>
    <xf numFmtId="3" fontId="4" fillId="0" borderId="110" xfId="1" applyNumberFormat="1" applyFont="1" applyBorder="1"/>
    <xf numFmtId="0" fontId="4" fillId="7" borderId="4" xfId="1" applyFont="1" applyFill="1" applyBorder="1" applyAlignment="1">
      <alignment horizontal="center" vertical="center" wrapText="1" shrinkToFit="1"/>
    </xf>
    <xf numFmtId="0" fontId="5" fillId="7" borderId="4" xfId="1" applyFont="1" applyFill="1" applyBorder="1" applyAlignment="1">
      <alignment horizontal="center" vertical="center" wrapText="1" shrinkToFit="1"/>
    </xf>
    <xf numFmtId="0" fontId="6" fillId="4" borderId="7" xfId="1" applyFont="1" applyFill="1" applyBorder="1" applyAlignment="1">
      <alignment vertical="distributed" wrapText="1" shrinkToFit="1"/>
    </xf>
    <xf numFmtId="0" fontId="6" fillId="4" borderId="9" xfId="1" applyFont="1" applyFill="1" applyBorder="1" applyAlignment="1">
      <alignment vertical="distributed" wrapText="1" shrinkToFit="1"/>
    </xf>
    <xf numFmtId="0" fontId="6" fillId="4" borderId="4" xfId="1" applyFont="1" applyFill="1" applyBorder="1" applyAlignment="1">
      <alignment horizontal="left" vertical="distributed" wrapText="1" shrinkToFit="1"/>
    </xf>
    <xf numFmtId="165" fontId="6" fillId="4" borderId="4" xfId="1" applyNumberFormat="1" applyFont="1" applyFill="1" applyBorder="1" applyAlignment="1">
      <alignment vertical="distributed" wrapText="1" shrinkToFit="1"/>
    </xf>
    <xf numFmtId="3" fontId="8" fillId="0" borderId="30" xfId="1" applyNumberFormat="1" applyFont="1" applyBorder="1" applyAlignment="1">
      <alignment horizontal="right"/>
    </xf>
    <xf numFmtId="3" fontId="8" fillId="0" borderId="33" xfId="1" applyNumberFormat="1" applyFont="1" applyBorder="1" applyAlignment="1">
      <alignment horizontal="right"/>
    </xf>
    <xf numFmtId="3" fontId="8" fillId="0" borderId="73" xfId="1" applyNumberFormat="1" applyFont="1" applyBorder="1" applyAlignment="1">
      <alignment horizontal="right"/>
    </xf>
    <xf numFmtId="0" fontId="6" fillId="4" borderId="119" xfId="1" applyFont="1" applyFill="1" applyBorder="1" applyAlignment="1">
      <alignment vertical="distributed" wrapText="1" shrinkToFit="1"/>
    </xf>
    <xf numFmtId="3" fontId="9" fillId="0" borderId="39" xfId="1" applyNumberFormat="1" applyFont="1" applyBorder="1"/>
    <xf numFmtId="0" fontId="15" fillId="0" borderId="40" xfId="1" applyFont="1" applyBorder="1" applyAlignment="1">
      <alignment horizontal="center" vertical="center"/>
    </xf>
    <xf numFmtId="0" fontId="15" fillId="0" borderId="45" xfId="1" applyFont="1" applyBorder="1" applyAlignment="1">
      <alignment horizontal="center" vertical="center"/>
    </xf>
    <xf numFmtId="0" fontId="15" fillId="0" borderId="49" xfId="1" applyFont="1" applyBorder="1" applyAlignment="1">
      <alignment horizontal="center" vertical="center"/>
    </xf>
    <xf numFmtId="3" fontId="11" fillId="0" borderId="50" xfId="1" applyNumberFormat="1" applyFont="1" applyBorder="1"/>
    <xf numFmtId="3" fontId="11" fillId="0" borderId="52" xfId="1" applyNumberFormat="1" applyFont="1" applyBorder="1"/>
    <xf numFmtId="4" fontId="11" fillId="0" borderId="52" xfId="1" applyNumberFormat="1" applyFont="1" applyBorder="1"/>
    <xf numFmtId="3" fontId="11" fillId="0" borderId="53" xfId="1" applyNumberFormat="1" applyFont="1" applyBorder="1"/>
    <xf numFmtId="3" fontId="9" fillId="0" borderId="44" xfId="1" applyNumberFormat="1" applyFont="1" applyBorder="1"/>
    <xf numFmtId="3" fontId="9" fillId="0" borderId="48" xfId="1" applyNumberFormat="1" applyFont="1" applyBorder="1"/>
    <xf numFmtId="3" fontId="9" fillId="0" borderId="53" xfId="1" applyNumberFormat="1" applyFont="1" applyBorder="1"/>
    <xf numFmtId="3" fontId="9" fillId="18" borderId="36" xfId="1" applyNumberFormat="1" applyFont="1" applyFill="1" applyBorder="1"/>
    <xf numFmtId="3" fontId="11" fillId="18" borderId="41" xfId="1" applyNumberFormat="1" applyFont="1" applyFill="1" applyBorder="1"/>
    <xf numFmtId="3" fontId="11" fillId="18" borderId="51" xfId="1" applyNumberFormat="1" applyFont="1" applyFill="1" applyBorder="1"/>
    <xf numFmtId="3" fontId="11" fillId="18" borderId="50" xfId="1" applyNumberFormat="1" applyFont="1" applyFill="1" applyBorder="1"/>
    <xf numFmtId="0" fontId="13" fillId="0" borderId="0" xfId="1" applyFont="1"/>
    <xf numFmtId="3" fontId="11" fillId="4" borderId="121" xfId="1" applyNumberFormat="1" applyFont="1" applyFill="1" applyBorder="1"/>
    <xf numFmtId="3" fontId="11" fillId="4" borderId="84" xfId="1" applyNumberFormat="1" applyFont="1" applyFill="1" applyBorder="1"/>
    <xf numFmtId="4" fontId="9" fillId="0" borderId="122" xfId="1" applyNumberFormat="1" applyFont="1" applyBorder="1"/>
    <xf numFmtId="4" fontId="9" fillId="0" borderId="47" xfId="1" applyNumberFormat="1" applyFont="1" applyBorder="1"/>
    <xf numFmtId="0" fontId="15" fillId="4" borderId="40" xfId="1" applyFont="1" applyFill="1" applyBorder="1" applyAlignment="1">
      <alignment horizontal="center" vertical="center"/>
    </xf>
    <xf numFmtId="0" fontId="10" fillId="4" borderId="45" xfId="1" applyFont="1" applyFill="1" applyBorder="1" applyAlignment="1">
      <alignment horizontal="center" vertical="center"/>
    </xf>
    <xf numFmtId="3" fontId="11" fillId="4" borderId="123" xfId="1" applyNumberFormat="1" applyFont="1" applyFill="1" applyBorder="1"/>
    <xf numFmtId="3" fontId="11" fillId="4" borderId="15" xfId="1" applyNumberFormat="1" applyFont="1" applyFill="1" applyBorder="1"/>
    <xf numFmtId="0" fontId="4" fillId="0" borderId="22" xfId="1" applyFont="1" applyBorder="1" applyAlignment="1">
      <alignment horizontal="left"/>
    </xf>
    <xf numFmtId="0" fontId="8" fillId="0" borderId="40" xfId="1" applyFont="1" applyBorder="1"/>
    <xf numFmtId="0" fontId="8" fillId="0" borderId="45" xfId="1" applyFont="1" applyBorder="1"/>
    <xf numFmtId="0" fontId="8" fillId="0" borderId="57" xfId="1" applyFont="1" applyBorder="1"/>
    <xf numFmtId="0" fontId="8" fillId="0" borderId="111" xfId="1" applyFont="1" applyBorder="1"/>
    <xf numFmtId="0" fontId="8" fillId="0" borderId="102" xfId="1" applyFont="1" applyBorder="1" applyAlignment="1">
      <alignment horizontal="center"/>
    </xf>
    <xf numFmtId="3" fontId="8" fillId="0" borderId="102" xfId="1" applyNumberFormat="1" applyFont="1" applyBorder="1"/>
    <xf numFmtId="3" fontId="8" fillId="5" borderId="94" xfId="1" applyNumberFormat="1" applyFont="1" applyFill="1" applyBorder="1"/>
    <xf numFmtId="0" fontId="4" fillId="14" borderId="38" xfId="1" applyFont="1" applyFill="1" applyBorder="1" applyAlignment="1">
      <alignment horizontal="center" vertical="center"/>
    </xf>
    <xf numFmtId="3" fontId="4" fillId="0" borderId="37" xfId="1" applyNumberFormat="1" applyFont="1" applyBorder="1" applyAlignment="1">
      <alignment horizontal="right"/>
    </xf>
    <xf numFmtId="3" fontId="8" fillId="0" borderId="43" xfId="1" applyNumberFormat="1" applyFont="1" applyBorder="1"/>
    <xf numFmtId="3" fontId="8" fillId="0" borderId="129" xfId="1" applyNumberFormat="1" applyFont="1" applyBorder="1"/>
    <xf numFmtId="3" fontId="8" fillId="0" borderId="130" xfId="1" applyNumberFormat="1" applyFont="1" applyBorder="1"/>
    <xf numFmtId="3" fontId="4" fillId="0" borderId="55" xfId="1" applyNumberFormat="1" applyFont="1" applyBorder="1"/>
    <xf numFmtId="3" fontId="4" fillId="0" borderId="31" xfId="1" applyNumberFormat="1" applyFont="1" applyBorder="1" applyAlignment="1">
      <alignment horizontal="right"/>
    </xf>
    <xf numFmtId="3" fontId="8" fillId="0" borderId="122" xfId="1" applyNumberFormat="1" applyFont="1" applyBorder="1"/>
    <xf numFmtId="3" fontId="8" fillId="0" borderId="47" xfId="1" applyNumberFormat="1" applyFont="1" applyBorder="1"/>
    <xf numFmtId="0" fontId="8" fillId="0" borderId="129" xfId="1" applyFont="1" applyBorder="1"/>
    <xf numFmtId="0" fontId="4" fillId="0" borderId="16" xfId="1" applyFont="1" applyBorder="1" applyAlignment="1">
      <alignment horizontal="center"/>
    </xf>
    <xf numFmtId="0" fontId="8" fillId="0" borderId="131" xfId="1" applyFont="1" applyBorder="1"/>
    <xf numFmtId="3" fontId="8" fillId="0" borderId="105" xfId="1" applyNumberFormat="1" applyFont="1" applyBorder="1"/>
    <xf numFmtId="3" fontId="8" fillId="0" borderId="46" xfId="1" applyNumberFormat="1" applyFont="1" applyBorder="1"/>
    <xf numFmtId="0" fontId="5" fillId="9" borderId="4" xfId="1" applyFont="1" applyFill="1" applyBorder="1" applyAlignment="1">
      <alignment horizontal="center" vertical="center" wrapText="1" shrinkToFit="1"/>
    </xf>
    <xf numFmtId="0" fontId="4" fillId="14" borderId="30" xfId="1" applyFont="1" applyFill="1" applyBorder="1" applyAlignment="1">
      <alignment horizontal="center" vertical="center"/>
    </xf>
    <xf numFmtId="0" fontId="4" fillId="14" borderId="37" xfId="1" applyFont="1" applyFill="1" applyBorder="1" applyAlignment="1">
      <alignment horizontal="center" vertical="center"/>
    </xf>
    <xf numFmtId="0" fontId="10" fillId="23" borderId="10" xfId="1" applyFont="1" applyFill="1" applyBorder="1" applyAlignment="1">
      <alignment horizontal="center" vertical="center"/>
    </xf>
    <xf numFmtId="0" fontId="10" fillId="23" borderId="5" xfId="1" applyFont="1" applyFill="1" applyBorder="1" applyAlignment="1">
      <alignment vertical="center"/>
    </xf>
    <xf numFmtId="0" fontId="10" fillId="23" borderId="30" xfId="1" applyFont="1" applyFill="1" applyBorder="1" applyAlignment="1">
      <alignment horizontal="center" vertical="center"/>
    </xf>
    <xf numFmtId="0" fontId="10" fillId="14" borderId="32" xfId="1" applyFont="1" applyFill="1" applyBorder="1" applyAlignment="1">
      <alignment horizontal="center" vertical="center"/>
    </xf>
    <xf numFmtId="0" fontId="4" fillId="21" borderId="38" xfId="1" applyFont="1" applyFill="1" applyBorder="1" applyAlignment="1">
      <alignment horizontal="center" vertical="center"/>
    </xf>
    <xf numFmtId="0" fontId="4" fillId="21" borderId="30" xfId="1" applyFont="1" applyFill="1" applyBorder="1" applyAlignment="1">
      <alignment horizontal="center" vertical="center"/>
    </xf>
    <xf numFmtId="0" fontId="4" fillId="21" borderId="31" xfId="1" applyFont="1" applyFill="1" applyBorder="1" applyAlignment="1">
      <alignment horizontal="center" vertical="center"/>
    </xf>
    <xf numFmtId="3" fontId="9" fillId="11" borderId="103" xfId="1" applyNumberFormat="1" applyFont="1" applyFill="1" applyBorder="1"/>
    <xf numFmtId="3" fontId="9" fillId="11" borderId="36" xfId="1" applyNumberFormat="1" applyFont="1" applyFill="1" applyBorder="1"/>
    <xf numFmtId="3" fontId="9" fillId="11" borderId="37" xfId="1" applyNumberFormat="1" applyFont="1" applyFill="1" applyBorder="1"/>
    <xf numFmtId="3" fontId="9" fillId="11" borderId="42" xfId="1" applyNumberFormat="1" applyFont="1" applyFill="1" applyBorder="1"/>
    <xf numFmtId="3" fontId="9" fillId="11" borderId="54" xfId="1" applyNumberFormat="1" applyFont="1" applyFill="1" applyBorder="1"/>
    <xf numFmtId="3" fontId="9" fillId="11" borderId="55" xfId="1" applyNumberFormat="1" applyFont="1" applyFill="1" applyBorder="1"/>
    <xf numFmtId="3" fontId="4" fillId="24" borderId="54" xfId="1" applyNumberFormat="1" applyFont="1" applyFill="1" applyBorder="1"/>
    <xf numFmtId="0" fontId="4" fillId="24" borderId="35" xfId="1" applyFont="1" applyFill="1" applyBorder="1" applyAlignment="1">
      <alignment horizontal="center"/>
    </xf>
    <xf numFmtId="0" fontId="8" fillId="24" borderId="34" xfId="1" applyFont="1" applyFill="1" applyBorder="1"/>
    <xf numFmtId="3" fontId="4" fillId="24" borderId="35" xfId="1" applyNumberFormat="1" applyFont="1" applyFill="1" applyBorder="1"/>
    <xf numFmtId="3" fontId="4" fillId="24" borderId="36" xfId="1" applyNumberFormat="1" applyFont="1" applyFill="1" applyBorder="1"/>
    <xf numFmtId="3" fontId="4" fillId="24" borderId="37" xfId="1" applyNumberFormat="1" applyFont="1" applyFill="1" applyBorder="1"/>
    <xf numFmtId="3" fontId="4" fillId="24" borderId="128" xfId="1" applyNumberFormat="1" applyFont="1" applyFill="1" applyBorder="1"/>
    <xf numFmtId="3" fontId="4" fillId="24" borderId="124" xfId="1" applyNumberFormat="1" applyFont="1" applyFill="1" applyBorder="1"/>
    <xf numFmtId="0" fontId="4" fillId="11" borderId="54" xfId="1" applyFont="1" applyFill="1" applyBorder="1" applyAlignment="1">
      <alignment horizontal="center"/>
    </xf>
    <xf numFmtId="0" fontId="4" fillId="11" borderId="17" xfId="1" applyFont="1" applyFill="1" applyBorder="1" applyAlignment="1">
      <alignment horizontal="left"/>
    </xf>
    <xf numFmtId="3" fontId="4" fillId="11" borderId="76" xfId="1" applyNumberFormat="1" applyFont="1" applyFill="1" applyBorder="1" applyAlignment="1">
      <alignment horizontal="right"/>
    </xf>
    <xf numFmtId="3" fontId="4" fillId="11" borderId="128" xfId="1" applyNumberFormat="1" applyFont="1" applyFill="1" applyBorder="1" applyAlignment="1">
      <alignment horizontal="right"/>
    </xf>
    <xf numFmtId="3" fontId="4" fillId="11" borderId="54" xfId="1" applyNumberFormat="1" applyFont="1" applyFill="1" applyBorder="1"/>
    <xf numFmtId="0" fontId="4" fillId="24" borderId="34" xfId="1" applyFont="1" applyFill="1" applyBorder="1"/>
    <xf numFmtId="3" fontId="11" fillId="24" borderId="55" xfId="1" applyNumberFormat="1" applyFont="1" applyFill="1" applyBorder="1"/>
    <xf numFmtId="3" fontId="14" fillId="24" borderId="56" xfId="1" applyNumberFormat="1" applyFont="1" applyFill="1" applyBorder="1"/>
    <xf numFmtId="3" fontId="11" fillId="24" borderId="56" xfId="1" applyNumberFormat="1" applyFont="1" applyFill="1" applyBorder="1"/>
    <xf numFmtId="3" fontId="11" fillId="24" borderId="60" xfId="1" applyNumberFormat="1" applyFont="1" applyFill="1" applyBorder="1"/>
    <xf numFmtId="3" fontId="11" fillId="24" borderId="54" xfId="1" applyNumberFormat="1" applyFont="1" applyFill="1" applyBorder="1"/>
    <xf numFmtId="0" fontId="8" fillId="26" borderId="79" xfId="1" applyFont="1" applyFill="1" applyBorder="1"/>
    <xf numFmtId="3" fontId="8" fillId="26" borderId="80" xfId="1" applyNumberFormat="1" applyFont="1" applyFill="1" applyBorder="1"/>
    <xf numFmtId="3" fontId="8" fillId="26" borderId="36" xfId="1" applyNumberFormat="1" applyFont="1" applyFill="1" applyBorder="1"/>
    <xf numFmtId="3" fontId="8" fillId="26" borderId="35" xfId="1" applyNumberFormat="1" applyFont="1" applyFill="1" applyBorder="1"/>
    <xf numFmtId="0" fontId="8" fillId="26" borderId="54" xfId="1" applyFont="1" applyFill="1" applyBorder="1"/>
    <xf numFmtId="3" fontId="8" fillId="26" borderId="39" xfId="1" applyNumberFormat="1" applyFont="1" applyFill="1" applyBorder="1"/>
    <xf numFmtId="3" fontId="8" fillId="24" borderId="36" xfId="1" applyNumberFormat="1" applyFont="1" applyFill="1" applyBorder="1"/>
    <xf numFmtId="3" fontId="8" fillId="30" borderId="105" xfId="1" applyNumberFormat="1" applyFont="1" applyFill="1" applyBorder="1"/>
    <xf numFmtId="3" fontId="8" fillId="30" borderId="94" xfId="1" applyNumberFormat="1" applyFont="1" applyFill="1" applyBorder="1"/>
    <xf numFmtId="3" fontId="8" fillId="11" borderId="94" xfId="1" applyNumberFormat="1" applyFont="1" applyFill="1" applyBorder="1"/>
    <xf numFmtId="3" fontId="8" fillId="25" borderId="94" xfId="1" applyNumberFormat="1" applyFont="1" applyFill="1" applyBorder="1"/>
    <xf numFmtId="3" fontId="8" fillId="24" borderId="94" xfId="1" applyNumberFormat="1" applyFont="1" applyFill="1" applyBorder="1"/>
    <xf numFmtId="3" fontId="4" fillId="28" borderId="80" xfId="1" applyNumberFormat="1" applyFont="1" applyFill="1" applyBorder="1" applyAlignment="1">
      <alignment horizontal="right"/>
    </xf>
    <xf numFmtId="3" fontId="4" fillId="28" borderId="36" xfId="1" applyNumberFormat="1" applyFont="1" applyFill="1" applyBorder="1" applyAlignment="1">
      <alignment horizontal="right"/>
    </xf>
    <xf numFmtId="3" fontId="4" fillId="28" borderId="103" xfId="1" applyNumberFormat="1" applyFont="1" applyFill="1" applyBorder="1" applyAlignment="1">
      <alignment horizontal="right"/>
    </xf>
    <xf numFmtId="3" fontId="4" fillId="28" borderId="35" xfId="1" applyNumberFormat="1" applyFont="1" applyFill="1" applyBorder="1" applyAlignment="1">
      <alignment horizontal="right"/>
    </xf>
    <xf numFmtId="3" fontId="4" fillId="28" borderId="39" xfId="1" applyNumberFormat="1" applyFont="1" applyFill="1" applyBorder="1" applyAlignment="1">
      <alignment horizontal="right"/>
    </xf>
    <xf numFmtId="3" fontId="4" fillId="31" borderId="5" xfId="1" applyNumberFormat="1" applyFont="1" applyFill="1" applyBorder="1" applyAlignment="1">
      <alignment horizontal="right"/>
    </xf>
    <xf numFmtId="0" fontId="4" fillId="29" borderId="144" xfId="1" applyFont="1" applyFill="1" applyBorder="1" applyAlignment="1">
      <alignment horizontal="center" vertical="center"/>
    </xf>
    <xf numFmtId="0" fontId="4" fillId="29" borderId="32" xfId="1" applyFont="1" applyFill="1" applyBorder="1" applyAlignment="1">
      <alignment horizontal="center" vertical="center"/>
    </xf>
    <xf numFmtId="0" fontId="4" fillId="29" borderId="32" xfId="1" applyFont="1" applyFill="1" applyBorder="1" applyAlignment="1">
      <alignment horizontal="center" vertical="center" wrapText="1"/>
    </xf>
    <xf numFmtId="0" fontId="4" fillId="6" borderId="32" xfId="1" applyFont="1" applyFill="1" applyBorder="1" applyAlignment="1">
      <alignment horizontal="center" vertical="center"/>
    </xf>
    <xf numFmtId="0" fontId="4" fillId="6" borderId="32" xfId="1" applyFont="1" applyFill="1" applyBorder="1" applyAlignment="1">
      <alignment horizontal="center" vertical="center" wrapText="1"/>
    </xf>
    <xf numFmtId="0" fontId="4" fillId="19" borderId="32" xfId="1" applyFont="1" applyFill="1" applyBorder="1" applyAlignment="1">
      <alignment horizontal="center" vertical="center"/>
    </xf>
    <xf numFmtId="0" fontId="4" fillId="19" borderId="32" xfId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/>
    </xf>
    <xf numFmtId="0" fontId="4" fillId="22" borderId="32" xfId="1" applyFont="1" applyFill="1" applyBorder="1" applyAlignment="1">
      <alignment horizontal="center" vertical="center"/>
    </xf>
    <xf numFmtId="0" fontId="4" fillId="26" borderId="147" xfId="1" applyFont="1" applyFill="1" applyBorder="1" applyAlignment="1">
      <alignment horizontal="center" vertical="center"/>
    </xf>
    <xf numFmtId="3" fontId="4" fillId="31" borderId="6" xfId="1" applyNumberFormat="1" applyFont="1" applyFill="1" applyBorder="1" applyAlignment="1">
      <alignment horizontal="right"/>
    </xf>
    <xf numFmtId="3" fontId="8" fillId="26" borderId="103" xfId="1" applyNumberFormat="1" applyFont="1" applyFill="1" applyBorder="1"/>
    <xf numFmtId="3" fontId="8" fillId="26" borderId="121" xfId="1" applyNumberFormat="1" applyFont="1" applyFill="1" applyBorder="1"/>
    <xf numFmtId="3" fontId="8" fillId="26" borderId="123" xfId="1" applyNumberFormat="1" applyFont="1" applyFill="1" applyBorder="1"/>
    <xf numFmtId="3" fontId="8" fillId="26" borderId="151" xfId="1" applyNumberFormat="1" applyFont="1" applyFill="1" applyBorder="1"/>
    <xf numFmtId="3" fontId="4" fillId="26" borderId="141" xfId="1" applyNumberFormat="1" applyFont="1" applyFill="1" applyBorder="1"/>
    <xf numFmtId="3" fontId="4" fillId="0" borderId="154" xfId="1" applyNumberFormat="1" applyFont="1" applyBorder="1"/>
    <xf numFmtId="3" fontId="4" fillId="0" borderId="155" xfId="1" applyNumberFormat="1" applyFont="1" applyBorder="1"/>
    <xf numFmtId="3" fontId="4" fillId="0" borderId="156" xfId="1" applyNumberFormat="1" applyFont="1" applyBorder="1"/>
    <xf numFmtId="3" fontId="4" fillId="0" borderId="157" xfId="1" applyNumberFormat="1" applyFont="1" applyBorder="1"/>
    <xf numFmtId="0" fontId="8" fillId="26" borderId="103" xfId="1" applyFont="1" applyFill="1" applyBorder="1" applyAlignment="1">
      <alignment horizontal="center"/>
    </xf>
    <xf numFmtId="0" fontId="8" fillId="0" borderId="58" xfId="1" applyFont="1" applyBorder="1" applyAlignment="1">
      <alignment horizontal="center"/>
    </xf>
    <xf numFmtId="0" fontId="8" fillId="0" borderId="123" xfId="1" applyFont="1" applyBorder="1" applyAlignment="1">
      <alignment horizontal="center"/>
    </xf>
    <xf numFmtId="0" fontId="8" fillId="0" borderId="152" xfId="1" applyFont="1" applyBorder="1" applyAlignment="1">
      <alignment horizontal="center"/>
    </xf>
    <xf numFmtId="0" fontId="8" fillId="0" borderId="151" xfId="1" applyFont="1" applyBorder="1" applyAlignment="1">
      <alignment horizontal="center"/>
    </xf>
    <xf numFmtId="0" fontId="4" fillId="2" borderId="21" xfId="1" applyFont="1" applyFill="1" applyBorder="1" applyAlignment="1">
      <alignment horizontal="center" vertical="center"/>
    </xf>
    <xf numFmtId="0" fontId="4" fillId="22" borderId="21" xfId="1" applyFont="1" applyFill="1" applyBorder="1" applyAlignment="1">
      <alignment horizontal="center" vertical="center"/>
    </xf>
    <xf numFmtId="3" fontId="4" fillId="31" borderId="26" xfId="1" applyNumberFormat="1" applyFont="1" applyFill="1" applyBorder="1" applyAlignment="1">
      <alignment horizontal="right"/>
    </xf>
    <xf numFmtId="3" fontId="4" fillId="31" borderId="153" xfId="1" applyNumberFormat="1" applyFont="1" applyFill="1" applyBorder="1"/>
    <xf numFmtId="3" fontId="4" fillId="32" borderId="89" xfId="1" applyNumberFormat="1" applyFont="1" applyFill="1" applyBorder="1" applyAlignment="1">
      <alignment horizontal="right"/>
    </xf>
    <xf numFmtId="3" fontId="4" fillId="32" borderId="5" xfId="1" applyNumberFormat="1" applyFont="1" applyFill="1" applyBorder="1" applyAlignment="1">
      <alignment horizontal="right"/>
    </xf>
    <xf numFmtId="3" fontId="4" fillId="32" borderId="1" xfId="1" applyNumberFormat="1" applyFont="1" applyFill="1" applyBorder="1" applyAlignment="1">
      <alignment horizontal="right"/>
    </xf>
    <xf numFmtId="3" fontId="8" fillId="32" borderId="36" xfId="1" applyNumberFormat="1" applyFont="1" applyFill="1" applyBorder="1"/>
    <xf numFmtId="3" fontId="8" fillId="32" borderId="94" xfId="1" applyNumberFormat="1" applyFont="1" applyFill="1" applyBorder="1"/>
    <xf numFmtId="0" fontId="8" fillId="33" borderId="47" xfId="1" applyFont="1" applyFill="1" applyBorder="1"/>
    <xf numFmtId="0" fontId="8" fillId="33" borderId="151" xfId="1" applyFont="1" applyFill="1" applyBorder="1"/>
    <xf numFmtId="0" fontId="8" fillId="33" borderId="130" xfId="1" applyFont="1" applyFill="1" applyBorder="1"/>
    <xf numFmtId="0" fontId="4" fillId="33" borderId="103" xfId="1" applyFont="1" applyFill="1" applyBorder="1"/>
    <xf numFmtId="0" fontId="4" fillId="33" borderId="37" xfId="1" applyFont="1" applyFill="1" applyBorder="1"/>
    <xf numFmtId="0" fontId="8" fillId="33" borderId="58" xfId="1" applyFont="1" applyFill="1" applyBorder="1"/>
    <xf numFmtId="0" fontId="8" fillId="33" borderId="43" xfId="1" applyFont="1" applyFill="1" applyBorder="1"/>
    <xf numFmtId="0" fontId="8" fillId="33" borderId="103" xfId="1" applyFont="1" applyFill="1" applyBorder="1"/>
    <xf numFmtId="0" fontId="8" fillId="33" borderId="37" xfId="1" applyFont="1" applyFill="1" applyBorder="1"/>
    <xf numFmtId="0" fontId="8" fillId="33" borderId="26" xfId="1" applyFont="1" applyFill="1" applyBorder="1"/>
    <xf numFmtId="0" fontId="8" fillId="33" borderId="121" xfId="1" applyFont="1" applyFill="1" applyBorder="1"/>
    <xf numFmtId="0" fontId="8" fillId="33" borderId="122" xfId="1" applyFont="1" applyFill="1" applyBorder="1"/>
    <xf numFmtId="0" fontId="4" fillId="7" borderId="145" xfId="1" applyFont="1" applyFill="1" applyBorder="1" applyAlignment="1">
      <alignment horizontal="center" vertical="center"/>
    </xf>
    <xf numFmtId="3" fontId="4" fillId="34" borderId="77" xfId="1" applyNumberFormat="1" applyFont="1" applyFill="1" applyBorder="1" applyAlignment="1">
      <alignment horizontal="right"/>
    </xf>
    <xf numFmtId="3" fontId="4" fillId="34" borderId="100" xfId="1" applyNumberFormat="1" applyFont="1" applyFill="1" applyBorder="1" applyAlignment="1">
      <alignment horizontal="right"/>
    </xf>
    <xf numFmtId="3" fontId="8" fillId="34" borderId="77" xfId="1" applyNumberFormat="1" applyFont="1" applyFill="1" applyBorder="1"/>
    <xf numFmtId="3" fontId="8" fillId="34" borderId="106" xfId="1" applyNumberFormat="1" applyFont="1" applyFill="1" applyBorder="1"/>
    <xf numFmtId="0" fontId="4" fillId="32" borderId="26" xfId="1" applyFont="1" applyFill="1" applyBorder="1"/>
    <xf numFmtId="0" fontId="4" fillId="32" borderId="27" xfId="1" applyFont="1" applyFill="1" applyBorder="1"/>
    <xf numFmtId="3" fontId="8" fillId="30" borderId="158" xfId="1" applyNumberFormat="1" applyFont="1" applyFill="1" applyBorder="1"/>
    <xf numFmtId="3" fontId="8" fillId="30" borderId="84" xfId="1" applyNumberFormat="1" applyFont="1" applyFill="1" applyBorder="1"/>
    <xf numFmtId="3" fontId="8" fillId="11" borderId="84" xfId="1" applyNumberFormat="1" applyFont="1" applyFill="1" applyBorder="1"/>
    <xf numFmtId="3" fontId="8" fillId="25" borderId="84" xfId="1" applyNumberFormat="1" applyFont="1" applyFill="1" applyBorder="1"/>
    <xf numFmtId="3" fontId="8" fillId="24" borderId="84" xfId="1" applyNumberFormat="1" applyFont="1" applyFill="1" applyBorder="1"/>
    <xf numFmtId="3" fontId="8" fillId="32" borderId="122" xfId="1" applyNumberFormat="1" applyFont="1" applyFill="1" applyBorder="1"/>
    <xf numFmtId="3" fontId="8" fillId="30" borderId="159" xfId="1" applyNumberFormat="1" applyFont="1" applyFill="1" applyBorder="1"/>
    <xf numFmtId="3" fontId="8" fillId="30" borderId="15" xfId="1" applyNumberFormat="1" applyFont="1" applyFill="1" applyBorder="1"/>
    <xf numFmtId="3" fontId="8" fillId="11" borderId="15" xfId="1" applyNumberFormat="1" applyFont="1" applyFill="1" applyBorder="1"/>
    <xf numFmtId="3" fontId="8" fillId="25" borderId="15" xfId="1" applyNumberFormat="1" applyFont="1" applyFill="1" applyBorder="1"/>
    <xf numFmtId="3" fontId="8" fillId="24" borderId="15" xfId="1" applyNumberFormat="1" applyFont="1" applyFill="1" applyBorder="1"/>
    <xf numFmtId="3" fontId="8" fillId="32" borderId="47" xfId="1" applyNumberFormat="1" applyFont="1" applyFill="1" applyBorder="1"/>
    <xf numFmtId="3" fontId="8" fillId="32" borderId="130" xfId="1" applyNumberFormat="1" applyFont="1" applyFill="1" applyBorder="1"/>
    <xf numFmtId="3" fontId="8" fillId="34" borderId="107" xfId="1" applyNumberFormat="1" applyFont="1" applyFill="1" applyBorder="1"/>
    <xf numFmtId="3" fontId="8" fillId="34" borderId="104" xfId="1" applyNumberFormat="1" applyFont="1" applyFill="1" applyBorder="1"/>
    <xf numFmtId="3" fontId="8" fillId="0" borderId="158" xfId="1" applyNumberFormat="1" applyFont="1" applyBorder="1"/>
    <xf numFmtId="3" fontId="8" fillId="32" borderId="84" xfId="1" applyNumberFormat="1" applyFont="1" applyFill="1" applyBorder="1"/>
    <xf numFmtId="3" fontId="8" fillId="0" borderId="159" xfId="1" applyNumberFormat="1" applyFont="1" applyBorder="1"/>
    <xf numFmtId="3" fontId="8" fillId="32" borderId="15" xfId="1" applyNumberFormat="1" applyFont="1" applyFill="1" applyBorder="1"/>
    <xf numFmtId="0" fontId="5" fillId="31" borderId="112" xfId="1" applyFont="1" applyFill="1" applyBorder="1" applyAlignment="1">
      <alignment horizontal="center" vertical="center" textRotation="90" wrapText="1" shrinkToFit="1"/>
    </xf>
    <xf numFmtId="0" fontId="5" fillId="31" borderId="113" xfId="1" applyFont="1" applyFill="1" applyBorder="1" applyAlignment="1">
      <alignment horizontal="center" vertical="center" textRotation="90" wrapText="1" shrinkToFit="1"/>
    </xf>
    <xf numFmtId="0" fontId="9" fillId="35" borderId="10" xfId="1" applyFont="1" applyFill="1" applyBorder="1" applyAlignment="1">
      <alignment horizontal="center" vertical="center"/>
    </xf>
    <xf numFmtId="0" fontId="9" fillId="35" borderId="5" xfId="1" applyFont="1" applyFill="1" applyBorder="1" applyAlignment="1">
      <alignment vertical="center"/>
    </xf>
    <xf numFmtId="0" fontId="9" fillId="35" borderId="30" xfId="1" applyFont="1" applyFill="1" applyBorder="1" applyAlignment="1">
      <alignment horizontal="center" vertical="center"/>
    </xf>
    <xf numFmtId="0" fontId="9" fillId="35" borderId="32" xfId="1" applyFont="1" applyFill="1" applyBorder="1" applyAlignment="1">
      <alignment horizontal="center" vertical="center"/>
    </xf>
    <xf numFmtId="0" fontId="9" fillId="35" borderId="30" xfId="1" applyFont="1" applyFill="1" applyBorder="1" applyAlignment="1">
      <alignment vertical="center"/>
    </xf>
    <xf numFmtId="0" fontId="4" fillId="20" borderId="73" xfId="1" applyFont="1" applyFill="1" applyBorder="1" applyAlignment="1">
      <alignment horizontal="center" vertical="center"/>
    </xf>
    <xf numFmtId="0" fontId="4" fillId="20" borderId="38" xfId="1" applyFont="1" applyFill="1" applyBorder="1" applyAlignment="1">
      <alignment horizontal="center" vertical="center"/>
    </xf>
    <xf numFmtId="0" fontId="4" fillId="20" borderId="30" xfId="1" applyFont="1" applyFill="1" applyBorder="1" applyAlignment="1">
      <alignment horizontal="center" vertical="center"/>
    </xf>
    <xf numFmtId="0" fontId="4" fillId="20" borderId="72" xfId="1" applyFont="1" applyFill="1" applyBorder="1" applyAlignment="1">
      <alignment horizontal="center" vertical="center"/>
    </xf>
    <xf numFmtId="0" fontId="5" fillId="36" borderId="4" xfId="1" applyFont="1" applyFill="1" applyBorder="1" applyAlignment="1">
      <alignment horizontal="center" vertical="center" wrapText="1" shrinkToFit="1"/>
    </xf>
    <xf numFmtId="3" fontId="9" fillId="11" borderId="15" xfId="1" applyNumberFormat="1" applyFont="1" applyFill="1" applyBorder="1"/>
    <xf numFmtId="0" fontId="15" fillId="4" borderId="110" xfId="1" applyFont="1" applyFill="1" applyBorder="1" applyAlignment="1">
      <alignment horizontal="center" vertical="center"/>
    </xf>
    <xf numFmtId="0" fontId="15" fillId="4" borderId="56" xfId="1" applyFont="1" applyFill="1" applyBorder="1" applyAlignment="1">
      <alignment horizontal="center" vertical="center"/>
    </xf>
    <xf numFmtId="0" fontId="10" fillId="4" borderId="56" xfId="1" applyFont="1" applyFill="1" applyBorder="1" applyAlignment="1">
      <alignment horizontal="center" vertical="center"/>
    </xf>
    <xf numFmtId="0" fontId="10" fillId="4" borderId="110" xfId="1" applyFont="1" applyFill="1" applyBorder="1" applyAlignment="1">
      <alignment horizontal="center" vertical="center"/>
    </xf>
    <xf numFmtId="3" fontId="9" fillId="11" borderId="141" xfId="1" applyNumberFormat="1" applyFont="1" applyFill="1" applyBorder="1"/>
    <xf numFmtId="0" fontId="9" fillId="3" borderId="32" xfId="1" applyFont="1" applyFill="1" applyBorder="1" applyAlignment="1">
      <alignment horizontal="center" vertical="center"/>
    </xf>
    <xf numFmtId="3" fontId="9" fillId="11" borderId="0" xfId="1" applyNumberFormat="1" applyFont="1" applyFill="1"/>
    <xf numFmtId="3" fontId="9" fillId="25" borderId="141" xfId="1" applyNumberFormat="1" applyFont="1" applyFill="1" applyBorder="1" applyAlignment="1">
      <alignment vertical="center"/>
    </xf>
    <xf numFmtId="3" fontId="9" fillId="25" borderId="38" xfId="1" applyNumberFormat="1" applyFont="1" applyFill="1" applyBorder="1" applyAlignment="1">
      <alignment vertical="center"/>
    </xf>
    <xf numFmtId="3" fontId="9" fillId="25" borderId="30" xfId="1" applyNumberFormat="1" applyFont="1" applyFill="1" applyBorder="1" applyAlignment="1">
      <alignment vertical="center"/>
    </xf>
    <xf numFmtId="4" fontId="9" fillId="25" borderId="33" xfId="1" applyNumberFormat="1" applyFont="1" applyFill="1" applyBorder="1" applyAlignment="1">
      <alignment vertical="center"/>
    </xf>
    <xf numFmtId="3" fontId="9" fillId="25" borderId="103" xfId="1" applyNumberFormat="1" applyFont="1" applyFill="1" applyBorder="1" applyAlignment="1">
      <alignment vertical="center"/>
    </xf>
    <xf numFmtId="3" fontId="9" fillId="25" borderId="36" xfId="1" applyNumberFormat="1" applyFont="1" applyFill="1" applyBorder="1" applyAlignment="1">
      <alignment vertical="center"/>
    </xf>
    <xf numFmtId="3" fontId="9" fillId="25" borderId="37" xfId="1" applyNumberFormat="1" applyFont="1" applyFill="1" applyBorder="1" applyAlignment="1">
      <alignment vertical="center"/>
    </xf>
    <xf numFmtId="3" fontId="9" fillId="25" borderId="54" xfId="1" applyNumberFormat="1" applyFont="1" applyFill="1" applyBorder="1" applyAlignment="1">
      <alignment vertical="center"/>
    </xf>
    <xf numFmtId="0" fontId="10" fillId="11" borderId="54" xfId="1" applyFont="1" applyFill="1" applyBorder="1" applyAlignment="1">
      <alignment horizontal="center" vertical="center" wrapText="1"/>
    </xf>
    <xf numFmtId="3" fontId="9" fillId="11" borderId="35" xfId="1" applyNumberFormat="1" applyFont="1" applyFill="1" applyBorder="1"/>
    <xf numFmtId="3" fontId="9" fillId="11" borderId="41" xfId="1" applyNumberFormat="1" applyFont="1" applyFill="1" applyBorder="1"/>
    <xf numFmtId="3" fontId="9" fillId="11" borderId="155" xfId="1" applyNumberFormat="1" applyFont="1" applyFill="1" applyBorder="1"/>
    <xf numFmtId="3" fontId="9" fillId="11" borderId="154" xfId="1" applyNumberFormat="1" applyFont="1" applyFill="1" applyBorder="1"/>
    <xf numFmtId="4" fontId="9" fillId="11" borderId="37" xfId="1" applyNumberFormat="1" applyFont="1" applyFill="1" applyBorder="1"/>
    <xf numFmtId="3" fontId="11" fillId="4" borderId="122" xfId="1" applyNumberFormat="1" applyFont="1" applyFill="1" applyBorder="1"/>
    <xf numFmtId="3" fontId="11" fillId="4" borderId="47" xfId="1" applyNumberFormat="1" applyFont="1" applyFill="1" applyBorder="1"/>
    <xf numFmtId="0" fontId="10" fillId="25" borderId="34" xfId="1" applyFont="1" applyFill="1" applyBorder="1" applyAlignment="1">
      <alignment horizontal="center" vertical="center" shrinkToFit="1"/>
    </xf>
    <xf numFmtId="3" fontId="9" fillId="11" borderId="161" xfId="1" applyNumberFormat="1" applyFont="1" applyFill="1" applyBorder="1"/>
    <xf numFmtId="3" fontId="11" fillId="4" borderId="152" xfId="1" applyNumberFormat="1" applyFont="1" applyFill="1" applyBorder="1"/>
    <xf numFmtId="3" fontId="11" fillId="4" borderId="90" xfId="1" applyNumberFormat="1" applyFont="1" applyFill="1" applyBorder="1"/>
    <xf numFmtId="3" fontId="9" fillId="11" borderId="90" xfId="1" applyNumberFormat="1" applyFont="1" applyFill="1" applyBorder="1"/>
    <xf numFmtId="4" fontId="9" fillId="0" borderId="129" xfId="1" applyNumberFormat="1" applyFont="1" applyBorder="1"/>
    <xf numFmtId="3" fontId="11" fillId="4" borderId="129" xfId="1" applyNumberFormat="1" applyFont="1" applyFill="1" applyBorder="1"/>
    <xf numFmtId="0" fontId="15" fillId="37" borderId="8" xfId="1" applyFont="1" applyFill="1" applyBorder="1" applyAlignment="1">
      <alignment horizontal="center" vertical="center"/>
    </xf>
    <xf numFmtId="3" fontId="9" fillId="37" borderId="149" xfId="1" applyNumberFormat="1" applyFont="1" applyFill="1" applyBorder="1"/>
    <xf numFmtId="3" fontId="11" fillId="37" borderId="25" xfId="1" applyNumberFormat="1" applyFont="1" applyFill="1" applyBorder="1"/>
    <xf numFmtId="3" fontId="11" fillId="37" borderId="4" xfId="1" applyNumberFormat="1" applyFont="1" applyFill="1" applyBorder="1"/>
    <xf numFmtId="3" fontId="9" fillId="37" borderId="4" xfId="1" applyNumberFormat="1" applyFont="1" applyFill="1" applyBorder="1"/>
    <xf numFmtId="4" fontId="9" fillId="37" borderId="70" xfId="1" applyNumberFormat="1" applyFont="1" applyFill="1" applyBorder="1"/>
    <xf numFmtId="3" fontId="9" fillId="37" borderId="25" xfId="1" applyNumberFormat="1" applyFont="1" applyFill="1" applyBorder="1"/>
    <xf numFmtId="3" fontId="9" fillId="37" borderId="70" xfId="1" applyNumberFormat="1" applyFont="1" applyFill="1" applyBorder="1"/>
    <xf numFmtId="3" fontId="9" fillId="37" borderId="8" xfId="1" applyNumberFormat="1" applyFont="1" applyFill="1" applyBorder="1"/>
    <xf numFmtId="0" fontId="9" fillId="33" borderId="8" xfId="1" applyFont="1" applyFill="1" applyBorder="1" applyAlignment="1">
      <alignment horizontal="center" vertical="center"/>
    </xf>
    <xf numFmtId="3" fontId="9" fillId="33" borderId="149" xfId="1" applyNumberFormat="1" applyFont="1" applyFill="1" applyBorder="1"/>
    <xf numFmtId="3" fontId="11" fillId="33" borderId="25" xfId="1" applyNumberFormat="1" applyFont="1" applyFill="1" applyBorder="1"/>
    <xf numFmtId="0" fontId="11" fillId="33" borderId="4" xfId="1" applyFont="1" applyFill="1" applyBorder="1"/>
    <xf numFmtId="3" fontId="9" fillId="33" borderId="4" xfId="1" applyNumberFormat="1" applyFont="1" applyFill="1" applyBorder="1"/>
    <xf numFmtId="4" fontId="9" fillId="33" borderId="70" xfId="1" applyNumberFormat="1" applyFont="1" applyFill="1" applyBorder="1"/>
    <xf numFmtId="3" fontId="9" fillId="33" borderId="25" xfId="1" applyNumberFormat="1" applyFont="1" applyFill="1" applyBorder="1"/>
    <xf numFmtId="0" fontId="11" fillId="33" borderId="70" xfId="1" applyFont="1" applyFill="1" applyBorder="1"/>
    <xf numFmtId="3" fontId="9" fillId="33" borderId="8" xfId="1" applyNumberFormat="1" applyFont="1" applyFill="1" applyBorder="1"/>
    <xf numFmtId="0" fontId="9" fillId="34" borderId="8" xfId="1" applyFont="1" applyFill="1" applyBorder="1" applyAlignment="1">
      <alignment horizontal="center" vertical="center"/>
    </xf>
    <xf numFmtId="3" fontId="9" fillId="34" borderId="149" xfId="1" applyNumberFormat="1" applyFont="1" applyFill="1" applyBorder="1"/>
    <xf numFmtId="3" fontId="11" fillId="34" borderId="25" xfId="1" applyNumberFormat="1" applyFont="1" applyFill="1" applyBorder="1"/>
    <xf numFmtId="0" fontId="8" fillId="34" borderId="4" xfId="1" applyFont="1" applyFill="1" applyBorder="1"/>
    <xf numFmtId="3" fontId="9" fillId="34" borderId="4" xfId="1" applyNumberFormat="1" applyFont="1" applyFill="1" applyBorder="1"/>
    <xf numFmtId="4" fontId="9" fillId="34" borderId="70" xfId="1" applyNumberFormat="1" applyFont="1" applyFill="1" applyBorder="1"/>
    <xf numFmtId="3" fontId="9" fillId="34" borderId="25" xfId="1" applyNumberFormat="1" applyFont="1" applyFill="1" applyBorder="1"/>
    <xf numFmtId="0" fontId="14" fillId="34" borderId="4" xfId="1" applyFont="1" applyFill="1" applyBorder="1"/>
    <xf numFmtId="0" fontId="14" fillId="34" borderId="70" xfId="1" applyFont="1" applyFill="1" applyBorder="1"/>
    <xf numFmtId="3" fontId="9" fillId="34" borderId="162" xfId="1" applyNumberFormat="1" applyFont="1" applyFill="1" applyBorder="1"/>
    <xf numFmtId="0" fontId="8" fillId="0" borderId="0" xfId="1" applyFont="1" applyAlignment="1">
      <alignment horizontal="left"/>
    </xf>
    <xf numFmtId="0" fontId="8" fillId="15" borderId="0" xfId="1" applyFont="1" applyFill="1"/>
    <xf numFmtId="3" fontId="4" fillId="15" borderId="141" xfId="1" applyNumberFormat="1" applyFont="1" applyFill="1" applyBorder="1"/>
    <xf numFmtId="0" fontId="5" fillId="31" borderId="165" xfId="1" applyFont="1" applyFill="1" applyBorder="1" applyAlignment="1">
      <alignment horizontal="center" vertical="center" textRotation="90" wrapText="1" shrinkToFit="1"/>
    </xf>
    <xf numFmtId="1" fontId="6" fillId="4" borderId="4" xfId="1" applyNumberFormat="1" applyFont="1" applyFill="1" applyBorder="1" applyAlignment="1">
      <alignment horizontal="center" vertical="distributed" wrapText="1" shrinkToFit="1"/>
    </xf>
    <xf numFmtId="0" fontId="6" fillId="4" borderId="14" xfId="1" applyFont="1" applyFill="1" applyBorder="1" applyAlignment="1">
      <alignment vertical="distributed" wrapText="1" shrinkToFit="1"/>
    </xf>
    <xf numFmtId="0" fontId="6" fillId="4" borderId="12" xfId="1" applyFont="1" applyFill="1" applyBorder="1" applyAlignment="1">
      <alignment vertical="distributed" wrapText="1" shrinkToFit="1"/>
    </xf>
    <xf numFmtId="0" fontId="6" fillId="4" borderId="137" xfId="1" applyFont="1" applyFill="1" applyBorder="1" applyAlignment="1">
      <alignment vertical="distributed" wrapText="1" shrinkToFit="1"/>
    </xf>
    <xf numFmtId="0" fontId="6" fillId="4" borderId="138" xfId="1" applyFont="1" applyFill="1" applyBorder="1" applyAlignment="1">
      <alignment vertical="distributed" wrapText="1" shrinkToFit="1"/>
    </xf>
    <xf numFmtId="0" fontId="23" fillId="4" borderId="4" xfId="1" applyFont="1" applyFill="1" applyBorder="1" applyAlignment="1">
      <alignment vertical="distributed" wrapText="1" shrinkToFit="1"/>
    </xf>
    <xf numFmtId="0" fontId="23" fillId="4" borderId="9" xfId="1" applyFont="1" applyFill="1" applyBorder="1" applyAlignment="1">
      <alignment vertical="distributed" wrapText="1" shrinkToFit="1"/>
    </xf>
    <xf numFmtId="0" fontId="6" fillId="4" borderId="10" xfId="1" applyFont="1" applyFill="1" applyBorder="1" applyAlignment="1">
      <alignment vertical="distributed" wrapText="1" shrinkToFit="1"/>
    </xf>
    <xf numFmtId="0" fontId="6" fillId="4" borderId="118" xfId="1" applyFont="1" applyFill="1" applyBorder="1" applyAlignment="1">
      <alignment vertical="distributed" wrapText="1" shrinkToFit="1"/>
    </xf>
    <xf numFmtId="0" fontId="6" fillId="4" borderId="120" xfId="1" applyFont="1" applyFill="1" applyBorder="1" applyAlignment="1">
      <alignment vertical="distributed" wrapText="1" shrinkToFit="1"/>
    </xf>
    <xf numFmtId="0" fontId="6" fillId="4" borderId="112" xfId="1" applyFont="1" applyFill="1" applyBorder="1" applyAlignment="1">
      <alignment vertical="distributed" wrapText="1" shrinkToFit="1"/>
    </xf>
    <xf numFmtId="0" fontId="6" fillId="4" borderId="113" xfId="1" applyFont="1" applyFill="1" applyBorder="1" applyAlignment="1">
      <alignment vertical="distributed" wrapText="1" shrinkToFit="1"/>
    </xf>
    <xf numFmtId="0" fontId="6" fillId="4" borderId="132" xfId="1" applyFont="1" applyFill="1" applyBorder="1" applyAlignment="1">
      <alignment vertical="distributed" wrapText="1" shrinkToFit="1"/>
    </xf>
    <xf numFmtId="0" fontId="6" fillId="4" borderId="165" xfId="1" applyFont="1" applyFill="1" applyBorder="1" applyAlignment="1">
      <alignment vertical="distributed" wrapText="1" shrinkToFit="1"/>
    </xf>
    <xf numFmtId="0" fontId="23" fillId="4" borderId="137" xfId="1" applyFont="1" applyFill="1" applyBorder="1" applyAlignment="1">
      <alignment vertical="distributed" wrapText="1" shrinkToFit="1"/>
    </xf>
    <xf numFmtId="0" fontId="23" fillId="4" borderId="138" xfId="1" applyFont="1" applyFill="1" applyBorder="1" applyAlignment="1">
      <alignment vertical="distributed" wrapText="1" shrinkToFit="1"/>
    </xf>
    <xf numFmtId="0" fontId="6" fillId="4" borderId="139" xfId="1" applyFont="1" applyFill="1" applyBorder="1" applyAlignment="1">
      <alignment vertical="distributed" wrapText="1" shrinkToFit="1"/>
    </xf>
    <xf numFmtId="0" fontId="6" fillId="4" borderId="140" xfId="1" applyFont="1" applyFill="1" applyBorder="1" applyAlignment="1">
      <alignment vertical="distributed" wrapText="1" shrinkToFit="1"/>
    </xf>
    <xf numFmtId="0" fontId="6" fillId="4" borderId="169" xfId="1" applyFont="1" applyFill="1" applyBorder="1" applyAlignment="1">
      <alignment vertical="distributed" wrapText="1" shrinkToFit="1"/>
    </xf>
    <xf numFmtId="0" fontId="6" fillId="4" borderId="160" xfId="1" applyFont="1" applyFill="1" applyBorder="1" applyAlignment="1">
      <alignment vertical="distributed" wrapText="1" shrinkToFit="1"/>
    </xf>
    <xf numFmtId="0" fontId="6" fillId="4" borderId="170" xfId="1" applyFont="1" applyFill="1" applyBorder="1" applyAlignment="1">
      <alignment vertical="distributed" wrapText="1" shrinkToFit="1"/>
    </xf>
    <xf numFmtId="0" fontId="6" fillId="4" borderId="135" xfId="1" applyFont="1" applyFill="1" applyBorder="1" applyAlignment="1">
      <alignment vertical="distributed" wrapText="1" shrinkToFit="1"/>
    </xf>
    <xf numFmtId="0" fontId="6" fillId="4" borderId="163" xfId="1" applyFont="1" applyFill="1" applyBorder="1" applyAlignment="1">
      <alignment vertical="distributed" wrapText="1" shrinkToFit="1"/>
    </xf>
    <xf numFmtId="0" fontId="6" fillId="4" borderId="172" xfId="1" applyFont="1" applyFill="1" applyBorder="1" applyAlignment="1">
      <alignment vertical="distributed" wrapText="1" shrinkToFit="1"/>
    </xf>
    <xf numFmtId="0" fontId="6" fillId="4" borderId="5" xfId="1" applyFont="1" applyFill="1" applyBorder="1" applyAlignment="1">
      <alignment vertical="distributed" wrapText="1" shrinkToFit="1"/>
    </xf>
    <xf numFmtId="0" fontId="26" fillId="4" borderId="4" xfId="1" applyFont="1" applyFill="1" applyBorder="1" applyAlignment="1">
      <alignment vertical="distributed" wrapText="1" shrinkToFit="1"/>
    </xf>
    <xf numFmtId="0" fontId="26" fillId="4" borderId="9" xfId="1" applyFont="1" applyFill="1" applyBorder="1" applyAlignment="1">
      <alignment vertical="distributed" wrapText="1" shrinkToFit="1"/>
    </xf>
    <xf numFmtId="0" fontId="23" fillId="4" borderId="14" xfId="1" applyFont="1" applyFill="1" applyBorder="1" applyAlignment="1">
      <alignment vertical="distributed" wrapText="1" shrinkToFit="1"/>
    </xf>
    <xf numFmtId="0" fontId="23" fillId="4" borderId="12" xfId="1" applyFont="1" applyFill="1" applyBorder="1" applyAlignment="1">
      <alignment vertical="distributed" wrapText="1" shrinkToFit="1"/>
    </xf>
    <xf numFmtId="0" fontId="26" fillId="4" borderId="14" xfId="1" applyFont="1" applyFill="1" applyBorder="1" applyAlignment="1">
      <alignment vertical="distributed" wrapText="1" shrinkToFit="1"/>
    </xf>
    <xf numFmtId="0" fontId="26" fillId="4" borderId="12" xfId="1" applyFont="1" applyFill="1" applyBorder="1" applyAlignment="1">
      <alignment vertical="distributed" wrapText="1" shrinkToFit="1"/>
    </xf>
    <xf numFmtId="0" fontId="26" fillId="4" borderId="137" xfId="1" applyFont="1" applyFill="1" applyBorder="1" applyAlignment="1">
      <alignment vertical="distributed" wrapText="1" shrinkToFit="1"/>
    </xf>
    <xf numFmtId="0" fontId="26" fillId="4" borderId="138" xfId="1" applyFont="1" applyFill="1" applyBorder="1" applyAlignment="1">
      <alignment vertical="distributed" wrapText="1" shrinkToFit="1"/>
    </xf>
    <xf numFmtId="0" fontId="29" fillId="0" borderId="102" xfId="1" applyFont="1" applyBorder="1"/>
    <xf numFmtId="0" fontId="29" fillId="0" borderId="106" xfId="1" applyFont="1" applyBorder="1" applyAlignment="1">
      <alignment horizontal="left"/>
    </xf>
    <xf numFmtId="3" fontId="29" fillId="0" borderId="46" xfId="1" applyNumberFormat="1" applyFont="1" applyBorder="1"/>
    <xf numFmtId="3" fontId="29" fillId="0" borderId="15" xfId="1" applyNumberFormat="1" applyFont="1" applyBorder="1"/>
    <xf numFmtId="3" fontId="29" fillId="0" borderId="15" xfId="1" applyNumberFormat="1" applyFont="1" applyBorder="1" applyAlignment="1">
      <alignment horizontal="right"/>
    </xf>
    <xf numFmtId="3" fontId="29" fillId="0" borderId="104" xfId="1" applyNumberFormat="1" applyFont="1" applyBorder="1"/>
    <xf numFmtId="3" fontId="29" fillId="0" borderId="102" xfId="1" applyNumberFormat="1" applyFont="1" applyBorder="1" applyAlignment="1">
      <alignment horizontal="right"/>
    </xf>
    <xf numFmtId="3" fontId="29" fillId="0" borderId="94" xfId="1" applyNumberFormat="1" applyFont="1" applyBorder="1" applyAlignment="1">
      <alignment horizontal="right"/>
    </xf>
    <xf numFmtId="3" fontId="29" fillId="0" borderId="95" xfId="1" applyNumberFormat="1" applyFont="1" applyBorder="1" applyAlignment="1">
      <alignment horizontal="right"/>
    </xf>
    <xf numFmtId="3" fontId="17" fillId="0" borderId="109" xfId="1" applyNumberFormat="1" applyFont="1" applyBorder="1"/>
    <xf numFmtId="0" fontId="29" fillId="0" borderId="0" xfId="1" applyFont="1"/>
    <xf numFmtId="3" fontId="17" fillId="0" borderId="0" xfId="1" applyNumberFormat="1" applyFont="1"/>
    <xf numFmtId="3" fontId="8" fillId="0" borderId="38" xfId="1" applyNumberFormat="1" applyFont="1" applyBorder="1"/>
    <xf numFmtId="3" fontId="8" fillId="0" borderId="30" xfId="1" applyNumberFormat="1" applyFont="1" applyBorder="1"/>
    <xf numFmtId="3" fontId="8" fillId="0" borderId="73" xfId="1" applyNumberFormat="1" applyFont="1" applyBorder="1"/>
    <xf numFmtId="0" fontId="6" fillId="38" borderId="14" xfId="1" applyFont="1" applyFill="1" applyBorder="1" applyAlignment="1">
      <alignment vertical="distributed" wrapText="1" shrinkToFit="1"/>
    </xf>
    <xf numFmtId="0" fontId="6" fillId="38" borderId="4" xfId="1" applyFont="1" applyFill="1" applyBorder="1" applyAlignment="1">
      <alignment vertical="distributed" wrapText="1" shrinkToFit="1"/>
    </xf>
    <xf numFmtId="0" fontId="6" fillId="38" borderId="137" xfId="1" applyFont="1" applyFill="1" applyBorder="1" applyAlignment="1">
      <alignment vertical="distributed" wrapText="1" shrinkToFit="1"/>
    </xf>
    <xf numFmtId="0" fontId="6" fillId="38" borderId="139" xfId="1" applyFont="1" applyFill="1" applyBorder="1" applyAlignment="1">
      <alignment vertical="distributed" wrapText="1" shrinkToFit="1"/>
    </xf>
    <xf numFmtId="0" fontId="23" fillId="38" borderId="4" xfId="1" applyFont="1" applyFill="1" applyBorder="1" applyAlignment="1">
      <alignment vertical="distributed" wrapText="1" shrinkToFit="1"/>
    </xf>
    <xf numFmtId="0" fontId="23" fillId="38" borderId="14" xfId="1" applyFont="1" applyFill="1" applyBorder="1" applyAlignment="1">
      <alignment vertical="distributed" wrapText="1" shrinkToFit="1"/>
    </xf>
    <xf numFmtId="0" fontId="6" fillId="38" borderId="135" xfId="1" applyFont="1" applyFill="1" applyBorder="1" applyAlignment="1">
      <alignment vertical="distributed" wrapText="1" shrinkToFit="1"/>
    </xf>
    <xf numFmtId="0" fontId="23" fillId="38" borderId="135" xfId="1" applyFont="1" applyFill="1" applyBorder="1" applyAlignment="1">
      <alignment vertical="distributed" wrapText="1" shrinkToFit="1"/>
    </xf>
    <xf numFmtId="0" fontId="23" fillId="38" borderId="137" xfId="1" applyFont="1" applyFill="1" applyBorder="1" applyAlignment="1">
      <alignment vertical="distributed" wrapText="1" shrinkToFit="1"/>
    </xf>
    <xf numFmtId="0" fontId="26" fillId="38" borderId="14" xfId="1" applyFont="1" applyFill="1" applyBorder="1" applyAlignment="1">
      <alignment vertical="distributed" wrapText="1" shrinkToFit="1"/>
    </xf>
    <xf numFmtId="0" fontId="26" fillId="38" borderId="4" xfId="1" applyFont="1" applyFill="1" applyBorder="1" applyAlignment="1">
      <alignment vertical="distributed" wrapText="1" shrinkToFit="1"/>
    </xf>
    <xf numFmtId="0" fontId="6" fillId="38" borderId="5" xfId="1" applyFont="1" applyFill="1" applyBorder="1" applyAlignment="1">
      <alignment vertical="distributed" wrapText="1" shrinkToFit="1"/>
    </xf>
    <xf numFmtId="1" fontId="4" fillId="40" borderId="4" xfId="1" applyNumberFormat="1" applyFont="1" applyFill="1" applyBorder="1" applyAlignment="1">
      <alignment horizontal="center" vertical="center" wrapText="1" shrinkToFit="1"/>
    </xf>
    <xf numFmtId="0" fontId="4" fillId="40" borderId="7" xfId="1" applyFont="1" applyFill="1" applyBorder="1" applyAlignment="1">
      <alignment horizontal="center" vertical="center" wrapText="1" shrinkToFit="1"/>
    </xf>
    <xf numFmtId="0" fontId="4" fillId="40" borderId="8" xfId="1" applyFont="1" applyFill="1" applyBorder="1" applyAlignment="1">
      <alignment horizontal="center" vertical="center" wrapText="1"/>
    </xf>
    <xf numFmtId="0" fontId="4" fillId="40" borderId="9" xfId="1" applyFont="1" applyFill="1" applyBorder="1" applyAlignment="1">
      <alignment horizontal="center" vertical="center" wrapText="1"/>
    </xf>
    <xf numFmtId="164" fontId="4" fillId="40" borderId="4" xfId="1" applyNumberFormat="1" applyFont="1" applyFill="1" applyBorder="1" applyAlignment="1">
      <alignment horizontal="center" vertical="center" wrapText="1" shrinkToFit="1"/>
    </xf>
    <xf numFmtId="1" fontId="4" fillId="40" borderId="12" xfId="1" applyNumberFormat="1" applyFont="1" applyFill="1" applyBorder="1" applyAlignment="1">
      <alignment horizontal="center" vertical="center" wrapText="1" shrinkToFit="1"/>
    </xf>
    <xf numFmtId="165" fontId="4" fillId="40" borderId="4" xfId="1" applyNumberFormat="1" applyFont="1" applyFill="1" applyBorder="1" applyAlignment="1">
      <alignment horizontal="center" vertical="center" wrapText="1" shrinkToFit="1"/>
    </xf>
    <xf numFmtId="0" fontId="5" fillId="42" borderId="4" xfId="1" applyFont="1" applyFill="1" applyBorder="1" applyAlignment="1">
      <alignment horizontal="center" vertical="center" wrapText="1" shrinkToFit="1"/>
    </xf>
    <xf numFmtId="0" fontId="5" fillId="44" borderId="120" xfId="1" applyFont="1" applyFill="1" applyBorder="1" applyAlignment="1">
      <alignment horizontal="center" vertical="center" textRotation="90" wrapText="1" shrinkToFit="1"/>
    </xf>
    <xf numFmtId="0" fontId="5" fillId="44" borderId="112" xfId="1" applyFont="1" applyFill="1" applyBorder="1" applyAlignment="1">
      <alignment horizontal="center" vertical="center" textRotation="90" wrapText="1" shrinkToFit="1"/>
    </xf>
    <xf numFmtId="0" fontId="5" fillId="44" borderId="113" xfId="1" applyFont="1" applyFill="1" applyBorder="1" applyAlignment="1">
      <alignment horizontal="center" vertical="center" textRotation="90" wrapText="1" shrinkToFit="1"/>
    </xf>
    <xf numFmtId="0" fontId="5" fillId="44" borderId="132" xfId="1" applyFont="1" applyFill="1" applyBorder="1" applyAlignment="1">
      <alignment horizontal="center" vertical="center" textRotation="90" wrapText="1" shrinkToFit="1"/>
    </xf>
    <xf numFmtId="0" fontId="5" fillId="51" borderId="4" xfId="1" applyFont="1" applyFill="1" applyBorder="1" applyAlignment="1">
      <alignment horizontal="center" vertical="center" wrapText="1" shrinkToFit="1"/>
    </xf>
    <xf numFmtId="0" fontId="5" fillId="52" borderId="4" xfId="1" applyFont="1" applyFill="1" applyBorder="1" applyAlignment="1">
      <alignment horizontal="center" vertical="center" wrapText="1" shrinkToFit="1"/>
    </xf>
    <xf numFmtId="0" fontId="5" fillId="51" borderId="4" xfId="1" applyFont="1" applyFill="1" applyBorder="1" applyAlignment="1">
      <alignment horizontal="center" vertical="center" textRotation="90" wrapText="1" shrinkToFit="1"/>
    </xf>
    <xf numFmtId="0" fontId="5" fillId="51" borderId="7" xfId="1" applyFont="1" applyFill="1" applyBorder="1" applyAlignment="1">
      <alignment horizontal="center" vertical="center" textRotation="90" wrapText="1" shrinkToFit="1"/>
    </xf>
    <xf numFmtId="0" fontId="6" fillId="4" borderId="1" xfId="1" applyFont="1" applyFill="1" applyBorder="1" applyAlignment="1">
      <alignment vertical="distributed" wrapText="1" shrinkToFit="1"/>
    </xf>
    <xf numFmtId="0" fontId="26" fillId="38" borderId="137" xfId="1" applyFont="1" applyFill="1" applyBorder="1" applyAlignment="1">
      <alignment vertical="distributed" wrapText="1" shrinkToFit="1"/>
    </xf>
    <xf numFmtId="0" fontId="6" fillId="4" borderId="174" xfId="1" applyFont="1" applyFill="1" applyBorder="1" applyAlignment="1">
      <alignment vertical="distributed" wrapText="1" shrinkToFit="1"/>
    </xf>
    <xf numFmtId="0" fontId="6" fillId="4" borderId="166" xfId="1" applyFont="1" applyFill="1" applyBorder="1" applyAlignment="1">
      <alignment vertical="distributed" wrapText="1" shrinkToFit="1"/>
    </xf>
    <xf numFmtId="0" fontId="6" fillId="38" borderId="169" xfId="1" applyFont="1" applyFill="1" applyBorder="1" applyAlignment="1">
      <alignment vertical="distributed" wrapText="1" shrinkToFit="1"/>
    </xf>
    <xf numFmtId="0" fontId="6" fillId="53" borderId="4" xfId="1" applyFont="1" applyFill="1" applyBorder="1" applyAlignment="1">
      <alignment vertical="distributed" wrapText="1" shrinkToFit="1"/>
    </xf>
    <xf numFmtId="0" fontId="6" fillId="53" borderId="14" xfId="1" applyFont="1" applyFill="1" applyBorder="1" applyAlignment="1">
      <alignment vertical="distributed" wrapText="1" shrinkToFit="1"/>
    </xf>
    <xf numFmtId="0" fontId="4" fillId="4" borderId="4" xfId="1" applyFont="1" applyFill="1" applyBorder="1" applyAlignment="1">
      <alignment horizontal="center" vertical="center" wrapText="1" shrinkToFit="1"/>
    </xf>
    <xf numFmtId="0" fontId="5" fillId="4" borderId="4" xfId="1" applyFont="1" applyFill="1" applyBorder="1" applyAlignment="1">
      <alignment horizontal="center" vertical="center" wrapText="1" shrinkToFit="1"/>
    </xf>
    <xf numFmtId="0" fontId="6" fillId="53" borderId="9" xfId="1" applyFont="1" applyFill="1" applyBorder="1" applyAlignment="1">
      <alignment vertical="distributed" wrapText="1" shrinkToFit="1"/>
    </xf>
    <xf numFmtId="0" fontId="6" fillId="38" borderId="138" xfId="1" applyFont="1" applyFill="1" applyBorder="1" applyAlignment="1">
      <alignment vertical="distributed" wrapText="1" shrinkToFit="1"/>
    </xf>
    <xf numFmtId="0" fontId="6" fillId="38" borderId="163" xfId="1" applyFont="1" applyFill="1" applyBorder="1" applyAlignment="1">
      <alignment vertical="distributed" wrapText="1" shrinkToFit="1"/>
    </xf>
    <xf numFmtId="0" fontId="6" fillId="38" borderId="9" xfId="1" applyFont="1" applyFill="1" applyBorder="1" applyAlignment="1">
      <alignment vertical="distributed" wrapText="1" shrinkToFit="1"/>
    </xf>
    <xf numFmtId="0" fontId="6" fillId="38" borderId="172" xfId="1" applyFont="1" applyFill="1" applyBorder="1" applyAlignment="1">
      <alignment vertical="distributed" wrapText="1" shrinkToFit="1"/>
    </xf>
    <xf numFmtId="0" fontId="23" fillId="38" borderId="138" xfId="1" applyFont="1" applyFill="1" applyBorder="1" applyAlignment="1">
      <alignment vertical="distributed" wrapText="1" shrinkToFit="1"/>
    </xf>
    <xf numFmtId="0" fontId="6" fillId="38" borderId="13" xfId="1" applyFont="1" applyFill="1" applyBorder="1" applyAlignment="1">
      <alignment vertical="distributed" wrapText="1" shrinkToFit="1"/>
    </xf>
    <xf numFmtId="0" fontId="6" fillId="38" borderId="12" xfId="1" applyFont="1" applyFill="1" applyBorder="1" applyAlignment="1">
      <alignment vertical="distributed" wrapText="1" shrinkToFit="1"/>
    </xf>
    <xf numFmtId="0" fontId="23" fillId="38" borderId="163" xfId="1" applyFont="1" applyFill="1" applyBorder="1" applyAlignment="1">
      <alignment vertical="distributed" wrapText="1" shrinkToFit="1"/>
    </xf>
    <xf numFmtId="0" fontId="6" fillId="38" borderId="166" xfId="1" applyFont="1" applyFill="1" applyBorder="1" applyAlignment="1">
      <alignment vertical="distributed" wrapText="1" shrinkToFit="1"/>
    </xf>
    <xf numFmtId="0" fontId="23" fillId="38" borderId="169" xfId="1" applyFont="1" applyFill="1" applyBorder="1" applyAlignment="1">
      <alignment vertical="distributed" wrapText="1" shrinkToFit="1"/>
    </xf>
    <xf numFmtId="0" fontId="23" fillId="38" borderId="9" xfId="1" applyFont="1" applyFill="1" applyBorder="1" applyAlignment="1">
      <alignment vertical="distributed" wrapText="1" shrinkToFit="1"/>
    </xf>
    <xf numFmtId="0" fontId="23" fillId="38" borderId="172" xfId="1" applyFont="1" applyFill="1" applyBorder="1" applyAlignment="1">
      <alignment vertical="distributed" wrapText="1" shrinkToFit="1"/>
    </xf>
    <xf numFmtId="0" fontId="6" fillId="38" borderId="140" xfId="1" applyFont="1" applyFill="1" applyBorder="1" applyAlignment="1">
      <alignment vertical="distributed" wrapText="1" shrinkToFit="1"/>
    </xf>
    <xf numFmtId="0" fontId="26" fillId="38" borderId="9" xfId="1" applyFont="1" applyFill="1" applyBorder="1" applyAlignment="1">
      <alignment vertical="distributed" wrapText="1" shrinkToFit="1"/>
    </xf>
    <xf numFmtId="0" fontId="6" fillId="38" borderId="160" xfId="1" applyFont="1" applyFill="1" applyBorder="1" applyAlignment="1">
      <alignment vertical="distributed" wrapText="1" shrinkToFit="1"/>
    </xf>
    <xf numFmtId="0" fontId="6" fillId="38" borderId="170" xfId="1" applyFont="1" applyFill="1" applyBorder="1" applyAlignment="1">
      <alignment vertical="distributed" wrapText="1" shrinkToFit="1"/>
    </xf>
    <xf numFmtId="0" fontId="6" fillId="38" borderId="178" xfId="1" applyFont="1" applyFill="1" applyBorder="1" applyAlignment="1">
      <alignment vertical="distributed" wrapText="1" shrinkToFit="1"/>
    </xf>
    <xf numFmtId="0" fontId="6" fillId="38" borderId="179" xfId="1" applyFont="1" applyFill="1" applyBorder="1" applyAlignment="1">
      <alignment vertical="distributed" wrapText="1" shrinkToFit="1"/>
    </xf>
    <xf numFmtId="0" fontId="6" fillId="38" borderId="10" xfId="1" applyFont="1" applyFill="1" applyBorder="1" applyAlignment="1">
      <alignment vertical="distributed" wrapText="1" shrinkToFit="1"/>
    </xf>
    <xf numFmtId="0" fontId="23" fillId="38" borderId="12" xfId="1" applyFont="1" applyFill="1" applyBorder="1" applyAlignment="1">
      <alignment vertical="distributed" wrapText="1" shrinkToFit="1"/>
    </xf>
    <xf numFmtId="0" fontId="26" fillId="38" borderId="12" xfId="1" applyFont="1" applyFill="1" applyBorder="1" applyAlignment="1">
      <alignment vertical="distributed" wrapText="1" shrinkToFit="1"/>
    </xf>
    <xf numFmtId="0" fontId="6" fillId="38" borderId="1" xfId="1" applyFont="1" applyFill="1" applyBorder="1" applyAlignment="1">
      <alignment vertical="distributed" wrapText="1" shrinkToFit="1"/>
    </xf>
    <xf numFmtId="0" fontId="26" fillId="38" borderId="135" xfId="1" applyFont="1" applyFill="1" applyBorder="1" applyAlignment="1">
      <alignment vertical="distributed" wrapText="1" shrinkToFit="1"/>
    </xf>
    <xf numFmtId="0" fontId="26" fillId="38" borderId="160" xfId="1" applyFont="1" applyFill="1" applyBorder="1" applyAlignment="1">
      <alignment vertical="distributed" wrapText="1" shrinkToFit="1"/>
    </xf>
    <xf numFmtId="0" fontId="26" fillId="38" borderId="170" xfId="1" applyFont="1" applyFill="1" applyBorder="1" applyAlignment="1">
      <alignment vertical="distributed" wrapText="1" shrinkToFit="1"/>
    </xf>
    <xf numFmtId="0" fontId="26" fillId="38" borderId="138" xfId="1" applyFont="1" applyFill="1" applyBorder="1" applyAlignment="1">
      <alignment vertical="distributed" wrapText="1" shrinkToFit="1"/>
    </xf>
    <xf numFmtId="0" fontId="6" fillId="38" borderId="174" xfId="1" applyFont="1" applyFill="1" applyBorder="1" applyAlignment="1">
      <alignment vertical="distributed" wrapText="1" shrinkToFit="1"/>
    </xf>
    <xf numFmtId="0" fontId="6" fillId="38" borderId="118" xfId="1" applyFont="1" applyFill="1" applyBorder="1" applyAlignment="1">
      <alignment vertical="distributed" wrapText="1" shrinkToFit="1"/>
    </xf>
    <xf numFmtId="0" fontId="26" fillId="38" borderId="163" xfId="1" applyFont="1" applyFill="1" applyBorder="1" applyAlignment="1">
      <alignment vertical="distributed" wrapText="1" shrinkToFit="1"/>
    </xf>
    <xf numFmtId="0" fontId="6" fillId="38" borderId="180" xfId="1" applyFont="1" applyFill="1" applyBorder="1" applyAlignment="1">
      <alignment vertical="distributed" wrapText="1" shrinkToFit="1"/>
    </xf>
    <xf numFmtId="0" fontId="6" fillId="38" borderId="181" xfId="1" applyFont="1" applyFill="1" applyBorder="1" applyAlignment="1">
      <alignment vertical="distributed" wrapText="1" shrinkToFit="1"/>
    </xf>
    <xf numFmtId="0" fontId="6" fillId="38" borderId="182" xfId="1" applyFont="1" applyFill="1" applyBorder="1" applyAlignment="1">
      <alignment vertical="distributed" wrapText="1" shrinkToFit="1"/>
    </xf>
    <xf numFmtId="0" fontId="36" fillId="4" borderId="4" xfId="1" applyFont="1" applyFill="1" applyBorder="1" applyAlignment="1">
      <alignment vertical="distributed" wrapText="1" shrinkToFit="1"/>
    </xf>
    <xf numFmtId="0" fontId="36" fillId="4" borderId="9" xfId="1" applyFont="1" applyFill="1" applyBorder="1" applyAlignment="1">
      <alignment vertical="distributed" wrapText="1" shrinkToFit="1"/>
    </xf>
    <xf numFmtId="0" fontId="36" fillId="4" borderId="14" xfId="1" applyFont="1" applyFill="1" applyBorder="1" applyAlignment="1">
      <alignment vertical="distributed" wrapText="1" shrinkToFit="1"/>
    </xf>
    <xf numFmtId="0" fontId="6" fillId="15" borderId="14" xfId="1" applyFont="1" applyFill="1" applyBorder="1" applyAlignment="1">
      <alignment vertical="distributed" wrapText="1" shrinkToFit="1"/>
    </xf>
    <xf numFmtId="0" fontId="6" fillId="15" borderId="12" xfId="1" applyFont="1" applyFill="1" applyBorder="1" applyAlignment="1">
      <alignment vertical="distributed" wrapText="1" shrinkToFit="1"/>
    </xf>
    <xf numFmtId="0" fontId="23" fillId="15" borderId="12" xfId="1" applyFont="1" applyFill="1" applyBorder="1" applyAlignment="1">
      <alignment vertical="distributed" wrapText="1" shrinkToFit="1"/>
    </xf>
    <xf numFmtId="0" fontId="23" fillId="15" borderId="14" xfId="1" applyFont="1" applyFill="1" applyBorder="1" applyAlignment="1">
      <alignment vertical="distributed" wrapText="1" shrinkToFit="1"/>
    </xf>
    <xf numFmtId="0" fontId="6" fillId="15" borderId="4" xfId="1" applyFont="1" applyFill="1" applyBorder="1" applyAlignment="1">
      <alignment vertical="distributed" wrapText="1" shrinkToFit="1"/>
    </xf>
    <xf numFmtId="0" fontId="6" fillId="15" borderId="9" xfId="1" applyFont="1" applyFill="1" applyBorder="1" applyAlignment="1">
      <alignment vertical="distributed" wrapText="1" shrinkToFit="1"/>
    </xf>
    <xf numFmtId="0" fontId="6" fillId="38" borderId="173" xfId="1" applyFont="1" applyFill="1" applyBorder="1" applyAlignment="1">
      <alignment vertical="distributed" wrapText="1" shrinkToFit="1"/>
    </xf>
    <xf numFmtId="0" fontId="6" fillId="38" borderId="167" xfId="1" applyFont="1" applyFill="1" applyBorder="1" applyAlignment="1">
      <alignment vertical="distributed" wrapText="1" shrinkToFit="1"/>
    </xf>
    <xf numFmtId="0" fontId="6" fillId="38" borderId="183" xfId="1" applyFont="1" applyFill="1" applyBorder="1" applyAlignment="1">
      <alignment vertical="distributed" wrapText="1" shrinkToFit="1"/>
    </xf>
    <xf numFmtId="0" fontId="6" fillId="38" borderId="184" xfId="1" applyFont="1" applyFill="1" applyBorder="1" applyAlignment="1">
      <alignment vertical="distributed" wrapText="1" shrinkToFit="1"/>
    </xf>
    <xf numFmtId="0" fontId="4" fillId="40" borderId="4" xfId="1" applyFont="1" applyFill="1" applyBorder="1" applyAlignment="1">
      <alignment horizontal="center" vertical="center" wrapText="1" shrinkToFit="1"/>
    </xf>
    <xf numFmtId="165" fontId="6" fillId="4" borderId="4" xfId="1" applyNumberFormat="1" applyFont="1" applyFill="1" applyBorder="1" applyAlignment="1">
      <alignment horizontal="left" vertical="distributed" wrapText="1" shrinkToFit="1"/>
    </xf>
    <xf numFmtId="0" fontId="26" fillId="38" borderId="169" xfId="1" applyFont="1" applyFill="1" applyBorder="1" applyAlignment="1">
      <alignment vertical="distributed" wrapText="1" shrinkToFit="1"/>
    </xf>
    <xf numFmtId="0" fontId="26" fillId="38" borderId="172" xfId="1" applyFont="1" applyFill="1" applyBorder="1" applyAlignment="1">
      <alignment vertical="distributed" wrapText="1" shrinkToFit="1"/>
    </xf>
    <xf numFmtId="0" fontId="6" fillId="38" borderId="14" xfId="1" applyFont="1" applyFill="1" applyBorder="1" applyAlignment="1">
      <alignment vertical="center" wrapText="1" shrinkToFit="1"/>
    </xf>
    <xf numFmtId="0" fontId="6" fillId="38" borderId="176" xfId="1" applyFont="1" applyFill="1" applyBorder="1" applyAlignment="1">
      <alignment vertical="distributed" wrapText="1" shrinkToFit="1"/>
    </xf>
    <xf numFmtId="0" fontId="35" fillId="38" borderId="4" xfId="1" applyFont="1" applyFill="1" applyBorder="1" applyAlignment="1">
      <alignment vertical="distributed" wrapText="1" shrinkToFit="1"/>
    </xf>
    <xf numFmtId="0" fontId="35" fillId="38" borderId="9" xfId="1" applyFont="1" applyFill="1" applyBorder="1" applyAlignment="1">
      <alignment vertical="distributed" wrapText="1" shrinkToFit="1"/>
    </xf>
    <xf numFmtId="0" fontId="26" fillId="4" borderId="140" xfId="1" applyFont="1" applyFill="1" applyBorder="1" applyAlignment="1">
      <alignment vertical="distributed" wrapText="1" shrinkToFit="1"/>
    </xf>
    <xf numFmtId="0" fontId="26" fillId="4" borderId="139" xfId="1" applyFont="1" applyFill="1" applyBorder="1" applyAlignment="1">
      <alignment vertical="distributed" wrapText="1" shrinkToFit="1"/>
    </xf>
    <xf numFmtId="0" fontId="26" fillId="4" borderId="10" xfId="1" applyFont="1" applyFill="1" applyBorder="1" applyAlignment="1">
      <alignment vertical="distributed" wrapText="1" shrinkToFit="1"/>
    </xf>
    <xf numFmtId="0" fontId="5" fillId="45" borderId="168" xfId="1" applyFont="1" applyFill="1" applyBorder="1" applyAlignment="1">
      <alignment horizontal="center" vertical="center" wrapText="1" shrinkToFit="1"/>
    </xf>
    <xf numFmtId="0" fontId="5" fillId="45" borderId="177" xfId="1" applyFont="1" applyFill="1" applyBorder="1" applyAlignment="1">
      <alignment horizontal="center" vertical="center" wrapText="1" shrinkToFit="1"/>
    </xf>
    <xf numFmtId="0" fontId="5" fillId="45" borderId="136" xfId="1" applyFont="1" applyFill="1" applyBorder="1" applyAlignment="1">
      <alignment horizontal="center" vertical="center" wrapText="1" shrinkToFit="1"/>
    </xf>
    <xf numFmtId="0" fontId="4" fillId="40" borderId="10" xfId="1" applyFont="1" applyFill="1" applyBorder="1" applyAlignment="1">
      <alignment horizontal="center" vertical="center" shrinkToFit="1"/>
    </xf>
    <xf numFmtId="0" fontId="4" fillId="40" borderId="5" xfId="1" applyFont="1" applyFill="1" applyBorder="1" applyAlignment="1">
      <alignment horizontal="center" vertical="center" shrinkToFit="1"/>
    </xf>
    <xf numFmtId="0" fontId="4" fillId="40" borderId="14" xfId="1" applyFont="1" applyFill="1" applyBorder="1" applyAlignment="1">
      <alignment horizontal="center" vertical="center" shrinkToFit="1"/>
    </xf>
    <xf numFmtId="0" fontId="5" fillId="36" borderId="2" xfId="1" applyFont="1" applyFill="1" applyBorder="1" applyAlignment="1">
      <alignment horizontal="center" vertical="center" wrapText="1" shrinkToFit="1"/>
    </xf>
    <xf numFmtId="0" fontId="5" fillId="36" borderId="118" xfId="1" applyFont="1" applyFill="1" applyBorder="1" applyAlignment="1">
      <alignment horizontal="center" vertical="center" wrapText="1" shrinkToFit="1"/>
    </xf>
    <xf numFmtId="0" fontId="5" fillId="36" borderId="13" xfId="1" applyFont="1" applyFill="1" applyBorder="1" applyAlignment="1">
      <alignment horizontal="center" vertical="center" wrapText="1" shrinkToFit="1"/>
    </xf>
    <xf numFmtId="0" fontId="5" fillId="36" borderId="12" xfId="1" applyFont="1" applyFill="1" applyBorder="1" applyAlignment="1">
      <alignment horizontal="center" vertical="center" wrapText="1" shrinkToFit="1"/>
    </xf>
    <xf numFmtId="0" fontId="4" fillId="13" borderId="10" xfId="1" applyFont="1" applyFill="1" applyBorder="1" applyAlignment="1">
      <alignment horizontal="center" vertical="center" wrapText="1" shrinkToFit="1"/>
    </xf>
    <xf numFmtId="0" fontId="4" fillId="13" borderId="5" xfId="1" applyFont="1" applyFill="1" applyBorder="1" applyAlignment="1">
      <alignment horizontal="center" vertical="center" wrapText="1" shrinkToFit="1"/>
    </xf>
    <xf numFmtId="0" fontId="4" fillId="13" borderId="14" xfId="1" applyFont="1" applyFill="1" applyBorder="1" applyAlignment="1">
      <alignment horizontal="center" vertical="center" wrapText="1" shrinkToFit="1"/>
    </xf>
    <xf numFmtId="0" fontId="4" fillId="21" borderId="7" xfId="1" applyFont="1" applyFill="1" applyBorder="1" applyAlignment="1">
      <alignment horizontal="center" vertical="center" wrapText="1" shrinkToFit="1"/>
    </xf>
    <xf numFmtId="0" fontId="4" fillId="21" borderId="8" xfId="1" applyFont="1" applyFill="1" applyBorder="1" applyAlignment="1">
      <alignment horizontal="center" vertical="center" wrapText="1" shrinkToFit="1"/>
    </xf>
    <xf numFmtId="0" fontId="4" fillId="21" borderId="9" xfId="1" applyFont="1" applyFill="1" applyBorder="1" applyAlignment="1">
      <alignment horizontal="center" vertical="center" wrapText="1" shrinkToFit="1"/>
    </xf>
    <xf numFmtId="0" fontId="4" fillId="21" borderId="10" xfId="1" applyFont="1" applyFill="1" applyBorder="1" applyAlignment="1">
      <alignment horizontal="center" vertical="center" wrapText="1" shrinkToFit="1"/>
    </xf>
    <xf numFmtId="0" fontId="4" fillId="21" borderId="14" xfId="1" applyFont="1" applyFill="1" applyBorder="1" applyAlignment="1">
      <alignment horizontal="center" vertical="center" wrapText="1" shrinkToFit="1"/>
    </xf>
    <xf numFmtId="0" fontId="4" fillId="10" borderId="7" xfId="1" applyFont="1" applyFill="1" applyBorder="1" applyAlignment="1">
      <alignment horizontal="center" vertical="center" wrapText="1" shrinkToFit="1"/>
    </xf>
    <xf numFmtId="0" fontId="4" fillId="10" borderId="8" xfId="1" applyFont="1" applyFill="1" applyBorder="1" applyAlignment="1">
      <alignment horizontal="center" vertical="center" wrapText="1" shrinkToFit="1"/>
    </xf>
    <xf numFmtId="0" fontId="4" fillId="10" borderId="9" xfId="1" applyFont="1" applyFill="1" applyBorder="1" applyAlignment="1">
      <alignment horizontal="center" vertical="center" wrapText="1" shrinkToFit="1"/>
    </xf>
    <xf numFmtId="0" fontId="4" fillId="10" borderId="10" xfId="1" applyFont="1" applyFill="1" applyBorder="1" applyAlignment="1">
      <alignment horizontal="center" vertical="center" wrapText="1" shrinkToFit="1"/>
    </xf>
    <xf numFmtId="0" fontId="4" fillId="10" borderId="14" xfId="1" applyFont="1" applyFill="1" applyBorder="1" applyAlignment="1">
      <alignment horizontal="center" vertical="center" wrapText="1" shrinkToFit="1"/>
    </xf>
    <xf numFmtId="0" fontId="4" fillId="19" borderId="10" xfId="1" applyFont="1" applyFill="1" applyBorder="1" applyAlignment="1">
      <alignment horizontal="center" vertical="center" wrapText="1" shrinkToFit="1"/>
    </xf>
    <xf numFmtId="0" fontId="4" fillId="19" borderId="5" xfId="1" applyFont="1" applyFill="1" applyBorder="1" applyAlignment="1">
      <alignment horizontal="center" vertical="center" wrapText="1" shrinkToFit="1"/>
    </xf>
    <xf numFmtId="0" fontId="4" fillId="19" borderId="14" xfId="1" applyFont="1" applyFill="1" applyBorder="1" applyAlignment="1">
      <alignment horizontal="center" vertical="center" wrapText="1" shrinkToFit="1"/>
    </xf>
    <xf numFmtId="0" fontId="4" fillId="16" borderId="10" xfId="1" applyFont="1" applyFill="1" applyBorder="1" applyAlignment="1">
      <alignment horizontal="center" vertical="center" wrapText="1" shrinkToFit="1"/>
    </xf>
    <xf numFmtId="0" fontId="4" fillId="16" borderId="5" xfId="1" applyFont="1" applyFill="1" applyBorder="1" applyAlignment="1">
      <alignment horizontal="center" vertical="center" wrapText="1" shrinkToFit="1"/>
    </xf>
    <xf numFmtId="0" fontId="4" fillId="16" borderId="14" xfId="1" applyFont="1" applyFill="1" applyBorder="1" applyAlignment="1">
      <alignment horizontal="center" vertical="center" wrapText="1" shrinkToFit="1"/>
    </xf>
    <xf numFmtId="0" fontId="4" fillId="9" borderId="10" xfId="1" applyFont="1" applyFill="1" applyBorder="1" applyAlignment="1">
      <alignment horizontal="center" vertical="center" wrapText="1" shrinkToFit="1"/>
    </xf>
    <xf numFmtId="0" fontId="4" fillId="9" borderId="5" xfId="1" applyFont="1" applyFill="1" applyBorder="1" applyAlignment="1">
      <alignment horizontal="center" vertical="center" wrapText="1" shrinkToFit="1"/>
    </xf>
    <xf numFmtId="0" fontId="4" fillId="9" borderId="14" xfId="1" applyFont="1" applyFill="1" applyBorder="1" applyAlignment="1">
      <alignment horizontal="center" vertical="center" wrapText="1" shrinkToFit="1"/>
    </xf>
    <xf numFmtId="0" fontId="4" fillId="40" borderId="10" xfId="1" applyFont="1" applyFill="1" applyBorder="1" applyAlignment="1">
      <alignment horizontal="center" vertical="center" wrapText="1" shrinkToFit="1"/>
    </xf>
    <xf numFmtId="0" fontId="4" fillId="40" borderId="5" xfId="1" applyFont="1" applyFill="1" applyBorder="1" applyAlignment="1">
      <alignment horizontal="center" vertical="center" wrapText="1" shrinkToFit="1"/>
    </xf>
    <xf numFmtId="0" fontId="4" fillId="40" borderId="14" xfId="1" applyFont="1" applyFill="1" applyBorder="1" applyAlignment="1">
      <alignment horizontal="center" vertical="center" wrapText="1" shrinkToFit="1"/>
    </xf>
    <xf numFmtId="0" fontId="4" fillId="46" borderId="5" xfId="1" applyFont="1" applyFill="1" applyBorder="1" applyAlignment="1">
      <alignment horizontal="center" vertical="center" wrapText="1" shrinkToFit="1"/>
    </xf>
    <xf numFmtId="0" fontId="4" fillId="46" borderId="14" xfId="1" applyFont="1" applyFill="1" applyBorder="1" applyAlignment="1">
      <alignment horizontal="center" vertical="center" wrapText="1" shrinkToFit="1"/>
    </xf>
    <xf numFmtId="0" fontId="5" fillId="25" borderId="5" xfId="1" applyFont="1" applyFill="1" applyBorder="1" applyAlignment="1">
      <alignment horizontal="center" vertical="center" wrapText="1" shrinkToFit="1"/>
    </xf>
    <xf numFmtId="0" fontId="5" fillId="25" borderId="14" xfId="1" applyFont="1" applyFill="1" applyBorder="1" applyAlignment="1">
      <alignment horizontal="center" vertical="center" wrapText="1" shrinkToFit="1"/>
    </xf>
    <xf numFmtId="0" fontId="4" fillId="47" borderId="7" xfId="1" applyFont="1" applyFill="1" applyBorder="1" applyAlignment="1">
      <alignment horizontal="center" vertical="center" wrapText="1"/>
    </xf>
    <xf numFmtId="0" fontId="4" fillId="47" borderId="8" xfId="1" applyFont="1" applyFill="1" applyBorder="1" applyAlignment="1">
      <alignment horizontal="center" vertical="center" wrapText="1"/>
    </xf>
    <xf numFmtId="0" fontId="4" fillId="47" borderId="175" xfId="1" applyFont="1" applyFill="1" applyBorder="1" applyAlignment="1">
      <alignment horizontal="center" vertical="center" wrapText="1"/>
    </xf>
    <xf numFmtId="0" fontId="4" fillId="48" borderId="7" xfId="1" applyFont="1" applyFill="1" applyBorder="1" applyAlignment="1">
      <alignment horizontal="center" vertical="center" wrapText="1"/>
    </xf>
    <xf numFmtId="0" fontId="4" fillId="48" borderId="8" xfId="1" applyFont="1" applyFill="1" applyBorder="1" applyAlignment="1">
      <alignment horizontal="center" vertical="center" wrapText="1"/>
    </xf>
    <xf numFmtId="0" fontId="4" fillId="48" borderId="9" xfId="1" applyFont="1" applyFill="1" applyBorder="1" applyAlignment="1">
      <alignment horizontal="center" vertical="center" wrapText="1"/>
    </xf>
    <xf numFmtId="1" fontId="4" fillId="39" borderId="0" xfId="1" applyNumberFormat="1" applyFont="1" applyFill="1" applyAlignment="1">
      <alignment horizontal="center" vertical="center" wrapText="1" shrinkToFit="1"/>
    </xf>
    <xf numFmtId="1" fontId="4" fillId="39" borderId="1" xfId="1" applyNumberFormat="1" applyFont="1" applyFill="1" applyBorder="1" applyAlignment="1">
      <alignment horizontal="center" vertical="center" wrapText="1" shrinkToFit="1"/>
    </xf>
    <xf numFmtId="1" fontId="4" fillId="39" borderId="11" xfId="1" applyNumberFormat="1" applyFont="1" applyFill="1" applyBorder="1" applyAlignment="1">
      <alignment horizontal="center" vertical="center" wrapText="1" shrinkToFit="1"/>
    </xf>
    <xf numFmtId="1" fontId="4" fillId="39" borderId="12" xfId="1" applyNumberFormat="1" applyFont="1" applyFill="1" applyBorder="1" applyAlignment="1">
      <alignment horizontal="center" vertical="center" wrapText="1" shrinkToFit="1"/>
    </xf>
    <xf numFmtId="1" fontId="4" fillId="39" borderId="2" xfId="1" applyNumberFormat="1" applyFont="1" applyFill="1" applyBorder="1" applyAlignment="1">
      <alignment horizontal="center" vertical="center" wrapText="1" shrinkToFit="1"/>
    </xf>
    <xf numFmtId="1" fontId="4" fillId="39" borderId="3" xfId="1" applyNumberFormat="1" applyFont="1" applyFill="1" applyBorder="1" applyAlignment="1">
      <alignment horizontal="center" vertical="center" wrapText="1" shrinkToFit="1"/>
    </xf>
    <xf numFmtId="1" fontId="4" fillId="39" borderId="118" xfId="1" applyNumberFormat="1" applyFont="1" applyFill="1" applyBorder="1" applyAlignment="1">
      <alignment horizontal="center" vertical="center" wrapText="1" shrinkToFit="1"/>
    </xf>
    <xf numFmtId="1" fontId="4" fillId="39" borderId="13" xfId="1" applyNumberFormat="1" applyFont="1" applyFill="1" applyBorder="1" applyAlignment="1">
      <alignment horizontal="center" vertical="center" wrapText="1" shrinkToFit="1"/>
    </xf>
    <xf numFmtId="1" fontId="4" fillId="41" borderId="10" xfId="1" applyNumberFormat="1" applyFont="1" applyFill="1" applyBorder="1" applyAlignment="1">
      <alignment horizontal="center" vertical="center" wrapText="1" shrinkToFit="1"/>
    </xf>
    <xf numFmtId="1" fontId="4" fillId="41" borderId="5" xfId="1" applyNumberFormat="1" applyFont="1" applyFill="1" applyBorder="1" applyAlignment="1">
      <alignment horizontal="center" vertical="center" wrapText="1" shrinkToFit="1"/>
    </xf>
    <xf numFmtId="1" fontId="4" fillId="41" borderId="14" xfId="1" applyNumberFormat="1" applyFont="1" applyFill="1" applyBorder="1" applyAlignment="1">
      <alignment horizontal="center" vertical="center" wrapText="1" shrinkToFit="1"/>
    </xf>
    <xf numFmtId="0" fontId="4" fillId="42" borderId="2" xfId="1" applyFont="1" applyFill="1" applyBorder="1" applyAlignment="1">
      <alignment horizontal="center" vertical="center" wrapText="1" shrinkToFit="1"/>
    </xf>
    <xf numFmtId="0" fontId="4" fillId="42" borderId="3" xfId="1" applyFont="1" applyFill="1" applyBorder="1" applyAlignment="1">
      <alignment horizontal="center" vertical="center" wrapText="1" shrinkToFit="1"/>
    </xf>
    <xf numFmtId="0" fontId="4" fillId="42" borderId="185" xfId="1" applyFont="1" applyFill="1" applyBorder="1" applyAlignment="1">
      <alignment horizontal="center" vertical="center" wrapText="1" shrinkToFit="1"/>
    </xf>
    <xf numFmtId="0" fontId="4" fillId="42" borderId="13" xfId="1" applyFont="1" applyFill="1" applyBorder="1" applyAlignment="1">
      <alignment horizontal="center" vertical="center" wrapText="1" shrinkToFit="1"/>
    </xf>
    <xf numFmtId="0" fontId="4" fillId="42" borderId="11" xfId="1" applyFont="1" applyFill="1" applyBorder="1" applyAlignment="1">
      <alignment horizontal="center" vertical="center" wrapText="1" shrinkToFit="1"/>
    </xf>
    <xf numFmtId="0" fontId="4" fillId="42" borderId="171" xfId="1" applyFont="1" applyFill="1" applyBorder="1" applyAlignment="1">
      <alignment horizontal="center" vertical="center" wrapText="1" shrinkToFit="1"/>
    </xf>
    <xf numFmtId="0" fontId="4" fillId="43" borderId="114" xfId="1" applyFont="1" applyFill="1" applyBorder="1" applyAlignment="1">
      <alignment horizontal="center" vertical="center" wrapText="1" shrinkToFit="1"/>
    </xf>
    <xf numFmtId="0" fontId="4" fillId="43" borderId="115" xfId="1" applyFont="1" applyFill="1" applyBorder="1" applyAlignment="1">
      <alignment horizontal="center" vertical="center" wrapText="1" shrinkToFit="1"/>
    </xf>
    <xf numFmtId="0" fontId="4" fillId="43" borderId="133" xfId="1" applyFont="1" applyFill="1" applyBorder="1" applyAlignment="1">
      <alignment horizontal="center" vertical="center" wrapText="1" shrinkToFit="1"/>
    </xf>
    <xf numFmtId="0" fontId="4" fillId="43" borderId="116" xfId="1" applyFont="1" applyFill="1" applyBorder="1" applyAlignment="1">
      <alignment horizontal="center" vertical="center" wrapText="1" shrinkToFit="1"/>
    </xf>
    <xf numFmtId="0" fontId="4" fillId="43" borderId="117" xfId="1" applyFont="1" applyFill="1" applyBorder="1" applyAlignment="1">
      <alignment horizontal="center" vertical="center" wrapText="1" shrinkToFit="1"/>
    </xf>
    <xf numFmtId="0" fontId="4" fillId="43" borderId="134" xfId="1" applyFont="1" applyFill="1" applyBorder="1" applyAlignment="1">
      <alignment horizontal="center" vertical="center" wrapText="1" shrinkToFit="1"/>
    </xf>
    <xf numFmtId="0" fontId="5" fillId="9" borderId="10" xfId="1" applyFont="1" applyFill="1" applyBorder="1" applyAlignment="1">
      <alignment horizontal="center" vertical="center" wrapText="1" shrinkToFit="1"/>
    </xf>
    <xf numFmtId="0" fontId="5" fillId="9" borderId="5" xfId="1" applyFont="1" applyFill="1" applyBorder="1" applyAlignment="1">
      <alignment horizontal="center" vertical="center" wrapText="1" shrinkToFit="1"/>
    </xf>
    <xf numFmtId="0" fontId="5" fillId="9" borderId="14" xfId="1" applyFont="1" applyFill="1" applyBorder="1" applyAlignment="1">
      <alignment horizontal="center" vertical="center" wrapText="1" shrinkToFit="1"/>
    </xf>
    <xf numFmtId="0" fontId="4" fillId="12" borderId="10" xfId="1" applyFont="1" applyFill="1" applyBorder="1" applyAlignment="1">
      <alignment horizontal="center" vertical="center" wrapText="1" shrinkToFit="1"/>
    </xf>
    <xf numFmtId="0" fontId="4" fillId="12" borderId="5" xfId="1" applyFont="1" applyFill="1" applyBorder="1" applyAlignment="1">
      <alignment horizontal="center" vertical="center" wrapText="1" shrinkToFit="1"/>
    </xf>
    <xf numFmtId="0" fontId="4" fillId="12" borderId="14" xfId="1" applyFont="1" applyFill="1" applyBorder="1" applyAlignment="1">
      <alignment horizontal="center" vertical="center" wrapText="1" shrinkToFit="1"/>
    </xf>
    <xf numFmtId="0" fontId="4" fillId="50" borderId="7" xfId="1" applyFont="1" applyFill="1" applyBorder="1" applyAlignment="1">
      <alignment horizontal="center" vertical="center" wrapText="1"/>
    </xf>
    <xf numFmtId="0" fontId="4" fillId="50" borderId="8" xfId="1" applyFont="1" applyFill="1" applyBorder="1" applyAlignment="1">
      <alignment horizontal="center" vertical="center" wrapText="1"/>
    </xf>
    <xf numFmtId="0" fontId="4" fillId="50" borderId="9" xfId="1" applyFont="1" applyFill="1" applyBorder="1" applyAlignment="1">
      <alignment horizontal="center" vertical="center" wrapText="1"/>
    </xf>
    <xf numFmtId="0" fontId="4" fillId="49" borderId="7" xfId="1" applyFont="1" applyFill="1" applyBorder="1" applyAlignment="1">
      <alignment horizontal="center" vertical="center" wrapText="1"/>
    </xf>
    <xf numFmtId="0" fontId="4" fillId="49" borderId="8" xfId="1" applyFont="1" applyFill="1" applyBorder="1" applyAlignment="1">
      <alignment horizontal="center" vertical="center" wrapText="1"/>
    </xf>
    <xf numFmtId="0" fontId="4" fillId="49" borderId="175" xfId="1" applyFont="1" applyFill="1" applyBorder="1" applyAlignment="1">
      <alignment horizontal="center" vertical="center" wrapText="1"/>
    </xf>
    <xf numFmtId="0" fontId="4" fillId="12" borderId="2" xfId="1" applyFont="1" applyFill="1" applyBorder="1" applyAlignment="1">
      <alignment horizontal="center" vertical="center" wrapText="1"/>
    </xf>
    <xf numFmtId="0" fontId="4" fillId="12" borderId="3" xfId="1" applyFont="1" applyFill="1" applyBorder="1" applyAlignment="1">
      <alignment horizontal="center" vertical="center" wrapText="1"/>
    </xf>
    <xf numFmtId="0" fontId="4" fillId="12" borderId="118" xfId="1" applyFont="1" applyFill="1" applyBorder="1" applyAlignment="1">
      <alignment horizontal="center" vertical="center" wrapText="1"/>
    </xf>
    <xf numFmtId="0" fontId="4" fillId="12" borderId="6" xfId="1" applyFont="1" applyFill="1" applyBorder="1" applyAlignment="1">
      <alignment horizontal="center" vertical="center" wrapText="1"/>
    </xf>
    <xf numFmtId="0" fontId="4" fillId="12" borderId="0" xfId="1" applyFont="1" applyFill="1" applyAlignment="1">
      <alignment horizontal="center" vertical="center" wrapText="1"/>
    </xf>
    <xf numFmtId="0" fontId="4" fillId="12" borderId="1" xfId="1" applyFont="1" applyFill="1" applyBorder="1" applyAlignment="1">
      <alignment horizontal="center" vertical="center" wrapText="1"/>
    </xf>
    <xf numFmtId="0" fontId="4" fillId="12" borderId="13" xfId="1" applyFont="1" applyFill="1" applyBorder="1" applyAlignment="1">
      <alignment horizontal="center" vertical="center" wrapText="1"/>
    </xf>
    <xf numFmtId="0" fontId="4" fillId="12" borderId="11" xfId="1" applyFont="1" applyFill="1" applyBorder="1" applyAlignment="1">
      <alignment horizontal="center" vertical="center" wrapText="1"/>
    </xf>
    <xf numFmtId="0" fontId="4" fillId="12" borderId="12" xfId="1" applyFont="1" applyFill="1" applyBorder="1" applyAlignment="1">
      <alignment horizontal="center" vertical="center" wrapText="1"/>
    </xf>
    <xf numFmtId="0" fontId="4" fillId="31" borderId="164" xfId="1" applyFont="1" applyFill="1" applyBorder="1" applyAlignment="1">
      <alignment horizontal="center" vertical="center"/>
    </xf>
    <xf numFmtId="0" fontId="4" fillId="31" borderId="0" xfId="1" applyFont="1" applyFill="1" applyAlignment="1">
      <alignment horizontal="center" vertical="center"/>
    </xf>
    <xf numFmtId="0" fontId="13" fillId="0" borderId="0" xfId="1" applyFont="1" applyAlignment="1">
      <alignment horizontal="right"/>
    </xf>
    <xf numFmtId="0" fontId="9" fillId="35" borderId="23" xfId="1" applyFont="1" applyFill="1" applyBorder="1" applyAlignment="1">
      <alignment horizontal="center" vertical="center" wrapText="1"/>
    </xf>
    <xf numFmtId="0" fontId="9" fillId="35" borderId="29" xfId="1" applyFont="1" applyFill="1" applyBorder="1" applyAlignment="1">
      <alignment horizontal="center" vertical="center" wrapText="1"/>
    </xf>
    <xf numFmtId="0" fontId="9" fillId="35" borderId="10" xfId="1" applyFont="1" applyFill="1" applyBorder="1" applyAlignment="1">
      <alignment horizontal="center" vertical="center" wrapText="1"/>
    </xf>
    <xf numFmtId="0" fontId="9" fillId="35" borderId="30" xfId="1" applyFont="1" applyFill="1" applyBorder="1" applyAlignment="1">
      <alignment horizontal="center" vertical="center" wrapText="1"/>
    </xf>
    <xf numFmtId="0" fontId="9" fillId="35" borderId="4" xfId="1" applyFont="1" applyFill="1" applyBorder="1" applyAlignment="1">
      <alignment horizontal="center" vertical="center"/>
    </xf>
    <xf numFmtId="0" fontId="9" fillId="35" borderId="10" xfId="1" applyFont="1" applyFill="1" applyBorder="1" applyAlignment="1">
      <alignment horizontal="center" vertical="center"/>
    </xf>
    <xf numFmtId="0" fontId="9" fillId="35" borderId="30" xfId="1" applyFont="1" applyFill="1" applyBorder="1" applyAlignment="1">
      <alignment horizontal="center" vertical="center"/>
    </xf>
    <xf numFmtId="0" fontId="9" fillId="35" borderId="2" xfId="1" applyFont="1" applyFill="1" applyBorder="1" applyAlignment="1">
      <alignment horizontal="center" vertical="center"/>
    </xf>
    <xf numFmtId="0" fontId="9" fillId="35" borderId="33" xfId="1" applyFont="1" applyFill="1" applyBorder="1" applyAlignment="1">
      <alignment horizontal="center" vertical="center"/>
    </xf>
    <xf numFmtId="0" fontId="14" fillId="0" borderId="0" xfId="1" applyFont="1" applyAlignment="1">
      <alignment horizontal="right"/>
    </xf>
    <xf numFmtId="0" fontId="7" fillId="0" borderId="0" xfId="1" applyFont="1" applyAlignment="1">
      <alignment horizontal="center"/>
    </xf>
    <xf numFmtId="0" fontId="7" fillId="0" borderId="16" xfId="1" applyFont="1" applyBorder="1" applyAlignment="1">
      <alignment horizontal="center"/>
    </xf>
    <xf numFmtId="0" fontId="9" fillId="35" borderId="17" xfId="1" applyFont="1" applyFill="1" applyBorder="1" applyAlignment="1">
      <alignment horizontal="center" vertical="center"/>
    </xf>
    <xf numFmtId="0" fontId="9" fillId="35" borderId="22" xfId="1" applyFont="1" applyFill="1" applyBorder="1" applyAlignment="1">
      <alignment horizontal="center" vertical="center"/>
    </xf>
    <xf numFmtId="0" fontId="9" fillId="35" borderId="28" xfId="1" applyFont="1" applyFill="1" applyBorder="1" applyAlignment="1">
      <alignment horizontal="center" vertical="center"/>
    </xf>
    <xf numFmtId="0" fontId="9" fillId="35" borderId="18" xfId="1" applyFont="1" applyFill="1" applyBorder="1" applyAlignment="1">
      <alignment horizontal="center" vertical="center"/>
    </xf>
    <xf numFmtId="0" fontId="9" fillId="35" borderId="19" xfId="1" applyFont="1" applyFill="1" applyBorder="1" applyAlignment="1">
      <alignment horizontal="center" vertical="center"/>
    </xf>
    <xf numFmtId="0" fontId="9" fillId="35" borderId="20" xfId="1" applyFont="1" applyFill="1" applyBorder="1" applyAlignment="1">
      <alignment horizontal="center" vertical="center"/>
    </xf>
    <xf numFmtId="0" fontId="9" fillId="35" borderId="21" xfId="1" applyFont="1" applyFill="1" applyBorder="1" applyAlignment="1">
      <alignment horizontal="center" vertical="center"/>
    </xf>
    <xf numFmtId="0" fontId="9" fillId="35" borderId="23" xfId="1" applyFont="1" applyFill="1" applyBorder="1" applyAlignment="1">
      <alignment horizontal="center" vertical="center"/>
    </xf>
    <xf numFmtId="0" fontId="9" fillId="35" borderId="26" xfId="1" applyFont="1" applyFill="1" applyBorder="1" applyAlignment="1">
      <alignment horizontal="center" vertical="center"/>
    </xf>
    <xf numFmtId="0" fontId="9" fillId="35" borderId="29" xfId="1" applyFont="1" applyFill="1" applyBorder="1" applyAlignment="1">
      <alignment horizontal="center" vertical="center"/>
    </xf>
    <xf numFmtId="0" fontId="4" fillId="35" borderId="10" xfId="1" applyFont="1" applyFill="1" applyBorder="1" applyAlignment="1">
      <alignment horizontal="center" vertical="center" wrapText="1"/>
    </xf>
    <xf numFmtId="0" fontId="4" fillId="35" borderId="5" xfId="1" applyFont="1" applyFill="1" applyBorder="1" applyAlignment="1">
      <alignment horizontal="center" vertical="center" wrapText="1"/>
    </xf>
    <xf numFmtId="0" fontId="4" fillId="35" borderId="30" xfId="1" applyFont="1" applyFill="1" applyBorder="1" applyAlignment="1">
      <alignment horizontal="center" vertical="center" wrapText="1"/>
    </xf>
    <xf numFmtId="0" fontId="4" fillId="35" borderId="24" xfId="1" applyFont="1" applyFill="1" applyBorder="1" applyAlignment="1">
      <alignment horizontal="center" vertical="center" wrapText="1"/>
    </xf>
    <xf numFmtId="0" fontId="4" fillId="35" borderId="27" xfId="1" applyFont="1" applyFill="1" applyBorder="1" applyAlignment="1">
      <alignment horizontal="center" vertical="center" wrapText="1"/>
    </xf>
    <xf numFmtId="0" fontId="4" fillId="35" borderId="31" xfId="1" applyFont="1" applyFill="1" applyBorder="1" applyAlignment="1">
      <alignment horizontal="center" vertical="center" wrapText="1"/>
    </xf>
    <xf numFmtId="0" fontId="9" fillId="35" borderId="25" xfId="1" applyFont="1" applyFill="1" applyBorder="1" applyAlignment="1">
      <alignment horizontal="center" vertical="center"/>
    </xf>
    <xf numFmtId="0" fontId="9" fillId="35" borderId="7" xfId="1" applyFont="1" applyFill="1" applyBorder="1" applyAlignment="1">
      <alignment horizontal="center" vertical="center"/>
    </xf>
    <xf numFmtId="0" fontId="9" fillId="35" borderId="2" xfId="1" applyFont="1" applyFill="1" applyBorder="1" applyAlignment="1">
      <alignment horizontal="center" vertical="center" wrapText="1"/>
    </xf>
    <xf numFmtId="0" fontId="9" fillId="35" borderId="33" xfId="1" applyFont="1" applyFill="1" applyBorder="1" applyAlignment="1">
      <alignment horizontal="center" vertical="center" wrapText="1"/>
    </xf>
    <xf numFmtId="0" fontId="9" fillId="35" borderId="5" xfId="1" applyFont="1" applyFill="1" applyBorder="1" applyAlignment="1">
      <alignment horizontal="center" vertical="center" wrapText="1"/>
    </xf>
    <xf numFmtId="0" fontId="9" fillId="35" borderId="24" xfId="1" applyFont="1" applyFill="1" applyBorder="1" applyAlignment="1">
      <alignment horizontal="center" vertical="center" wrapText="1" shrinkToFit="1"/>
    </xf>
    <xf numFmtId="0" fontId="9" fillId="35" borderId="27" xfId="1" applyFont="1" applyFill="1" applyBorder="1" applyAlignment="1">
      <alignment horizontal="center" vertical="center" wrapText="1" shrinkToFit="1"/>
    </xf>
    <xf numFmtId="0" fontId="9" fillId="35" borderId="31" xfId="1" applyFont="1" applyFill="1" applyBorder="1" applyAlignment="1">
      <alignment horizontal="center" vertical="center" wrapText="1" shrinkToFit="1"/>
    </xf>
    <xf numFmtId="0" fontId="4" fillId="20" borderId="20" xfId="1" applyFont="1" applyFill="1" applyBorder="1" applyAlignment="1">
      <alignment horizontal="center" vertical="center"/>
    </xf>
    <xf numFmtId="0" fontId="4" fillId="20" borderId="70" xfId="1" applyFont="1" applyFill="1" applyBorder="1" applyAlignment="1">
      <alignment horizontal="center" vertical="center"/>
    </xf>
    <xf numFmtId="0" fontId="4" fillId="20" borderId="74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 wrapText="1"/>
    </xf>
    <xf numFmtId="0" fontId="4" fillId="20" borderId="8" xfId="1" applyFont="1" applyFill="1" applyBorder="1" applyAlignment="1">
      <alignment horizontal="center" vertical="center"/>
    </xf>
    <xf numFmtId="0" fontId="4" fillId="20" borderId="7" xfId="1" applyFont="1" applyFill="1" applyBorder="1" applyAlignment="1">
      <alignment horizontal="center" vertical="center"/>
    </xf>
    <xf numFmtId="0" fontId="4" fillId="20" borderId="9" xfId="1" applyFont="1" applyFill="1" applyBorder="1" applyAlignment="1">
      <alignment horizontal="center" vertical="center"/>
    </xf>
    <xf numFmtId="0" fontId="4" fillId="20" borderId="101" xfId="1" applyFont="1" applyFill="1" applyBorder="1" applyAlignment="1">
      <alignment horizontal="center" vertical="center"/>
    </xf>
    <xf numFmtId="0" fontId="4" fillId="35" borderId="69" xfId="1" applyFont="1" applyFill="1" applyBorder="1" applyAlignment="1">
      <alignment horizontal="center" vertical="center"/>
    </xf>
    <xf numFmtId="0" fontId="4" fillId="35" borderId="72" xfId="1" applyFont="1" applyFill="1" applyBorder="1" applyAlignment="1">
      <alignment horizontal="center" vertical="center"/>
    </xf>
    <xf numFmtId="0" fontId="4" fillId="35" borderId="10" xfId="1" applyFont="1" applyFill="1" applyBorder="1" applyAlignment="1">
      <alignment horizontal="center" vertical="center"/>
    </xf>
    <xf numFmtId="0" fontId="4" fillId="35" borderId="30" xfId="1" applyFont="1" applyFill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20" borderId="96" xfId="1" applyFont="1" applyFill="1" applyBorder="1" applyAlignment="1">
      <alignment horizontal="center" vertical="center"/>
    </xf>
    <xf numFmtId="0" fontId="4" fillId="20" borderId="1" xfId="1" applyFont="1" applyFill="1" applyBorder="1" applyAlignment="1">
      <alignment horizontal="center" vertical="center"/>
    </xf>
    <xf numFmtId="0" fontId="4" fillId="20" borderId="102" xfId="1" applyFont="1" applyFill="1" applyBorder="1" applyAlignment="1">
      <alignment horizontal="center" vertical="center"/>
    </xf>
    <xf numFmtId="0" fontId="4" fillId="20" borderId="97" xfId="1" applyFont="1" applyFill="1" applyBorder="1" applyAlignment="1">
      <alignment horizontal="center" vertical="center"/>
    </xf>
    <xf numFmtId="0" fontId="4" fillId="20" borderId="100" xfId="1" applyFont="1" applyFill="1" applyBorder="1" applyAlignment="1">
      <alignment horizontal="center" vertical="center"/>
    </xf>
    <xf numFmtId="0" fontId="4" fillId="20" borderId="73" xfId="1" applyFont="1" applyFill="1" applyBorder="1" applyAlignment="1">
      <alignment horizontal="center" vertical="center"/>
    </xf>
    <xf numFmtId="0" fontId="4" fillId="20" borderId="98" xfId="1" applyFont="1" applyFill="1" applyBorder="1" applyAlignment="1">
      <alignment horizontal="center" vertical="center"/>
    </xf>
    <xf numFmtId="0" fontId="4" fillId="20" borderId="99" xfId="1" applyFont="1" applyFill="1" applyBorder="1" applyAlignment="1">
      <alignment horizontal="center" vertical="center"/>
    </xf>
    <xf numFmtId="0" fontId="4" fillId="35" borderId="65" xfId="1" applyFont="1" applyFill="1" applyBorder="1" applyAlignment="1">
      <alignment horizontal="center" vertical="center"/>
    </xf>
    <xf numFmtId="0" fontId="4" fillId="35" borderId="19" xfId="1" applyFont="1" applyFill="1" applyBorder="1" applyAlignment="1">
      <alignment horizontal="center" vertical="center"/>
    </xf>
    <xf numFmtId="0" fontId="4" fillId="35" borderId="21" xfId="1" applyFont="1" applyFill="1" applyBorder="1" applyAlignment="1">
      <alignment horizontal="center" vertical="center"/>
    </xf>
    <xf numFmtId="0" fontId="4" fillId="20" borderId="67" xfId="1" applyFont="1" applyFill="1" applyBorder="1" applyAlignment="1">
      <alignment horizontal="center" vertical="center"/>
    </xf>
    <xf numFmtId="0" fontId="4" fillId="20" borderId="4" xfId="1" applyFont="1" applyFill="1" applyBorder="1" applyAlignment="1">
      <alignment horizontal="center" vertical="center"/>
    </xf>
    <xf numFmtId="0" fontId="4" fillId="20" borderId="68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/>
    </xf>
    <xf numFmtId="0" fontId="4" fillId="20" borderId="61" xfId="1" applyFont="1" applyFill="1" applyBorder="1" applyAlignment="1">
      <alignment horizontal="center" vertical="center"/>
    </xf>
    <xf numFmtId="0" fontId="4" fillId="20" borderId="38" xfId="1" applyFont="1" applyFill="1" applyBorder="1" applyAlignment="1">
      <alignment horizontal="center" vertical="center"/>
    </xf>
    <xf numFmtId="0" fontId="4" fillId="20" borderId="62" xfId="1" applyFont="1" applyFill="1" applyBorder="1" applyAlignment="1">
      <alignment horizontal="center" vertical="center"/>
    </xf>
    <xf numFmtId="0" fontId="4" fillId="20" borderId="66" xfId="1" applyFont="1" applyFill="1" applyBorder="1" applyAlignment="1">
      <alignment horizontal="center" vertical="center"/>
    </xf>
    <xf numFmtId="0" fontId="4" fillId="20" borderId="71" xfId="1" applyFont="1" applyFill="1" applyBorder="1" applyAlignment="1">
      <alignment horizontal="center" vertical="center"/>
    </xf>
    <xf numFmtId="0" fontId="4" fillId="20" borderId="63" xfId="1" applyFont="1" applyFill="1" applyBorder="1" applyAlignment="1">
      <alignment horizontal="center" vertical="center"/>
    </xf>
    <xf numFmtId="0" fontId="4" fillId="20" borderId="19" xfId="1" applyFont="1" applyFill="1" applyBorder="1" applyAlignment="1">
      <alignment horizontal="center" vertical="center"/>
    </xf>
    <xf numFmtId="0" fontId="4" fillId="20" borderId="64" xfId="1" applyFont="1" applyFill="1" applyBorder="1" applyAlignment="1">
      <alignment horizontal="center" vertical="center"/>
    </xf>
    <xf numFmtId="0" fontId="17" fillId="35" borderId="65" xfId="1" applyFont="1" applyFill="1" applyBorder="1" applyAlignment="1">
      <alignment horizontal="center" vertical="center"/>
    </xf>
    <xf numFmtId="0" fontId="17" fillId="35" borderId="19" xfId="1" applyFont="1" applyFill="1" applyBorder="1" applyAlignment="1">
      <alignment horizontal="center" vertical="center"/>
    </xf>
    <xf numFmtId="0" fontId="17" fillId="35" borderId="21" xfId="1" applyFont="1" applyFill="1" applyBorder="1" applyAlignment="1">
      <alignment horizontal="center" vertical="center"/>
    </xf>
    <xf numFmtId="0" fontId="8" fillId="31" borderId="143" xfId="1" applyFont="1" applyFill="1" applyBorder="1" applyAlignment="1">
      <alignment horizontal="center"/>
    </xf>
    <xf numFmtId="0" fontId="8" fillId="31" borderId="79" xfId="1" applyFont="1" applyFill="1" applyBorder="1" applyAlignment="1">
      <alignment horizontal="center"/>
    </xf>
    <xf numFmtId="0" fontId="4" fillId="19" borderId="19" xfId="1" applyFont="1" applyFill="1" applyBorder="1" applyAlignment="1">
      <alignment horizontal="center" vertical="center"/>
    </xf>
    <xf numFmtId="0" fontId="4" fillId="26" borderId="127" xfId="1" applyFont="1" applyFill="1" applyBorder="1" applyAlignment="1">
      <alignment horizontal="center" vertical="center"/>
    </xf>
    <xf numFmtId="0" fontId="4" fillId="26" borderId="26" xfId="1" applyFont="1" applyFill="1" applyBorder="1" applyAlignment="1">
      <alignment horizontal="center" vertical="center"/>
    </xf>
    <xf numFmtId="0" fontId="4" fillId="26" borderId="29" xfId="1" applyFont="1" applyFill="1" applyBorder="1" applyAlignment="1">
      <alignment horizontal="center" vertical="center"/>
    </xf>
    <xf numFmtId="0" fontId="4" fillId="26" borderId="97" xfId="1" applyFont="1" applyFill="1" applyBorder="1" applyAlignment="1">
      <alignment horizontal="center" vertical="center"/>
    </xf>
    <xf numFmtId="0" fontId="4" fillId="26" borderId="100" xfId="1" applyFont="1" applyFill="1" applyBorder="1" applyAlignment="1">
      <alignment horizontal="center" vertical="center"/>
    </xf>
    <xf numFmtId="0" fontId="4" fillId="26" borderId="73" xfId="1" applyFont="1" applyFill="1" applyBorder="1" applyAlignment="1">
      <alignment horizontal="center" vertical="center"/>
    </xf>
    <xf numFmtId="0" fontId="4" fillId="26" borderId="61" xfId="1" applyFont="1" applyFill="1" applyBorder="1" applyAlignment="1">
      <alignment horizontal="center" vertical="center"/>
    </xf>
    <xf numFmtId="0" fontId="4" fillId="26" borderId="76" xfId="1" applyFont="1" applyFill="1" applyBorder="1" applyAlignment="1">
      <alignment horizontal="center" vertical="center"/>
    </xf>
    <xf numFmtId="0" fontId="4" fillId="29" borderId="63" xfId="1" applyFont="1" applyFill="1" applyBorder="1" applyAlignment="1">
      <alignment horizontal="center" vertical="center"/>
    </xf>
    <xf numFmtId="0" fontId="4" fillId="29" borderId="19" xfId="1" applyFont="1" applyFill="1" applyBorder="1" applyAlignment="1">
      <alignment horizontal="center" vertical="center"/>
    </xf>
    <xf numFmtId="0" fontId="4" fillId="6" borderId="19" xfId="1" applyFont="1" applyFill="1" applyBorder="1" applyAlignment="1">
      <alignment horizontal="center" vertical="center"/>
    </xf>
    <xf numFmtId="0" fontId="4" fillId="26" borderId="18" xfId="1" applyFont="1" applyFill="1" applyBorder="1" applyAlignment="1">
      <alignment horizontal="center" vertical="center"/>
    </xf>
    <xf numFmtId="0" fontId="4" fillId="26" borderId="64" xfId="1" applyFont="1" applyFill="1" applyBorder="1" applyAlignment="1">
      <alignment horizontal="center" vertical="center"/>
    </xf>
    <xf numFmtId="0" fontId="5" fillId="33" borderId="103" xfId="1" applyFont="1" applyFill="1" applyBorder="1" applyAlignment="1">
      <alignment horizontal="center" vertical="center" wrapText="1"/>
    </xf>
    <xf numFmtId="0" fontId="5" fillId="33" borderId="37" xfId="1" applyFont="1" applyFill="1" applyBorder="1" applyAlignment="1">
      <alignment horizontal="center" vertical="center" wrapText="1"/>
    </xf>
    <xf numFmtId="0" fontId="4" fillId="28" borderId="141" xfId="1" applyFont="1" applyFill="1" applyBorder="1" applyAlignment="1">
      <alignment horizontal="center"/>
    </xf>
    <xf numFmtId="0" fontId="4" fillId="28" borderId="142" xfId="1" applyFont="1" applyFill="1" applyBorder="1" applyAlignment="1">
      <alignment horizontal="center"/>
    </xf>
    <xf numFmtId="0" fontId="17" fillId="27" borderId="61" xfId="1" applyFont="1" applyFill="1" applyBorder="1" applyAlignment="1">
      <alignment horizontal="center" vertical="center"/>
    </xf>
    <xf numFmtId="0" fontId="17" fillId="27" borderId="76" xfId="1" applyFont="1" applyFill="1" applyBorder="1" applyAlignment="1">
      <alignment horizontal="center" vertical="center"/>
    </xf>
    <xf numFmtId="0" fontId="17" fillId="27" borderId="78" xfId="1" applyFont="1" applyFill="1" applyBorder="1" applyAlignment="1">
      <alignment horizontal="center" vertical="center"/>
    </xf>
    <xf numFmtId="0" fontId="4" fillId="27" borderId="19" xfId="1" applyFont="1" applyFill="1" applyBorder="1" applyAlignment="1">
      <alignment horizontal="center" vertical="center"/>
    </xf>
    <xf numFmtId="0" fontId="4" fillId="27" borderId="32" xfId="1" applyFont="1" applyFill="1" applyBorder="1" applyAlignment="1">
      <alignment horizontal="center" vertical="center"/>
    </xf>
    <xf numFmtId="0" fontId="4" fillId="27" borderId="21" xfId="1" applyFont="1" applyFill="1" applyBorder="1" applyAlignment="1">
      <alignment horizontal="center" vertical="center"/>
    </xf>
    <xf numFmtId="0" fontId="4" fillId="27" borderId="146" xfId="1" applyFont="1" applyFill="1" applyBorder="1" applyAlignment="1">
      <alignment horizontal="center" vertical="center"/>
    </xf>
    <xf numFmtId="0" fontId="4" fillId="26" borderId="148" xfId="1" applyFont="1" applyFill="1" applyBorder="1" applyAlignment="1">
      <alignment horizontal="center" vertical="center"/>
    </xf>
    <xf numFmtId="0" fontId="4" fillId="26" borderId="149" xfId="1" applyFont="1" applyFill="1" applyBorder="1" applyAlignment="1">
      <alignment horizontal="center" vertical="center"/>
    </xf>
    <xf numFmtId="0" fontId="4" fillId="26" borderId="150" xfId="1" applyFont="1" applyFill="1" applyBorder="1" applyAlignment="1">
      <alignment horizontal="center" vertical="center"/>
    </xf>
    <xf numFmtId="0" fontId="4" fillId="27" borderId="63" xfId="1" applyFont="1" applyFill="1" applyBorder="1" applyAlignment="1">
      <alignment horizontal="center" vertical="center"/>
    </xf>
    <xf numFmtId="0" fontId="4" fillId="27" borderId="144" xfId="1" applyFont="1" applyFill="1" applyBorder="1" applyAlignment="1">
      <alignment horizontal="center" vertical="center"/>
    </xf>
    <xf numFmtId="0" fontId="9" fillId="3" borderId="124" xfId="1" applyFont="1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14" borderId="18" xfId="1" applyFont="1" applyFill="1" applyBorder="1" applyAlignment="1">
      <alignment horizontal="center" vertical="center"/>
    </xf>
    <xf numFmtId="0" fontId="9" fillId="14" borderId="19" xfId="1" applyFont="1" applyFill="1" applyBorder="1" applyAlignment="1">
      <alignment horizontal="center" vertical="center"/>
    </xf>
    <xf numFmtId="0" fontId="9" fillId="14" borderId="21" xfId="1" applyFont="1" applyFill="1" applyBorder="1" applyAlignment="1">
      <alignment horizontal="center" vertical="center"/>
    </xf>
    <xf numFmtId="0" fontId="9" fillId="14" borderId="25" xfId="1" applyFont="1" applyFill="1" applyBorder="1" applyAlignment="1">
      <alignment horizontal="center" vertical="center"/>
    </xf>
    <xf numFmtId="0" fontId="9" fillId="14" borderId="4" xfId="1" applyFont="1" applyFill="1" applyBorder="1" applyAlignment="1">
      <alignment horizontal="center" vertical="center"/>
    </xf>
    <xf numFmtId="0" fontId="9" fillId="14" borderId="7" xfId="1" applyFont="1" applyFill="1" applyBorder="1" applyAlignment="1">
      <alignment horizontal="center" vertical="center"/>
    </xf>
    <xf numFmtId="0" fontId="9" fillId="14" borderId="10" xfId="1" applyFont="1" applyFill="1" applyBorder="1" applyAlignment="1">
      <alignment horizontal="center" vertical="center"/>
    </xf>
    <xf numFmtId="0" fontId="9" fillId="14" borderId="30" xfId="1" applyFont="1" applyFill="1" applyBorder="1" applyAlignment="1">
      <alignment horizontal="center" vertical="center"/>
    </xf>
    <xf numFmtId="0" fontId="9" fillId="14" borderId="1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33" xfId="1" applyFont="1" applyFill="1" applyBorder="1" applyAlignment="1">
      <alignment horizontal="center" vertical="center"/>
    </xf>
    <xf numFmtId="0" fontId="9" fillId="14" borderId="23" xfId="1" applyFont="1" applyFill="1" applyBorder="1" applyAlignment="1">
      <alignment horizontal="center" vertical="center" wrapText="1"/>
    </xf>
    <xf numFmtId="0" fontId="9" fillId="14" borderId="29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4" fillId="2" borderId="127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1" borderId="17" xfId="1" applyFont="1" applyFill="1" applyBorder="1" applyAlignment="1">
      <alignment horizontal="center" vertical="center"/>
    </xf>
    <xf numFmtId="0" fontId="4" fillId="21" borderId="28" xfId="1" applyFont="1" applyFill="1" applyBorder="1" applyAlignment="1">
      <alignment horizontal="center" vertical="center"/>
    </xf>
    <xf numFmtId="0" fontId="4" fillId="21" borderId="35" xfId="1" applyFont="1" applyFill="1" applyBorder="1" applyAlignment="1">
      <alignment horizontal="center" vertical="center"/>
    </xf>
    <xf numFmtId="0" fontId="4" fillId="21" borderId="36" xfId="1" applyFont="1" applyFill="1" applyBorder="1" applyAlignment="1">
      <alignment horizontal="center" vertical="center"/>
    </xf>
    <xf numFmtId="0" fontId="4" fillId="21" borderId="37" xfId="1" applyFont="1" applyFill="1" applyBorder="1" applyAlignment="1">
      <alignment horizontal="center" vertical="center"/>
    </xf>
    <xf numFmtId="0" fontId="17" fillId="14" borderId="103" xfId="1" applyFont="1" applyFill="1" applyBorder="1" applyAlignment="1">
      <alignment horizontal="center" vertical="center"/>
    </xf>
    <xf numFmtId="0" fontId="17" fillId="14" borderId="36" xfId="1" applyFont="1" applyFill="1" applyBorder="1" applyAlignment="1">
      <alignment horizontal="center" vertical="center"/>
    </xf>
    <xf numFmtId="0" fontId="17" fillId="14" borderId="39" xfId="1" applyFont="1" applyFill="1" applyBorder="1" applyAlignment="1">
      <alignment horizontal="center" vertical="center"/>
    </xf>
    <xf numFmtId="0" fontId="17" fillId="14" borderId="37" xfId="1" applyFont="1" applyFill="1" applyBorder="1" applyAlignment="1">
      <alignment horizontal="center" vertical="center"/>
    </xf>
    <xf numFmtId="0" fontId="4" fillId="3" borderId="125" xfId="1" applyFont="1" applyFill="1" applyBorder="1" applyAlignment="1">
      <alignment horizontal="center" vertical="center"/>
    </xf>
    <xf numFmtId="0" fontId="4" fillId="3" borderId="126" xfId="1" applyFont="1" applyFill="1" applyBorder="1" applyAlignment="1">
      <alignment horizontal="center" vertical="center"/>
    </xf>
    <xf numFmtId="0" fontId="10" fillId="23" borderId="17" xfId="1" applyFont="1" applyFill="1" applyBorder="1" applyAlignment="1">
      <alignment horizontal="center" vertical="center" wrapText="1"/>
    </xf>
    <xf numFmtId="0" fontId="10" fillId="23" borderId="22" xfId="1" applyFont="1" applyFill="1" applyBorder="1" applyAlignment="1">
      <alignment horizontal="center" vertical="center" wrapText="1"/>
    </xf>
    <xf numFmtId="0" fontId="10" fillId="23" borderId="28" xfId="1" applyFont="1" applyFill="1" applyBorder="1" applyAlignment="1">
      <alignment horizontal="center" vertical="center" wrapText="1"/>
    </xf>
    <xf numFmtId="0" fontId="10" fillId="23" borderId="18" xfId="1" applyFont="1" applyFill="1" applyBorder="1" applyAlignment="1">
      <alignment horizontal="center" vertical="center"/>
    </xf>
    <xf numFmtId="0" fontId="10" fillId="23" borderId="19" xfId="1" applyFont="1" applyFill="1" applyBorder="1" applyAlignment="1">
      <alignment horizontal="center" vertical="center"/>
    </xf>
    <xf numFmtId="0" fontId="10" fillId="23" borderId="20" xfId="1" applyFont="1" applyFill="1" applyBorder="1" applyAlignment="1">
      <alignment horizontal="center" vertical="center"/>
    </xf>
    <xf numFmtId="0" fontId="10" fillId="14" borderId="18" xfId="1" applyFont="1" applyFill="1" applyBorder="1" applyAlignment="1">
      <alignment horizontal="center" vertical="center"/>
    </xf>
    <xf numFmtId="0" fontId="10" fillId="14" borderId="19" xfId="1" applyFont="1" applyFill="1" applyBorder="1" applyAlignment="1">
      <alignment horizontal="center" vertical="center"/>
    </xf>
    <xf numFmtId="0" fontId="10" fillId="14" borderId="21" xfId="1" applyFont="1" applyFill="1" applyBorder="1" applyAlignment="1">
      <alignment horizontal="center" vertical="center"/>
    </xf>
    <xf numFmtId="0" fontId="10" fillId="23" borderId="23" xfId="1" applyFont="1" applyFill="1" applyBorder="1" applyAlignment="1">
      <alignment horizontal="center" vertical="center"/>
    </xf>
    <xf numFmtId="0" fontId="10" fillId="23" borderId="26" xfId="1" applyFont="1" applyFill="1" applyBorder="1" applyAlignment="1">
      <alignment horizontal="center" vertical="center"/>
    </xf>
    <xf numFmtId="0" fontId="10" fillId="23" borderId="29" xfId="1" applyFont="1" applyFill="1" applyBorder="1" applyAlignment="1">
      <alignment horizontal="center" vertical="center"/>
    </xf>
    <xf numFmtId="0" fontId="10" fillId="23" borderId="10" xfId="1" applyFont="1" applyFill="1" applyBorder="1" applyAlignment="1">
      <alignment horizontal="center" vertical="center" wrapText="1"/>
    </xf>
    <xf numFmtId="0" fontId="10" fillId="23" borderId="5" xfId="1" applyFont="1" applyFill="1" applyBorder="1" applyAlignment="1">
      <alignment horizontal="center" vertical="center" wrapText="1"/>
    </xf>
    <xf numFmtId="0" fontId="10" fillId="23" borderId="30" xfId="1" applyFont="1" applyFill="1" applyBorder="1" applyAlignment="1">
      <alignment horizontal="center" vertical="center" wrapText="1"/>
    </xf>
    <xf numFmtId="0" fontId="10" fillId="23" borderId="24" xfId="1" applyFont="1" applyFill="1" applyBorder="1" applyAlignment="1">
      <alignment horizontal="center" vertical="center" wrapText="1" shrinkToFit="1"/>
    </xf>
    <xf numFmtId="0" fontId="10" fillId="23" borderId="27" xfId="1" applyFont="1" applyFill="1" applyBorder="1" applyAlignment="1">
      <alignment horizontal="center" vertical="center" wrapText="1" shrinkToFit="1"/>
    </xf>
    <xf numFmtId="0" fontId="10" fillId="23" borderId="31" xfId="1" applyFont="1" applyFill="1" applyBorder="1" applyAlignment="1">
      <alignment horizontal="center" vertical="center" wrapText="1" shrinkToFit="1"/>
    </xf>
    <xf numFmtId="0" fontId="10" fillId="14" borderId="25" xfId="1" applyFont="1" applyFill="1" applyBorder="1" applyAlignment="1">
      <alignment horizontal="center" vertical="center"/>
    </xf>
    <xf numFmtId="0" fontId="10" fillId="14" borderId="4" xfId="1" applyFont="1" applyFill="1" applyBorder="1" applyAlignment="1">
      <alignment horizontal="center" vertical="center"/>
    </xf>
    <xf numFmtId="0" fontId="10" fillId="8" borderId="7" xfId="1" applyFont="1" applyFill="1" applyBorder="1" applyAlignment="1">
      <alignment horizontal="center" vertical="center"/>
    </xf>
    <xf numFmtId="0" fontId="10" fillId="8" borderId="8" xfId="1" applyFont="1" applyFill="1" applyBorder="1" applyAlignment="1">
      <alignment horizontal="center" vertical="center"/>
    </xf>
    <xf numFmtId="0" fontId="10" fillId="8" borderId="9" xfId="1" applyFont="1" applyFill="1" applyBorder="1" applyAlignment="1">
      <alignment horizontal="center" vertical="center"/>
    </xf>
    <xf numFmtId="0" fontId="10" fillId="17" borderId="7" xfId="1" applyFont="1" applyFill="1" applyBorder="1" applyAlignment="1">
      <alignment horizontal="center" vertical="center"/>
    </xf>
    <xf numFmtId="0" fontId="10" fillId="17" borderId="8" xfId="1" applyFont="1" applyFill="1" applyBorder="1" applyAlignment="1">
      <alignment horizontal="center" vertical="center"/>
    </xf>
    <xf numFmtId="0" fontId="10" fillId="17" borderId="9" xfId="1" applyFont="1" applyFill="1" applyBorder="1" applyAlignment="1">
      <alignment horizontal="center" vertical="center"/>
    </xf>
    <xf numFmtId="0" fontId="20" fillId="17" borderId="10" xfId="1" applyFont="1" applyFill="1" applyBorder="1" applyAlignment="1">
      <alignment horizontal="center" vertical="center" wrapText="1"/>
    </xf>
    <xf numFmtId="0" fontId="20" fillId="17" borderId="30" xfId="1" applyFont="1" applyFill="1" applyBorder="1" applyAlignment="1">
      <alignment horizontal="center" vertical="center" wrapText="1"/>
    </xf>
    <xf numFmtId="0" fontId="19" fillId="17" borderId="10" xfId="1" applyFont="1" applyFill="1" applyBorder="1" applyAlignment="1">
      <alignment horizontal="center" vertical="center" wrapText="1"/>
    </xf>
    <xf numFmtId="0" fontId="19" fillId="17" borderId="30" xfId="1" applyFont="1" applyFill="1" applyBorder="1" applyAlignment="1">
      <alignment horizontal="center" vertical="center" wrapText="1"/>
    </xf>
    <xf numFmtId="0" fontId="10" fillId="14" borderId="23" xfId="1" applyFont="1" applyFill="1" applyBorder="1" applyAlignment="1">
      <alignment horizontal="center" vertical="center" wrapText="1"/>
    </xf>
    <xf numFmtId="0" fontId="10" fillId="14" borderId="29" xfId="1" applyFont="1" applyFill="1" applyBorder="1" applyAlignment="1">
      <alignment horizontal="center" vertical="center" wrapText="1"/>
    </xf>
    <xf numFmtId="0" fontId="10" fillId="14" borderId="10" xfId="1" applyFont="1" applyFill="1" applyBorder="1" applyAlignment="1">
      <alignment horizontal="center" vertical="center" wrapText="1"/>
    </xf>
    <xf numFmtId="0" fontId="10" fillId="14" borderId="30" xfId="1" applyFont="1" applyFill="1" applyBorder="1" applyAlignment="1">
      <alignment horizontal="center" vertical="center" wrapText="1"/>
    </xf>
    <xf numFmtId="0" fontId="10" fillId="8" borderId="10" xfId="1" applyFont="1" applyFill="1" applyBorder="1" applyAlignment="1">
      <alignment horizontal="center" vertical="center"/>
    </xf>
    <xf numFmtId="0" fontId="10" fillId="8" borderId="30" xfId="1" applyFont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0" fillId="6" borderId="33" xfId="1" applyFont="1" applyFill="1" applyBorder="1" applyAlignment="1">
      <alignment horizontal="center" vertical="center" wrapText="1"/>
    </xf>
    <xf numFmtId="0" fontId="10" fillId="8" borderId="10" xfId="1" applyFont="1" applyFill="1" applyBorder="1" applyAlignment="1">
      <alignment horizontal="center" vertical="center" wrapText="1"/>
    </xf>
    <xf numFmtId="0" fontId="10" fillId="8" borderId="30" xfId="1" applyFont="1" applyFill="1" applyBorder="1" applyAlignment="1">
      <alignment horizontal="center" vertical="center" wrapText="1"/>
    </xf>
  </cellXfs>
  <cellStyles count="26">
    <cellStyle name="Comma 2" xfId="6" xr:uid="{30354679-8A64-4B17-A96D-566BB9975CC1}"/>
    <cellStyle name="Normal" xfId="0" builtinId="0"/>
    <cellStyle name="Normal 10" xfId="12" xr:uid="{2C44C97C-A563-4F6E-9D00-0A7F779C2A3F}"/>
    <cellStyle name="Normal 11" xfId="4" xr:uid="{A9ADA253-8631-45AE-9533-D9E0E3160971}"/>
    <cellStyle name="Normal 2" xfId="1" xr:uid="{00000000-0005-0000-0000-000001000000}"/>
    <cellStyle name="Normal 2 2" xfId="10" xr:uid="{6C632A82-F0C6-460F-8FDF-722842A5F13A}"/>
    <cellStyle name="Normal 2 3" xfId="22" xr:uid="{76A5D013-AEF0-4889-AEDF-F6837FD45C9D}"/>
    <cellStyle name="Normal 2 4" xfId="5" xr:uid="{2F40B3F1-11DB-489D-B704-C9EBCACA81A8}"/>
    <cellStyle name="Normal 2 5" xfId="24" xr:uid="{FC9583D0-326C-45F8-BB65-663C0D730120}"/>
    <cellStyle name="Normal 3" xfId="3" xr:uid="{5FCA3E88-7026-488A-985B-20CD43F31085}"/>
    <cellStyle name="Normal 3 2" xfId="7" xr:uid="{FE5EADE5-4DF7-467E-810C-D99EE174FD41}"/>
    <cellStyle name="Normal 3 3" xfId="23" xr:uid="{0BBD6468-4E51-4BAD-8147-D49B0DD36591}"/>
    <cellStyle name="Normal 3 4" xfId="15" xr:uid="{53369F39-0D37-4443-91E1-81AC03B9A654}"/>
    <cellStyle name="Normal 4" xfId="16" xr:uid="{3D3AF8CC-4021-484C-86BC-A50CC9387C1E}"/>
    <cellStyle name="Normal 5" xfId="18" xr:uid="{CBE691CD-324A-433E-8DB8-2456C3ED08AF}"/>
    <cellStyle name="Normal 6" xfId="19" xr:uid="{8FEB41DD-3D8B-4A9B-87CC-9E32247A0A36}"/>
    <cellStyle name="Normal 7" xfId="11" xr:uid="{8296EBBC-E771-478B-8233-ECE79C075D5B}"/>
    <cellStyle name="Normal 8" xfId="20" xr:uid="{1F5CD85C-A8D6-4BE8-B26B-95307B98295C}"/>
    <cellStyle name="Normal 9" xfId="21" xr:uid="{CB59BC5E-0DEF-489F-AD30-133EB8BEFADB}"/>
    <cellStyle name="ปกติ 2" xfId="13" xr:uid="{DCDC39B8-87AA-4BB0-BC30-62487B655351}"/>
    <cellStyle name="ปกติ 2 2 2" xfId="8" xr:uid="{6E020041-296B-4EC7-BEFB-7BDB4FF0D198}"/>
    <cellStyle name="ปกติ 3" xfId="14" xr:uid="{51FE9CFB-39B8-4C3E-8496-3FC83F0E74AB}"/>
    <cellStyle name="ปกติ 4" xfId="17" xr:uid="{99467ECF-A7D7-4BEE-BE54-8B3AD6EFB1FA}"/>
    <cellStyle name="ปกติ 6" xfId="9" xr:uid="{CFB224DC-1762-4828-869B-DB2DE1B01F1D}"/>
    <cellStyle name="ปกติ 7" xfId="2" xr:uid="{00000000-0005-0000-0000-000002000000}"/>
    <cellStyle name="ปกติ_Sheet1" xfId="25" xr:uid="{1AA8B960-5A0C-43FD-B9CC-1112AB2C56BC}"/>
  </cellStyles>
  <dxfs count="0"/>
  <tableStyles count="0" defaultTableStyle="TableStyleMedium2" defaultPivotStyle="PivotStyleLight16"/>
  <colors>
    <mruColors>
      <color rgb="FFFF8986"/>
      <color rgb="FFFFD1AD"/>
      <color rgb="FFAFD5F0"/>
      <color rgb="FFFFAB7A"/>
      <color rgb="FFF8DF95"/>
      <color rgb="FFFFC79C"/>
      <color rgb="FFFFC39B"/>
      <color rgb="FFFFA778"/>
      <color rgb="FFFFCCFF"/>
      <color rgb="FFFFB3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5FF75"/>
  </sheetPr>
  <dimension ref="A1:KA4014"/>
  <sheetViews>
    <sheetView showGridLines="0" zoomScale="90" zoomScaleNormal="90" zoomScaleSheetLayoutView="100" workbookViewId="0">
      <pane ySplit="3" topLeftCell="A4" activePane="bottomLeft" state="frozen"/>
      <selection pane="bottomLeft" activeCell="H9" sqref="H9"/>
    </sheetView>
  </sheetViews>
  <sheetFormatPr defaultColWidth="9" defaultRowHeight="21.75" customHeight="1"/>
  <cols>
    <col min="1" max="1" width="5.88671875" style="447" customWidth="1"/>
    <col min="2" max="2" width="3.77734375" style="1" customWidth="1"/>
    <col min="3" max="3" width="5.6640625" style="2" customWidth="1"/>
    <col min="4" max="4" width="3.33203125" style="3" customWidth="1"/>
    <col min="5" max="5" width="4.77734375" style="4" customWidth="1"/>
    <col min="6" max="6" width="14.33203125" style="5" customWidth="1"/>
    <col min="7" max="7" width="5.33203125" style="9" customWidth="1"/>
    <col min="8" max="8" width="11.109375" style="6" customWidth="1"/>
    <col min="9" max="9" width="14.109375" style="6" customWidth="1"/>
    <col min="10" max="10" width="16.77734375" style="5" customWidth="1"/>
    <col min="11" max="11" width="50" style="7" customWidth="1"/>
    <col min="12" max="12" width="30.6640625" style="8" customWidth="1"/>
    <col min="13" max="13" width="14.21875" style="8" customWidth="1"/>
    <col min="14" max="14" width="14.88671875" style="8" customWidth="1"/>
    <col min="15" max="15" width="11.88671875" style="8" customWidth="1"/>
    <col min="16" max="17" width="14.88671875" style="196" customWidth="1"/>
    <col min="18" max="18" width="14.88671875" style="579" customWidth="1"/>
    <col min="19" max="19" width="35.77734375" style="8" customWidth="1"/>
    <col min="20" max="20" width="4" style="6" customWidth="1"/>
    <col min="21" max="21" width="3.6640625" style="6" customWidth="1"/>
    <col min="22" max="22" width="4.109375" style="6" customWidth="1"/>
    <col min="23" max="23" width="4.21875" style="6" customWidth="1"/>
    <col min="24" max="24" width="3.77734375" style="456" customWidth="1"/>
    <col min="25" max="35" width="3.77734375" style="457" customWidth="1"/>
    <col min="36" max="37" width="3.77734375" style="458" customWidth="1"/>
    <col min="38" max="38" width="3.77734375" style="459" customWidth="1"/>
    <col min="39" max="39" width="7.6640625" style="200" customWidth="1"/>
    <col min="40" max="40" width="12.88671875" style="6" customWidth="1"/>
    <col min="41" max="41" width="6.33203125" style="9" customWidth="1"/>
    <col min="42" max="42" width="35.77734375" style="195" customWidth="1"/>
    <col min="43" max="43" width="12.21875" style="6" customWidth="1"/>
    <col min="44" max="44" width="9.88671875" style="6" customWidth="1"/>
    <col min="45" max="45" width="11.6640625" style="6" customWidth="1"/>
    <col min="46" max="47" width="11.33203125" style="6" customWidth="1"/>
    <col min="48" max="48" width="6.77734375" style="6" customWidth="1"/>
    <col min="49" max="49" width="5.77734375" style="6" customWidth="1"/>
    <col min="50" max="50" width="7" style="6" customWidth="1"/>
    <col min="51" max="51" width="10" style="6" customWidth="1"/>
    <col min="52" max="53" width="6.33203125" style="6" customWidth="1"/>
    <col min="54" max="54" width="3" style="6" customWidth="1"/>
    <col min="55" max="58" width="2.6640625" style="6" customWidth="1"/>
    <col min="59" max="59" width="2.88671875" style="6" customWidth="1"/>
    <col min="60" max="60" width="2.88671875" style="193" customWidth="1"/>
    <col min="61" max="61" width="3.6640625" style="193" customWidth="1"/>
    <col min="62" max="73" width="3.77734375" style="457" customWidth="1"/>
    <col min="74" max="74" width="3.77734375" style="458" customWidth="1"/>
    <col min="75" max="75" width="3.77734375" style="457" customWidth="1"/>
    <col min="76" max="76" width="3.77734375" style="458" customWidth="1"/>
    <col min="77" max="77" width="3.88671875" style="460" customWidth="1"/>
    <col min="78" max="78" width="3.77734375" style="194" customWidth="1"/>
    <col min="79" max="79" width="4.109375" style="6" customWidth="1"/>
    <col min="80" max="81" width="3.77734375" style="6" customWidth="1"/>
    <col min="82" max="82" width="3.88671875" style="6" customWidth="1"/>
    <col min="83" max="83" width="3.77734375" style="6" customWidth="1"/>
    <col min="84" max="84" width="35.6640625" style="6" customWidth="1"/>
    <col min="85" max="85" width="10" style="6" customWidth="1"/>
    <col min="86" max="86" width="10.88671875" style="6" customWidth="1"/>
    <col min="87" max="89" width="8.6640625" style="6" customWidth="1"/>
    <col min="90" max="90" width="7" style="6" customWidth="1"/>
    <col min="91" max="91" width="12.77734375" style="6" customWidth="1"/>
    <col min="92" max="92" width="6.33203125" style="6" customWidth="1"/>
    <col min="93" max="94" width="5.77734375" style="6" customWidth="1"/>
    <col min="95" max="95" width="6.33203125" style="6" customWidth="1"/>
    <col min="96" max="96" width="7.109375" style="6" customWidth="1"/>
    <col min="97" max="97" width="27.109375" style="6" customWidth="1"/>
    <col min="98" max="98" width="11.88671875" style="6" customWidth="1"/>
    <col min="99" max="99" width="14" style="6" customWidth="1"/>
    <col min="100" max="101" width="10.21875" style="6" customWidth="1"/>
    <col min="102" max="16384" width="9" style="6"/>
  </cols>
  <sheetData>
    <row r="1" spans="1:287" s="191" customFormat="1" ht="26.25" customHeight="1">
      <c r="A1" s="634" t="s">
        <v>265</v>
      </c>
      <c r="B1" s="634"/>
      <c r="C1" s="634"/>
      <c r="D1" s="634"/>
      <c r="E1" s="634"/>
      <c r="F1" s="634"/>
      <c r="G1" s="634"/>
      <c r="H1" s="634"/>
      <c r="I1" s="634"/>
      <c r="J1" s="635"/>
      <c r="K1" s="638" t="s">
        <v>0</v>
      </c>
      <c r="L1" s="639"/>
      <c r="M1" s="639"/>
      <c r="N1" s="639"/>
      <c r="O1" s="639"/>
      <c r="P1" s="639"/>
      <c r="Q1" s="639"/>
      <c r="R1" s="640"/>
      <c r="S1" s="642" t="s">
        <v>1</v>
      </c>
      <c r="T1" s="645" t="s">
        <v>2</v>
      </c>
      <c r="U1" s="646"/>
      <c r="V1" s="646"/>
      <c r="W1" s="647"/>
      <c r="X1" s="651" t="s">
        <v>3</v>
      </c>
      <c r="Y1" s="652"/>
      <c r="Z1" s="652"/>
      <c r="AA1" s="652"/>
      <c r="AB1" s="652"/>
      <c r="AC1" s="652"/>
      <c r="AD1" s="652"/>
      <c r="AE1" s="652"/>
      <c r="AF1" s="652"/>
      <c r="AG1" s="652"/>
      <c r="AH1" s="652"/>
      <c r="AI1" s="652"/>
      <c r="AJ1" s="652"/>
      <c r="AK1" s="652"/>
      <c r="AL1" s="653"/>
      <c r="AM1" s="589" t="s">
        <v>268</v>
      </c>
      <c r="AN1" s="592" t="s">
        <v>5</v>
      </c>
      <c r="AO1" s="621" t="s">
        <v>6</v>
      </c>
      <c r="AP1" s="624" t="s">
        <v>257</v>
      </c>
      <c r="AQ1" s="626" t="s">
        <v>52</v>
      </c>
      <c r="AR1" s="628" t="s">
        <v>7</v>
      </c>
      <c r="AS1" s="629"/>
      <c r="AT1" s="629"/>
      <c r="AU1" s="629"/>
      <c r="AV1" s="629"/>
      <c r="AW1" s="629"/>
      <c r="AX1" s="629"/>
      <c r="AY1" s="629"/>
      <c r="AZ1" s="629"/>
      <c r="BA1" s="629"/>
      <c r="BB1" s="629"/>
      <c r="BC1" s="629"/>
      <c r="BD1" s="629"/>
      <c r="BE1" s="629"/>
      <c r="BF1" s="629"/>
      <c r="BG1" s="629"/>
      <c r="BH1" s="629"/>
      <c r="BI1" s="630"/>
      <c r="BJ1" s="678" t="s">
        <v>8</v>
      </c>
      <c r="BK1" s="679"/>
      <c r="BL1" s="679"/>
      <c r="BM1" s="679"/>
      <c r="BN1" s="679"/>
      <c r="BO1" s="679"/>
      <c r="BP1" s="679"/>
      <c r="BQ1" s="679"/>
      <c r="BR1" s="679"/>
      <c r="BS1" s="679"/>
      <c r="BT1" s="679"/>
      <c r="BU1" s="679"/>
      <c r="BV1" s="679"/>
      <c r="BW1" s="679"/>
      <c r="BX1" s="679"/>
      <c r="BY1" s="679"/>
      <c r="BZ1" s="670" t="s">
        <v>65</v>
      </c>
      <c r="CA1" s="670"/>
      <c r="CB1" s="671"/>
      <c r="CC1" s="669" t="s">
        <v>66</v>
      </c>
      <c r="CD1" s="670"/>
      <c r="CE1" s="671"/>
      <c r="CF1" s="660" t="s">
        <v>9</v>
      </c>
      <c r="CG1" s="599" t="s">
        <v>10</v>
      </c>
      <c r="CH1" s="599" t="s">
        <v>255</v>
      </c>
      <c r="CI1" s="602" t="s">
        <v>211</v>
      </c>
      <c r="CJ1" s="603"/>
      <c r="CK1" s="604"/>
      <c r="CL1" s="615" t="s">
        <v>218</v>
      </c>
      <c r="CM1" s="612" t="s">
        <v>12</v>
      </c>
      <c r="CN1" s="607" t="s">
        <v>256</v>
      </c>
      <c r="CO1" s="608"/>
      <c r="CP1" s="608"/>
      <c r="CQ1" s="608"/>
      <c r="CR1" s="609"/>
      <c r="CS1" s="618" t="s">
        <v>14</v>
      </c>
      <c r="CT1" s="618" t="s">
        <v>259</v>
      </c>
      <c r="CU1" s="657" t="s">
        <v>15</v>
      </c>
      <c r="CV1" s="595" t="s">
        <v>234</v>
      </c>
      <c r="CW1" s="596"/>
      <c r="CX1" s="530"/>
      <c r="CY1" s="530"/>
      <c r="CZ1" s="530"/>
      <c r="DA1" s="530"/>
      <c r="DB1" s="530"/>
      <c r="DC1" s="530"/>
      <c r="DD1" s="530"/>
      <c r="DE1" s="530"/>
      <c r="DF1" s="530"/>
      <c r="DG1" s="530"/>
      <c r="DH1" s="530"/>
      <c r="DI1" s="530"/>
      <c r="DJ1" s="530"/>
      <c r="DK1" s="530"/>
      <c r="DL1" s="530"/>
      <c r="DM1" s="530"/>
      <c r="DN1" s="530"/>
      <c r="DO1" s="530"/>
      <c r="DP1" s="530"/>
      <c r="DQ1" s="530"/>
      <c r="DR1" s="530"/>
      <c r="DS1" s="530"/>
      <c r="DT1" s="530"/>
      <c r="DU1" s="530"/>
      <c r="DV1" s="530"/>
      <c r="DW1" s="530"/>
      <c r="DX1" s="530"/>
      <c r="DY1" s="530"/>
      <c r="DZ1" s="530"/>
      <c r="EA1" s="530"/>
      <c r="EB1" s="530"/>
      <c r="EC1" s="530"/>
      <c r="ED1" s="530"/>
      <c r="EE1" s="530"/>
      <c r="EF1" s="530"/>
      <c r="EG1" s="530"/>
      <c r="EH1" s="530"/>
      <c r="EI1" s="530"/>
      <c r="EJ1" s="530"/>
      <c r="EK1" s="530"/>
      <c r="EL1" s="530"/>
      <c r="EM1" s="530"/>
      <c r="EN1" s="530"/>
      <c r="EO1" s="530"/>
      <c r="EP1" s="530"/>
      <c r="EQ1" s="530"/>
      <c r="ER1" s="530"/>
      <c r="ES1" s="530"/>
      <c r="ET1" s="530"/>
      <c r="EU1" s="530"/>
      <c r="EV1" s="530"/>
      <c r="EW1" s="530"/>
      <c r="EX1" s="530"/>
      <c r="EY1" s="530"/>
      <c r="EZ1" s="530"/>
      <c r="FA1" s="530"/>
      <c r="FB1" s="530"/>
      <c r="FC1" s="530"/>
      <c r="FD1" s="530"/>
      <c r="FE1" s="530"/>
      <c r="FF1" s="530"/>
      <c r="FG1" s="530"/>
      <c r="FH1" s="530"/>
      <c r="FI1" s="530"/>
      <c r="FJ1" s="530"/>
      <c r="FK1" s="530"/>
      <c r="FL1" s="530"/>
      <c r="FM1" s="530"/>
      <c r="FN1" s="530"/>
      <c r="FO1" s="530"/>
      <c r="FP1" s="530"/>
      <c r="FQ1" s="530"/>
      <c r="FR1" s="530"/>
      <c r="FS1" s="530"/>
      <c r="FT1" s="530"/>
      <c r="FU1" s="530"/>
      <c r="FV1" s="530"/>
      <c r="FW1" s="530"/>
      <c r="FX1" s="530"/>
      <c r="FY1" s="530"/>
      <c r="FZ1" s="530"/>
      <c r="GA1" s="530"/>
      <c r="GB1" s="530"/>
      <c r="GC1" s="530"/>
      <c r="GD1" s="530"/>
      <c r="GE1" s="530"/>
      <c r="GF1" s="530"/>
      <c r="GG1" s="530"/>
      <c r="GH1" s="530"/>
      <c r="GI1" s="530"/>
      <c r="GJ1" s="530"/>
      <c r="GK1" s="530"/>
      <c r="GL1" s="530"/>
      <c r="GM1" s="530"/>
      <c r="GN1" s="530"/>
      <c r="GO1" s="530"/>
      <c r="GP1" s="530"/>
      <c r="GQ1" s="530"/>
      <c r="GR1" s="530"/>
      <c r="GS1" s="530"/>
      <c r="GT1" s="530"/>
      <c r="GU1" s="530"/>
      <c r="GV1" s="530"/>
      <c r="GW1" s="530"/>
      <c r="GX1" s="530"/>
      <c r="GY1" s="530"/>
      <c r="GZ1" s="530"/>
      <c r="HA1" s="530"/>
      <c r="HB1" s="530"/>
      <c r="HC1" s="530"/>
      <c r="HD1" s="530"/>
      <c r="HE1" s="530"/>
      <c r="HF1" s="530"/>
      <c r="HG1" s="530"/>
      <c r="HH1" s="530"/>
      <c r="HI1" s="530"/>
      <c r="HJ1" s="530"/>
      <c r="HK1" s="530"/>
      <c r="HL1" s="530"/>
      <c r="HM1" s="530"/>
      <c r="HN1" s="530"/>
      <c r="HO1" s="530"/>
      <c r="HP1" s="530"/>
      <c r="HQ1" s="530"/>
      <c r="HR1" s="530"/>
      <c r="HS1" s="530"/>
      <c r="HT1" s="530"/>
      <c r="HU1" s="530"/>
      <c r="HV1" s="530"/>
      <c r="HW1" s="530"/>
      <c r="HX1" s="530"/>
      <c r="HY1" s="530"/>
      <c r="HZ1" s="530"/>
      <c r="IA1" s="530"/>
      <c r="IB1" s="530"/>
      <c r="IC1" s="530"/>
      <c r="ID1" s="530"/>
      <c r="IE1" s="530"/>
      <c r="IF1" s="530"/>
      <c r="IG1" s="530"/>
      <c r="IH1" s="530"/>
      <c r="II1" s="530"/>
      <c r="IJ1" s="530"/>
      <c r="IK1" s="530"/>
      <c r="IL1" s="530"/>
      <c r="IM1" s="530"/>
      <c r="IN1" s="530"/>
      <c r="IO1" s="530"/>
      <c r="IP1" s="530"/>
      <c r="IQ1" s="530"/>
      <c r="IR1" s="530"/>
      <c r="IS1" s="530"/>
      <c r="IT1" s="530"/>
      <c r="IU1" s="530"/>
      <c r="IV1" s="530"/>
      <c r="IW1" s="530"/>
      <c r="IX1" s="530"/>
      <c r="IY1" s="530"/>
      <c r="IZ1" s="530"/>
      <c r="JA1" s="530"/>
      <c r="JB1" s="530"/>
      <c r="JC1" s="530"/>
      <c r="JD1" s="530"/>
      <c r="JE1" s="530"/>
      <c r="JF1" s="530"/>
      <c r="JG1" s="530"/>
      <c r="JH1" s="530"/>
      <c r="JI1" s="530"/>
      <c r="JJ1" s="530"/>
      <c r="JK1" s="530"/>
      <c r="JL1" s="530"/>
      <c r="JM1" s="530"/>
      <c r="JN1" s="530"/>
      <c r="JO1" s="530"/>
      <c r="JP1" s="530"/>
      <c r="JQ1" s="530"/>
      <c r="JR1" s="530"/>
      <c r="JS1" s="530"/>
      <c r="JT1" s="530"/>
      <c r="JU1" s="530"/>
      <c r="JV1" s="530"/>
      <c r="JW1" s="530"/>
      <c r="JX1" s="530"/>
      <c r="JY1" s="530"/>
      <c r="JZ1" s="530"/>
      <c r="KA1" s="530"/>
    </row>
    <row r="2" spans="1:287" s="192" customFormat="1" ht="24" customHeight="1">
      <c r="A2" s="636"/>
      <c r="B2" s="636"/>
      <c r="C2" s="636"/>
      <c r="D2" s="636"/>
      <c r="E2" s="636"/>
      <c r="F2" s="636"/>
      <c r="G2" s="636"/>
      <c r="H2" s="636"/>
      <c r="I2" s="636"/>
      <c r="J2" s="637"/>
      <c r="K2" s="641"/>
      <c r="L2" s="636"/>
      <c r="M2" s="636"/>
      <c r="N2" s="636"/>
      <c r="O2" s="636"/>
      <c r="P2" s="636"/>
      <c r="Q2" s="636"/>
      <c r="R2" s="637"/>
      <c r="S2" s="643"/>
      <c r="T2" s="648"/>
      <c r="U2" s="649"/>
      <c r="V2" s="649"/>
      <c r="W2" s="650"/>
      <c r="X2" s="654"/>
      <c r="Y2" s="655"/>
      <c r="Z2" s="655"/>
      <c r="AA2" s="655"/>
      <c r="AB2" s="655"/>
      <c r="AC2" s="655"/>
      <c r="AD2" s="655"/>
      <c r="AE2" s="655"/>
      <c r="AF2" s="655"/>
      <c r="AG2" s="655"/>
      <c r="AH2" s="655"/>
      <c r="AI2" s="655"/>
      <c r="AJ2" s="655"/>
      <c r="AK2" s="655"/>
      <c r="AL2" s="656"/>
      <c r="AM2" s="590"/>
      <c r="AN2" s="593"/>
      <c r="AO2" s="622"/>
      <c r="AP2" s="624"/>
      <c r="AQ2" s="626"/>
      <c r="AR2" s="631" t="s">
        <v>16</v>
      </c>
      <c r="AS2" s="632"/>
      <c r="AT2" s="632"/>
      <c r="AU2" s="633"/>
      <c r="AV2" s="663" t="s">
        <v>17</v>
      </c>
      <c r="AW2" s="664"/>
      <c r="AX2" s="664"/>
      <c r="AY2" s="664"/>
      <c r="AZ2" s="664"/>
      <c r="BA2" s="665"/>
      <c r="BB2" s="666" t="s">
        <v>18</v>
      </c>
      <c r="BC2" s="667"/>
      <c r="BD2" s="667"/>
      <c r="BE2" s="667"/>
      <c r="BF2" s="667"/>
      <c r="BG2" s="667"/>
      <c r="BH2" s="667"/>
      <c r="BI2" s="668"/>
      <c r="BJ2" s="678"/>
      <c r="BK2" s="679"/>
      <c r="BL2" s="679"/>
      <c r="BM2" s="679"/>
      <c r="BN2" s="679"/>
      <c r="BO2" s="679"/>
      <c r="BP2" s="679"/>
      <c r="BQ2" s="679"/>
      <c r="BR2" s="679"/>
      <c r="BS2" s="679"/>
      <c r="BT2" s="679"/>
      <c r="BU2" s="679"/>
      <c r="BV2" s="679"/>
      <c r="BW2" s="679"/>
      <c r="BX2" s="679"/>
      <c r="BY2" s="679"/>
      <c r="BZ2" s="673"/>
      <c r="CA2" s="673"/>
      <c r="CB2" s="674"/>
      <c r="CC2" s="672"/>
      <c r="CD2" s="673"/>
      <c r="CE2" s="674"/>
      <c r="CF2" s="661"/>
      <c r="CG2" s="600"/>
      <c r="CH2" s="600"/>
      <c r="CI2" s="605" t="s">
        <v>214</v>
      </c>
      <c r="CJ2" s="605" t="s">
        <v>212</v>
      </c>
      <c r="CK2" s="605" t="s">
        <v>213</v>
      </c>
      <c r="CL2" s="616"/>
      <c r="CM2" s="613"/>
      <c r="CN2" s="610" t="s">
        <v>19</v>
      </c>
      <c r="CO2" s="610" t="s">
        <v>249</v>
      </c>
      <c r="CP2" s="610" t="s">
        <v>250</v>
      </c>
      <c r="CQ2" s="610" t="s">
        <v>21</v>
      </c>
      <c r="CR2" s="610" t="s">
        <v>22</v>
      </c>
      <c r="CS2" s="619"/>
      <c r="CT2" s="619"/>
      <c r="CU2" s="658"/>
      <c r="CV2" s="597"/>
      <c r="CW2" s="598"/>
      <c r="CX2" s="531"/>
      <c r="CY2" s="531"/>
      <c r="CZ2" s="531"/>
      <c r="DA2" s="531"/>
      <c r="DB2" s="531"/>
      <c r="DC2" s="531"/>
      <c r="DD2" s="531"/>
      <c r="DE2" s="531"/>
      <c r="DF2" s="531"/>
      <c r="DG2" s="531"/>
      <c r="DH2" s="531"/>
      <c r="DI2" s="531"/>
      <c r="DJ2" s="531"/>
      <c r="DK2" s="531"/>
      <c r="DL2" s="531"/>
      <c r="DM2" s="531"/>
      <c r="DN2" s="531"/>
      <c r="DO2" s="531"/>
      <c r="DP2" s="531"/>
      <c r="DQ2" s="531"/>
      <c r="DR2" s="531"/>
      <c r="DS2" s="531"/>
      <c r="DT2" s="531"/>
      <c r="DU2" s="531"/>
      <c r="DV2" s="531"/>
      <c r="DW2" s="531"/>
      <c r="DX2" s="531"/>
      <c r="DY2" s="531"/>
      <c r="DZ2" s="531"/>
      <c r="EA2" s="531"/>
      <c r="EB2" s="531"/>
      <c r="EC2" s="531"/>
      <c r="ED2" s="531"/>
      <c r="EE2" s="531"/>
      <c r="EF2" s="531"/>
      <c r="EG2" s="531"/>
      <c r="EH2" s="531"/>
      <c r="EI2" s="531"/>
      <c r="EJ2" s="531"/>
      <c r="EK2" s="531"/>
      <c r="EL2" s="531"/>
      <c r="EM2" s="531"/>
      <c r="EN2" s="531"/>
      <c r="EO2" s="531"/>
      <c r="EP2" s="531"/>
      <c r="EQ2" s="531"/>
      <c r="ER2" s="531"/>
      <c r="ES2" s="531"/>
      <c r="ET2" s="531"/>
      <c r="EU2" s="531"/>
      <c r="EV2" s="531"/>
      <c r="EW2" s="531"/>
      <c r="EX2" s="531"/>
      <c r="EY2" s="531"/>
      <c r="EZ2" s="531"/>
      <c r="FA2" s="531"/>
      <c r="FB2" s="531"/>
      <c r="FC2" s="531"/>
      <c r="FD2" s="531"/>
      <c r="FE2" s="531"/>
      <c r="FF2" s="531"/>
      <c r="FG2" s="531"/>
      <c r="FH2" s="531"/>
      <c r="FI2" s="531"/>
      <c r="FJ2" s="531"/>
      <c r="FK2" s="531"/>
      <c r="FL2" s="531"/>
      <c r="FM2" s="531"/>
      <c r="FN2" s="531"/>
      <c r="FO2" s="531"/>
      <c r="FP2" s="531"/>
      <c r="FQ2" s="531"/>
      <c r="FR2" s="531"/>
      <c r="FS2" s="531"/>
      <c r="FT2" s="531"/>
      <c r="FU2" s="531"/>
      <c r="FV2" s="531"/>
      <c r="FW2" s="531"/>
      <c r="FX2" s="531"/>
      <c r="FY2" s="531"/>
      <c r="FZ2" s="531"/>
      <c r="GA2" s="531"/>
      <c r="GB2" s="531"/>
      <c r="GC2" s="531"/>
      <c r="GD2" s="531"/>
      <c r="GE2" s="531"/>
      <c r="GF2" s="531"/>
      <c r="GG2" s="531"/>
      <c r="GH2" s="531"/>
      <c r="GI2" s="531"/>
      <c r="GJ2" s="531"/>
      <c r="GK2" s="531"/>
      <c r="GL2" s="531"/>
      <c r="GM2" s="531"/>
      <c r="GN2" s="531"/>
      <c r="GO2" s="531"/>
      <c r="GP2" s="531"/>
      <c r="GQ2" s="531"/>
      <c r="GR2" s="531"/>
      <c r="GS2" s="531"/>
      <c r="GT2" s="531"/>
      <c r="GU2" s="531"/>
      <c r="GV2" s="531"/>
      <c r="GW2" s="531"/>
      <c r="GX2" s="531"/>
      <c r="GY2" s="531"/>
      <c r="GZ2" s="531"/>
      <c r="HA2" s="531"/>
      <c r="HB2" s="531"/>
      <c r="HC2" s="531"/>
      <c r="HD2" s="531"/>
      <c r="HE2" s="531"/>
      <c r="HF2" s="531"/>
      <c r="HG2" s="531"/>
      <c r="HH2" s="531"/>
      <c r="HI2" s="531"/>
      <c r="HJ2" s="531"/>
      <c r="HK2" s="531"/>
      <c r="HL2" s="531"/>
      <c r="HM2" s="531"/>
      <c r="HN2" s="531"/>
      <c r="HO2" s="531"/>
      <c r="HP2" s="531"/>
      <c r="HQ2" s="531"/>
      <c r="HR2" s="531"/>
      <c r="HS2" s="531"/>
      <c r="HT2" s="531"/>
      <c r="HU2" s="531"/>
      <c r="HV2" s="531"/>
      <c r="HW2" s="531"/>
      <c r="HX2" s="531"/>
      <c r="HY2" s="531"/>
      <c r="HZ2" s="531"/>
      <c r="IA2" s="531"/>
      <c r="IB2" s="531"/>
      <c r="IC2" s="531"/>
      <c r="ID2" s="531"/>
      <c r="IE2" s="531"/>
      <c r="IF2" s="531"/>
      <c r="IG2" s="531"/>
      <c r="IH2" s="531"/>
      <c r="II2" s="531"/>
      <c r="IJ2" s="531"/>
      <c r="IK2" s="531"/>
      <c r="IL2" s="531"/>
      <c r="IM2" s="531"/>
      <c r="IN2" s="531"/>
      <c r="IO2" s="531"/>
      <c r="IP2" s="531"/>
      <c r="IQ2" s="531"/>
      <c r="IR2" s="531"/>
      <c r="IS2" s="531"/>
      <c r="IT2" s="531"/>
      <c r="IU2" s="531"/>
      <c r="IV2" s="531"/>
      <c r="IW2" s="531"/>
      <c r="IX2" s="531"/>
      <c r="IY2" s="531"/>
      <c r="IZ2" s="531"/>
      <c r="JA2" s="531"/>
      <c r="JB2" s="531"/>
      <c r="JC2" s="531"/>
      <c r="JD2" s="531"/>
      <c r="JE2" s="531"/>
      <c r="JF2" s="531"/>
      <c r="JG2" s="531"/>
      <c r="JH2" s="531"/>
      <c r="JI2" s="531"/>
      <c r="JJ2" s="531"/>
      <c r="JK2" s="531"/>
      <c r="JL2" s="531"/>
      <c r="JM2" s="531"/>
      <c r="JN2" s="531"/>
      <c r="JO2" s="531"/>
      <c r="JP2" s="531"/>
      <c r="JQ2" s="531"/>
      <c r="JR2" s="531"/>
      <c r="JS2" s="531"/>
      <c r="JT2" s="531"/>
      <c r="JU2" s="531"/>
      <c r="JV2" s="531"/>
      <c r="JW2" s="531"/>
      <c r="JX2" s="531"/>
      <c r="JY2" s="531"/>
      <c r="JZ2" s="531"/>
      <c r="KA2" s="531"/>
    </row>
    <row r="3" spans="1:287" s="247" customFormat="1" ht="75" customHeight="1">
      <c r="A3" s="507" t="s">
        <v>23</v>
      </c>
      <c r="B3" s="508" t="s">
        <v>24</v>
      </c>
      <c r="C3" s="509" t="s">
        <v>25</v>
      </c>
      <c r="D3" s="510" t="s">
        <v>26</v>
      </c>
      <c r="E3" s="578" t="s">
        <v>27</v>
      </c>
      <c r="F3" s="507" t="s">
        <v>28</v>
      </c>
      <c r="G3" s="578" t="s">
        <v>29</v>
      </c>
      <c r="H3" s="578" t="s">
        <v>30</v>
      </c>
      <c r="I3" s="578" t="s">
        <v>31</v>
      </c>
      <c r="J3" s="507" t="s">
        <v>32</v>
      </c>
      <c r="K3" s="511" t="s">
        <v>0</v>
      </c>
      <c r="L3" s="507" t="s">
        <v>33</v>
      </c>
      <c r="M3" s="507" t="s">
        <v>34</v>
      </c>
      <c r="N3" s="507"/>
      <c r="O3" s="512" t="s">
        <v>260</v>
      </c>
      <c r="P3" s="513" t="s">
        <v>216</v>
      </c>
      <c r="Q3" s="513" t="s">
        <v>215</v>
      </c>
      <c r="R3" s="507" t="s">
        <v>217</v>
      </c>
      <c r="S3" s="644"/>
      <c r="T3" s="514" t="s">
        <v>37</v>
      </c>
      <c r="U3" s="514" t="s">
        <v>38</v>
      </c>
      <c r="V3" s="514" t="s">
        <v>39</v>
      </c>
      <c r="W3" s="514" t="s">
        <v>40</v>
      </c>
      <c r="X3" s="515" t="s">
        <v>41</v>
      </c>
      <c r="Y3" s="516" t="s">
        <v>42</v>
      </c>
      <c r="Z3" s="516" t="s">
        <v>43</v>
      </c>
      <c r="AA3" s="516" t="s">
        <v>44</v>
      </c>
      <c r="AB3" s="516" t="s">
        <v>45</v>
      </c>
      <c r="AC3" s="516" t="s">
        <v>46</v>
      </c>
      <c r="AD3" s="516" t="s">
        <v>47</v>
      </c>
      <c r="AE3" s="516" t="s">
        <v>208</v>
      </c>
      <c r="AF3" s="516" t="s">
        <v>48</v>
      </c>
      <c r="AG3" s="516" t="s">
        <v>49</v>
      </c>
      <c r="AH3" s="516" t="s">
        <v>50</v>
      </c>
      <c r="AI3" s="516" t="s">
        <v>207</v>
      </c>
      <c r="AJ3" s="517" t="s">
        <v>51</v>
      </c>
      <c r="AK3" s="517" t="s">
        <v>210</v>
      </c>
      <c r="AL3" s="518" t="s">
        <v>22</v>
      </c>
      <c r="AM3" s="591"/>
      <c r="AN3" s="594"/>
      <c r="AO3" s="623"/>
      <c r="AP3" s="625"/>
      <c r="AQ3" s="627"/>
      <c r="AR3" s="519" t="s">
        <v>53</v>
      </c>
      <c r="AS3" s="519" t="s">
        <v>54</v>
      </c>
      <c r="AT3" s="519" t="s">
        <v>55</v>
      </c>
      <c r="AU3" s="519" t="s">
        <v>267</v>
      </c>
      <c r="AV3" s="520" t="s">
        <v>56</v>
      </c>
      <c r="AW3" s="520" t="s">
        <v>57</v>
      </c>
      <c r="AX3" s="520" t="s">
        <v>58</v>
      </c>
      <c r="AY3" s="520" t="s">
        <v>59</v>
      </c>
      <c r="AZ3" s="520" t="s">
        <v>60</v>
      </c>
      <c r="BA3" s="520" t="s">
        <v>266</v>
      </c>
      <c r="BB3" s="521" t="s">
        <v>61</v>
      </c>
      <c r="BC3" s="521" t="s">
        <v>62</v>
      </c>
      <c r="BD3" s="521" t="s">
        <v>220</v>
      </c>
      <c r="BE3" s="521" t="s">
        <v>228</v>
      </c>
      <c r="BF3" s="521" t="s">
        <v>63</v>
      </c>
      <c r="BG3" s="521" t="s">
        <v>37</v>
      </c>
      <c r="BH3" s="522" t="s">
        <v>40</v>
      </c>
      <c r="BI3" s="522" t="s">
        <v>64</v>
      </c>
      <c r="BJ3" s="372" t="s">
        <v>41</v>
      </c>
      <c r="BK3" s="372" t="s">
        <v>42</v>
      </c>
      <c r="BL3" s="372" t="s">
        <v>43</v>
      </c>
      <c r="BM3" s="372" t="s">
        <v>44</v>
      </c>
      <c r="BN3" s="372" t="s">
        <v>45</v>
      </c>
      <c r="BO3" s="372" t="s">
        <v>46</v>
      </c>
      <c r="BP3" s="372" t="s">
        <v>47</v>
      </c>
      <c r="BQ3" s="372" t="s">
        <v>209</v>
      </c>
      <c r="BR3" s="372" t="s">
        <v>48</v>
      </c>
      <c r="BS3" s="372" t="s">
        <v>49</v>
      </c>
      <c r="BT3" s="372" t="s">
        <v>50</v>
      </c>
      <c r="BU3" s="372" t="s">
        <v>207</v>
      </c>
      <c r="BV3" s="373" t="s">
        <v>51</v>
      </c>
      <c r="BW3" s="372" t="s">
        <v>210</v>
      </c>
      <c r="BX3" s="373" t="s">
        <v>230</v>
      </c>
      <c r="BY3" s="446" t="s">
        <v>22</v>
      </c>
      <c r="BZ3" s="676"/>
      <c r="CA3" s="676"/>
      <c r="CB3" s="677"/>
      <c r="CC3" s="675"/>
      <c r="CD3" s="676"/>
      <c r="CE3" s="677"/>
      <c r="CF3" s="662"/>
      <c r="CG3" s="601"/>
      <c r="CH3" s="601"/>
      <c r="CI3" s="606"/>
      <c r="CJ3" s="606"/>
      <c r="CK3" s="606"/>
      <c r="CL3" s="617"/>
      <c r="CM3" s="614"/>
      <c r="CN3" s="611"/>
      <c r="CO3" s="611"/>
      <c r="CP3" s="611"/>
      <c r="CQ3" s="611"/>
      <c r="CR3" s="611"/>
      <c r="CS3" s="620"/>
      <c r="CT3" s="620"/>
      <c r="CU3" s="659"/>
      <c r="CV3" s="383" t="s">
        <v>235</v>
      </c>
      <c r="CW3" s="383" t="s">
        <v>236</v>
      </c>
      <c r="CX3" s="531"/>
      <c r="CY3" s="531"/>
      <c r="CZ3" s="531"/>
      <c r="DA3" s="531"/>
      <c r="DB3" s="531"/>
      <c r="DC3" s="531"/>
      <c r="DD3" s="531"/>
      <c r="DE3" s="531"/>
      <c r="DF3" s="531"/>
      <c r="DG3" s="531"/>
      <c r="DH3" s="531"/>
      <c r="DI3" s="531"/>
      <c r="DJ3" s="531"/>
      <c r="DK3" s="531"/>
      <c r="DL3" s="531"/>
      <c r="DM3" s="531"/>
      <c r="DN3" s="531"/>
      <c r="DO3" s="531"/>
      <c r="DP3" s="531"/>
      <c r="DQ3" s="531"/>
      <c r="DR3" s="531"/>
      <c r="DS3" s="531"/>
      <c r="DT3" s="531"/>
      <c r="DU3" s="531"/>
      <c r="DV3" s="531"/>
      <c r="DW3" s="531"/>
      <c r="DX3" s="531"/>
      <c r="DY3" s="531"/>
      <c r="DZ3" s="531"/>
      <c r="EA3" s="531"/>
      <c r="EB3" s="531"/>
      <c r="EC3" s="531"/>
      <c r="ED3" s="531"/>
      <c r="EE3" s="531"/>
      <c r="EF3" s="531"/>
      <c r="EG3" s="531"/>
      <c r="EH3" s="531"/>
      <c r="EI3" s="531"/>
      <c r="EJ3" s="531"/>
      <c r="EK3" s="531"/>
      <c r="EL3" s="531"/>
      <c r="EM3" s="531"/>
      <c r="EN3" s="531"/>
      <c r="EO3" s="531"/>
      <c r="EP3" s="531"/>
      <c r="EQ3" s="531"/>
      <c r="ER3" s="531"/>
      <c r="ES3" s="531"/>
      <c r="ET3" s="531"/>
      <c r="EU3" s="531"/>
      <c r="EV3" s="531"/>
      <c r="EW3" s="531"/>
      <c r="EX3" s="531"/>
      <c r="EY3" s="531"/>
      <c r="EZ3" s="531"/>
      <c r="FA3" s="531"/>
      <c r="FB3" s="531"/>
      <c r="FC3" s="531"/>
      <c r="FD3" s="531"/>
      <c r="FE3" s="531"/>
      <c r="FF3" s="531"/>
      <c r="FG3" s="531"/>
      <c r="FH3" s="531"/>
      <c r="FI3" s="531"/>
      <c r="FJ3" s="531"/>
      <c r="FK3" s="531"/>
      <c r="FL3" s="531"/>
      <c r="FM3" s="531"/>
      <c r="FN3" s="531"/>
      <c r="FO3" s="531"/>
      <c r="FP3" s="531"/>
      <c r="FQ3" s="531"/>
      <c r="FR3" s="531"/>
      <c r="FS3" s="531"/>
      <c r="FT3" s="531"/>
      <c r="FU3" s="531"/>
      <c r="FV3" s="531"/>
      <c r="FW3" s="531"/>
      <c r="FX3" s="531"/>
      <c r="FY3" s="531"/>
      <c r="FZ3" s="531"/>
      <c r="GA3" s="531"/>
      <c r="GB3" s="531"/>
      <c r="GC3" s="531"/>
      <c r="GD3" s="531"/>
      <c r="GE3" s="531"/>
      <c r="GF3" s="531"/>
      <c r="GG3" s="531"/>
      <c r="GH3" s="531"/>
      <c r="GI3" s="531"/>
      <c r="GJ3" s="531"/>
      <c r="GK3" s="531"/>
      <c r="GL3" s="531"/>
      <c r="GM3" s="531"/>
      <c r="GN3" s="531"/>
      <c r="GO3" s="531"/>
      <c r="GP3" s="531"/>
      <c r="GQ3" s="531"/>
      <c r="GR3" s="531"/>
      <c r="GS3" s="531"/>
      <c r="GT3" s="531"/>
      <c r="GU3" s="531"/>
      <c r="GV3" s="531"/>
      <c r="GW3" s="531"/>
      <c r="GX3" s="531"/>
      <c r="GY3" s="531"/>
      <c r="GZ3" s="531"/>
      <c r="HA3" s="531"/>
      <c r="HB3" s="531"/>
      <c r="HC3" s="531"/>
      <c r="HD3" s="531"/>
      <c r="HE3" s="531"/>
      <c r="HF3" s="531"/>
      <c r="HG3" s="531"/>
      <c r="HH3" s="531"/>
      <c r="HI3" s="531"/>
      <c r="HJ3" s="531"/>
      <c r="HK3" s="531"/>
      <c r="HL3" s="531"/>
      <c r="HM3" s="531"/>
      <c r="HN3" s="531"/>
      <c r="HO3" s="531"/>
      <c r="HP3" s="531"/>
      <c r="HQ3" s="531"/>
      <c r="HR3" s="531"/>
      <c r="HS3" s="531"/>
      <c r="HT3" s="531"/>
      <c r="HU3" s="531"/>
      <c r="HV3" s="531"/>
      <c r="HW3" s="531"/>
      <c r="HX3" s="531"/>
      <c r="HY3" s="531"/>
      <c r="HZ3" s="531"/>
      <c r="IA3" s="531"/>
      <c r="IB3" s="531"/>
      <c r="IC3" s="531"/>
      <c r="ID3" s="531"/>
      <c r="IE3" s="531"/>
      <c r="IF3" s="531"/>
      <c r="IG3" s="531"/>
      <c r="IH3" s="531"/>
      <c r="II3" s="531"/>
      <c r="IJ3" s="531"/>
      <c r="IK3" s="531"/>
      <c r="IL3" s="531"/>
      <c r="IM3" s="531"/>
      <c r="IN3" s="531"/>
      <c r="IO3" s="531"/>
      <c r="IP3" s="531"/>
      <c r="IQ3" s="531"/>
      <c r="IR3" s="531"/>
      <c r="IS3" s="531"/>
      <c r="IT3" s="531"/>
      <c r="IU3" s="531"/>
      <c r="IV3" s="531"/>
      <c r="IW3" s="531"/>
      <c r="IX3" s="531"/>
      <c r="IY3" s="531"/>
      <c r="IZ3" s="531"/>
      <c r="JA3" s="531"/>
      <c r="JB3" s="531"/>
      <c r="JC3" s="531"/>
      <c r="JD3" s="531"/>
      <c r="JE3" s="531"/>
      <c r="JF3" s="531"/>
      <c r="JG3" s="531"/>
      <c r="JH3" s="531"/>
      <c r="JI3" s="531"/>
      <c r="JJ3" s="531"/>
      <c r="JK3" s="531"/>
      <c r="JL3" s="531"/>
      <c r="JM3" s="531"/>
      <c r="JN3" s="531"/>
      <c r="JO3" s="531"/>
      <c r="JP3" s="531"/>
      <c r="JQ3" s="531"/>
      <c r="JR3" s="531"/>
      <c r="JS3" s="531"/>
      <c r="JT3" s="531"/>
      <c r="JU3" s="531"/>
      <c r="JV3" s="531"/>
      <c r="JW3" s="531"/>
      <c r="JX3" s="531"/>
      <c r="JY3" s="531"/>
      <c r="JZ3" s="531"/>
      <c r="KA3" s="531"/>
    </row>
    <row r="4" spans="1:287" s="496" customFormat="1" ht="21.75" customHeight="1">
      <c r="A4" s="535"/>
    </row>
    <row r="5" spans="1:287" s="496" customFormat="1" ht="21.75" customHeight="1">
      <c r="A5" s="535"/>
    </row>
    <row r="6" spans="1:287" s="497" customFormat="1" ht="21.75" customHeight="1">
      <c r="A6" s="533"/>
    </row>
    <row r="7" spans="1:287" s="495" customFormat="1" ht="21.75" customHeight="1">
      <c r="A7" s="539"/>
    </row>
    <row r="8" spans="1:287" s="496" customFormat="1" ht="21.75" customHeight="1">
      <c r="A8" s="535"/>
    </row>
    <row r="9" spans="1:287" s="580" customFormat="1" ht="21.75" customHeight="1">
      <c r="A9" s="581"/>
    </row>
    <row r="10" spans="1:287" s="495" customFormat="1" ht="21.75" customHeight="1">
      <c r="A10" s="539"/>
    </row>
    <row r="11" spans="1:287" s="496" customFormat="1" ht="21.75" customHeight="1">
      <c r="A11" s="535"/>
    </row>
    <row r="12" spans="1:287" s="524" customFormat="1" ht="21.75" customHeight="1">
      <c r="A12" s="558"/>
    </row>
    <row r="13" spans="1:287" s="504" customFormat="1" ht="21.75" customHeight="1">
      <c r="A13" s="553"/>
    </row>
    <row r="14" spans="1:287" s="496" customFormat="1" ht="21.75" customHeight="1">
      <c r="A14" s="535"/>
    </row>
    <row r="15" spans="1:287" s="504" customFormat="1" ht="21.75" customHeight="1">
      <c r="A15" s="553"/>
    </row>
    <row r="16" spans="1:287" s="496" customFormat="1" ht="21.75" customHeight="1">
      <c r="A16" s="535"/>
    </row>
    <row r="17" spans="1:186" s="496" customFormat="1" ht="21.75" customHeight="1">
      <c r="A17" s="19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</row>
    <row r="18" spans="1:186" ht="21.75" customHeight="1">
      <c r="A18" s="194"/>
      <c r="B18" s="6"/>
      <c r="C18" s="6"/>
      <c r="D18" s="6"/>
      <c r="E18" s="6"/>
      <c r="F18" s="6"/>
      <c r="G18" s="6"/>
      <c r="J18" s="6"/>
      <c r="K18" s="6"/>
      <c r="L18" s="6"/>
      <c r="M18" s="6"/>
      <c r="N18" s="6"/>
      <c r="O18" s="6"/>
      <c r="P18" s="6"/>
      <c r="Q18" s="6"/>
      <c r="R18" s="6"/>
      <c r="S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O18" s="6"/>
      <c r="AP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</row>
    <row r="19" spans="1:186" s="496" customFormat="1" ht="21.75" customHeight="1">
      <c r="A19" s="535"/>
    </row>
    <row r="20" spans="1:186" s="497" customFormat="1" ht="21.75" customHeight="1">
      <c r="A20" s="533"/>
    </row>
    <row r="21" spans="1:186" s="495" customFormat="1" ht="21.75" customHeight="1">
      <c r="A21" s="539"/>
    </row>
    <row r="22" spans="1:186" s="495" customFormat="1" ht="21.75" customHeight="1">
      <c r="A22" s="539"/>
    </row>
    <row r="23" spans="1:186" s="499" customFormat="1" ht="21.75" customHeight="1">
      <c r="A23" s="543"/>
    </row>
    <row r="24" spans="1:186" s="496" customFormat="1" ht="21.75" customHeight="1">
      <c r="A24" s="535"/>
    </row>
    <row r="25" spans="1:186" s="497" customFormat="1" ht="21.75" customHeight="1">
      <c r="A25" s="533"/>
    </row>
    <row r="26" spans="1:186" s="495" customFormat="1" ht="21.75" customHeight="1">
      <c r="A26" s="539"/>
    </row>
    <row r="27" spans="1:186" s="496" customFormat="1" ht="21.75" customHeight="1">
      <c r="A27" s="535"/>
    </row>
    <row r="28" spans="1:186" s="497" customFormat="1" ht="21.75" customHeight="1">
      <c r="A28" s="533"/>
    </row>
    <row r="29" spans="1:186" s="501" customFormat="1" ht="21.75" customHeight="1">
      <c r="A29" s="534"/>
    </row>
    <row r="30" spans="1:186" s="495" customFormat="1" ht="21.75" customHeight="1">
      <c r="A30" s="539"/>
    </row>
    <row r="31" spans="1:186" s="496" customFormat="1" ht="21.75" customHeight="1">
      <c r="A31" s="535"/>
    </row>
    <row r="32" spans="1:186" s="496" customFormat="1" ht="21.75" customHeight="1">
      <c r="A32" s="19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</row>
    <row r="33" spans="1:186" s="497" customFormat="1" ht="21.75" customHeight="1">
      <c r="A33" s="533"/>
    </row>
    <row r="34" spans="1:186" s="497" customFormat="1" ht="21.75" customHeight="1">
      <c r="A34" s="533"/>
    </row>
    <row r="35" spans="1:186" s="505" customFormat="1" ht="21.75" customHeight="1">
      <c r="A35" s="546"/>
    </row>
    <row r="36" spans="1:186" s="501" customFormat="1" ht="21.75" customHeight="1">
      <c r="A36" s="534"/>
    </row>
    <row r="37" spans="1:186" s="498" customFormat="1" ht="21.75" customHeight="1">
      <c r="A37" s="545"/>
    </row>
    <row r="38" spans="1:186" s="496" customFormat="1" ht="21.75" customHeight="1">
      <c r="A38" s="535"/>
    </row>
    <row r="39" spans="1:186" s="505" customFormat="1" ht="21.75" customHeight="1">
      <c r="A39" s="546"/>
    </row>
    <row r="40" spans="1:186" s="502" customFormat="1" ht="21.75" customHeight="1">
      <c r="A40" s="540"/>
    </row>
    <row r="41" spans="1:186" s="495" customFormat="1" ht="21.75" customHeight="1">
      <c r="A41" s="539"/>
    </row>
    <row r="42" spans="1:186" s="505" customFormat="1" ht="21.75" customHeight="1">
      <c r="A42" s="546"/>
    </row>
    <row r="43" spans="1:186" s="505" customFormat="1" ht="21.75" customHeight="1">
      <c r="A43" s="546"/>
    </row>
    <row r="44" spans="1:186" s="496" customFormat="1" ht="21.75" customHeight="1">
      <c r="A44" s="535"/>
    </row>
    <row r="45" spans="1:186" s="499" customFormat="1" ht="21.75" customHeight="1">
      <c r="A45" s="543"/>
    </row>
    <row r="46" spans="1:186" s="496" customFormat="1" ht="21.75" customHeight="1">
      <c r="A46" s="535"/>
    </row>
    <row r="47" spans="1:186" s="495" customFormat="1" ht="21.75" customHeight="1">
      <c r="A47" s="449"/>
      <c r="B47" s="448"/>
      <c r="C47" s="448"/>
      <c r="D47" s="448"/>
      <c r="E47" s="448"/>
      <c r="F47" s="448"/>
      <c r="G47" s="448"/>
      <c r="H47" s="448"/>
      <c r="I47" s="448"/>
      <c r="J47" s="448"/>
      <c r="K47" s="448"/>
      <c r="L47" s="448"/>
      <c r="M47" s="448"/>
      <c r="N47" s="448"/>
      <c r="O47" s="448"/>
      <c r="P47" s="448"/>
      <c r="Q47" s="448"/>
      <c r="R47" s="448"/>
      <c r="S47" s="448"/>
      <c r="T47" s="448"/>
      <c r="U47" s="448"/>
      <c r="V47" s="448"/>
      <c r="W47" s="448"/>
      <c r="X47" s="448"/>
      <c r="Y47" s="448"/>
      <c r="Z47" s="448"/>
      <c r="AA47" s="448"/>
      <c r="AB47" s="448"/>
      <c r="AC47" s="448"/>
      <c r="AD47" s="448"/>
      <c r="AE47" s="448"/>
      <c r="AF47" s="448"/>
      <c r="AG47" s="448"/>
      <c r="AH47" s="448"/>
      <c r="AI47" s="448"/>
      <c r="AJ47" s="448"/>
      <c r="AK47" s="448"/>
      <c r="AL47" s="448"/>
      <c r="AM47" s="448"/>
      <c r="AN47" s="448"/>
      <c r="AO47" s="448"/>
      <c r="AP47" s="448"/>
      <c r="AQ47" s="448"/>
      <c r="AR47" s="448"/>
      <c r="AS47" s="448"/>
      <c r="AT47" s="448"/>
      <c r="AU47" s="448"/>
      <c r="AV47" s="448"/>
      <c r="AW47" s="448"/>
      <c r="AX47" s="448"/>
      <c r="AY47" s="448"/>
      <c r="AZ47" s="448"/>
      <c r="BA47" s="448"/>
      <c r="BB47" s="448"/>
      <c r="BC47" s="448"/>
      <c r="BD47" s="448"/>
      <c r="BE47" s="448"/>
      <c r="BF47" s="448"/>
      <c r="BG47" s="448"/>
      <c r="BH47" s="448"/>
      <c r="BI47" s="448"/>
      <c r="BJ47" s="448"/>
      <c r="BK47" s="448"/>
      <c r="BL47" s="448"/>
      <c r="BM47" s="448"/>
      <c r="BN47" s="448"/>
      <c r="BO47" s="448"/>
      <c r="BP47" s="448"/>
      <c r="BQ47" s="448"/>
      <c r="BR47" s="448"/>
      <c r="BS47" s="448"/>
      <c r="BT47" s="448"/>
      <c r="BU47" s="448"/>
      <c r="BV47" s="448"/>
      <c r="BW47" s="448"/>
      <c r="BX47" s="448"/>
      <c r="BY47" s="448"/>
      <c r="BZ47" s="448"/>
      <c r="CA47" s="448"/>
      <c r="CB47" s="448"/>
      <c r="CC47" s="448"/>
      <c r="CD47" s="448"/>
      <c r="CE47" s="448"/>
      <c r="CF47" s="448"/>
      <c r="CG47" s="448"/>
      <c r="CH47" s="448"/>
      <c r="CI47" s="448"/>
      <c r="CJ47" s="448"/>
      <c r="CK47" s="448"/>
      <c r="CL47" s="448"/>
      <c r="CM47" s="448"/>
      <c r="CN47" s="448"/>
      <c r="CO47" s="448"/>
      <c r="CP47" s="448"/>
      <c r="CQ47" s="448"/>
      <c r="CR47" s="448"/>
      <c r="CS47" s="448"/>
      <c r="CT47" s="448"/>
      <c r="CU47" s="448"/>
      <c r="CV47" s="448"/>
      <c r="CW47" s="448"/>
      <c r="CX47" s="448"/>
      <c r="CY47" s="448"/>
      <c r="CZ47" s="448"/>
      <c r="DA47" s="448"/>
      <c r="DB47" s="448"/>
      <c r="DC47" s="448"/>
      <c r="DD47" s="448"/>
      <c r="DE47" s="448"/>
      <c r="DF47" s="448"/>
      <c r="DG47" s="448"/>
      <c r="DH47" s="448"/>
      <c r="DI47" s="448"/>
      <c r="DJ47" s="448"/>
      <c r="DK47" s="448"/>
      <c r="DL47" s="448"/>
      <c r="DM47" s="448"/>
      <c r="DN47" s="448"/>
      <c r="DO47" s="448"/>
      <c r="DP47" s="448"/>
      <c r="DQ47" s="448"/>
      <c r="DR47" s="448"/>
      <c r="DS47" s="448"/>
      <c r="DT47" s="448"/>
      <c r="DU47" s="448"/>
      <c r="DV47" s="448"/>
      <c r="DW47" s="448"/>
      <c r="DX47" s="448"/>
      <c r="DY47" s="448"/>
      <c r="DZ47" s="448"/>
      <c r="EA47" s="448"/>
      <c r="EB47" s="448"/>
      <c r="EC47" s="448"/>
      <c r="ED47" s="448"/>
      <c r="EE47" s="448"/>
      <c r="EF47" s="448"/>
      <c r="EG47" s="448"/>
      <c r="EH47" s="448"/>
      <c r="EI47" s="448"/>
      <c r="EJ47" s="448"/>
      <c r="EK47" s="448"/>
      <c r="EL47" s="448"/>
      <c r="EM47" s="448"/>
      <c r="EN47" s="448"/>
      <c r="EO47" s="448"/>
      <c r="EP47" s="448"/>
      <c r="EQ47" s="448"/>
      <c r="ER47" s="448"/>
      <c r="ES47" s="448"/>
      <c r="ET47" s="448"/>
      <c r="EU47" s="448"/>
      <c r="EV47" s="448"/>
      <c r="EW47" s="448"/>
      <c r="EX47" s="448"/>
      <c r="EY47" s="448"/>
      <c r="EZ47" s="448"/>
      <c r="FA47" s="448"/>
      <c r="FB47" s="448"/>
      <c r="FC47" s="448"/>
      <c r="FD47" s="448"/>
      <c r="FE47" s="448"/>
      <c r="FF47" s="448"/>
      <c r="FG47" s="448"/>
      <c r="FH47" s="448"/>
      <c r="FI47" s="448"/>
      <c r="FJ47" s="448"/>
      <c r="FK47" s="448"/>
      <c r="FL47" s="448"/>
      <c r="FM47" s="448"/>
      <c r="FN47" s="448"/>
      <c r="FO47" s="448"/>
      <c r="FP47" s="448"/>
      <c r="FQ47" s="448"/>
      <c r="FR47" s="448"/>
      <c r="FS47" s="448"/>
      <c r="FT47" s="448"/>
      <c r="FU47" s="448"/>
      <c r="FV47" s="448"/>
      <c r="FW47" s="448"/>
      <c r="FX47" s="448"/>
      <c r="FY47" s="448"/>
      <c r="FZ47" s="448"/>
      <c r="GA47" s="448"/>
      <c r="GB47" s="448"/>
      <c r="GC47" s="448"/>
      <c r="GD47" s="448"/>
    </row>
    <row r="48" spans="1:186" s="496" customFormat="1" ht="21.75" customHeight="1">
      <c r="A48" s="535"/>
    </row>
    <row r="49" spans="1:186" s="499" customFormat="1" ht="21.75" customHeight="1">
      <c r="A49" s="543"/>
    </row>
    <row r="50" spans="1:186" s="495" customFormat="1" ht="21.75" customHeight="1">
      <c r="A50" s="539"/>
    </row>
    <row r="51" spans="1:186" s="497" customFormat="1" ht="21.75" customHeight="1">
      <c r="A51" s="533"/>
    </row>
    <row r="52" spans="1:186" s="495" customFormat="1" ht="21.75" customHeight="1">
      <c r="A52" s="539"/>
    </row>
    <row r="53" spans="1:186" s="497" customFormat="1" ht="21.75" customHeight="1">
      <c r="A53" s="533"/>
    </row>
    <row r="54" spans="1:186" s="495" customFormat="1" ht="21.75" customHeight="1">
      <c r="A54" s="539"/>
    </row>
    <row r="55" spans="1:186" s="499" customFormat="1" ht="21.75" customHeight="1">
      <c r="A55" s="543"/>
    </row>
    <row r="56" spans="1:186" s="495" customFormat="1" ht="21.75" customHeight="1">
      <c r="A56" s="539"/>
    </row>
    <row r="57" spans="1:186" s="496" customFormat="1" ht="21.75" customHeight="1">
      <c r="A57" s="535"/>
    </row>
    <row r="58" spans="1:186" s="497" customFormat="1" ht="21.75" customHeight="1">
      <c r="A58" s="533"/>
    </row>
    <row r="59" spans="1:186" s="495" customFormat="1" ht="21.75" customHeight="1">
      <c r="A59" s="539"/>
    </row>
    <row r="60" spans="1:186" s="497" customFormat="1" ht="21.75" customHeight="1">
      <c r="A60" s="533"/>
    </row>
    <row r="61" spans="1:186" s="495" customFormat="1" ht="21.75" customHeight="1">
      <c r="A61" s="539"/>
    </row>
    <row r="62" spans="1:186" s="496" customFormat="1" ht="21.75" customHeight="1">
      <c r="A62" s="535"/>
    </row>
    <row r="63" spans="1:186" s="496" customFormat="1" ht="21.75" customHeight="1">
      <c r="A63" s="194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</row>
    <row r="64" spans="1:186" s="505" customFormat="1" ht="21.75" customHeight="1">
      <c r="A64" s="546"/>
    </row>
    <row r="65" spans="1:186" s="497" customFormat="1" ht="21.75" customHeight="1">
      <c r="A65" s="533"/>
    </row>
    <row r="66" spans="1:186" s="495" customFormat="1" ht="21.75" customHeight="1">
      <c r="A66" s="539"/>
    </row>
    <row r="67" spans="1:186" s="497" customFormat="1" ht="21.75" customHeight="1">
      <c r="A67" s="533"/>
    </row>
    <row r="68" spans="1:186" s="587" customFormat="1" ht="21.75" customHeight="1">
      <c r="A68" s="586"/>
    </row>
    <row r="69" spans="1:186" s="476" customFormat="1" ht="21.75" customHeight="1">
      <c r="A69" s="477"/>
    </row>
    <row r="70" spans="1:186" s="496" customFormat="1" ht="21.75" customHeight="1">
      <c r="A70" s="535"/>
    </row>
    <row r="71" spans="1:186" s="496" customFormat="1" ht="21.75" customHeight="1">
      <c r="A71" s="535"/>
    </row>
    <row r="72" spans="1:186" s="500" customFormat="1" ht="21.75" customHeight="1">
      <c r="A72" s="552"/>
    </row>
    <row r="73" spans="1:186" s="497" customFormat="1" ht="21.75" customHeight="1">
      <c r="A73" s="533"/>
    </row>
    <row r="74" spans="1:186" s="495" customFormat="1" ht="21.75" customHeight="1">
      <c r="A74" s="539"/>
    </row>
    <row r="75" spans="1:186" s="496" customFormat="1" ht="21.75" customHeight="1">
      <c r="A75" s="535"/>
    </row>
    <row r="76" spans="1:186" s="497" customFormat="1" ht="21.75" customHeight="1">
      <c r="A76" s="533"/>
    </row>
    <row r="77" spans="1:186" s="495" customFormat="1" ht="21.75" customHeight="1">
      <c r="A77" s="449"/>
      <c r="B77" s="448"/>
      <c r="C77" s="448"/>
      <c r="D77" s="448"/>
      <c r="E77" s="448"/>
      <c r="F77" s="448"/>
      <c r="G77" s="448"/>
      <c r="H77" s="448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48"/>
      <c r="X77" s="448"/>
      <c r="Y77" s="448"/>
      <c r="Z77" s="448"/>
      <c r="AA77" s="448"/>
      <c r="AB77" s="448"/>
      <c r="AC77" s="448"/>
      <c r="AD77" s="448"/>
      <c r="AE77" s="448"/>
      <c r="AF77" s="448"/>
      <c r="AG77" s="448"/>
      <c r="AH77" s="448"/>
      <c r="AI77" s="448"/>
      <c r="AJ77" s="448"/>
      <c r="AK77" s="448"/>
      <c r="AL77" s="448"/>
      <c r="AM77" s="448"/>
      <c r="AN77" s="448"/>
      <c r="AO77" s="448"/>
      <c r="AP77" s="448"/>
      <c r="AQ77" s="448"/>
      <c r="AR77" s="448"/>
      <c r="AS77" s="448"/>
      <c r="AT77" s="448"/>
      <c r="AU77" s="448"/>
      <c r="AV77" s="448"/>
      <c r="AW77" s="448"/>
      <c r="AX77" s="448"/>
      <c r="AY77" s="448"/>
      <c r="AZ77" s="448"/>
      <c r="BA77" s="448"/>
      <c r="BB77" s="448"/>
      <c r="BC77" s="448"/>
      <c r="BD77" s="448"/>
      <c r="BE77" s="448"/>
      <c r="BF77" s="448"/>
      <c r="BG77" s="448"/>
      <c r="BH77" s="448"/>
      <c r="BI77" s="448"/>
      <c r="BJ77" s="448"/>
      <c r="BK77" s="448"/>
      <c r="BL77" s="448"/>
      <c r="BM77" s="448"/>
      <c r="BN77" s="448"/>
      <c r="BO77" s="448"/>
      <c r="BP77" s="448"/>
      <c r="BQ77" s="448"/>
      <c r="BR77" s="448"/>
      <c r="BS77" s="448"/>
      <c r="BT77" s="448"/>
      <c r="BU77" s="448"/>
      <c r="BV77" s="448"/>
      <c r="BW77" s="448"/>
      <c r="BX77" s="448"/>
      <c r="BY77" s="448"/>
      <c r="BZ77" s="448"/>
      <c r="CA77" s="448"/>
      <c r="CB77" s="448"/>
      <c r="CC77" s="448"/>
      <c r="CD77" s="448"/>
      <c r="CE77" s="448"/>
      <c r="CF77" s="448"/>
      <c r="CG77" s="448"/>
      <c r="CH77" s="448"/>
      <c r="CI77" s="448"/>
      <c r="CJ77" s="448"/>
      <c r="CK77" s="448"/>
      <c r="CL77" s="448"/>
      <c r="CM77" s="448"/>
      <c r="CN77" s="448"/>
      <c r="CO77" s="448"/>
      <c r="CP77" s="448"/>
      <c r="CQ77" s="448"/>
      <c r="CR77" s="448"/>
      <c r="CS77" s="448"/>
      <c r="CT77" s="448"/>
      <c r="CU77" s="448"/>
      <c r="CV77" s="448"/>
      <c r="CW77" s="448"/>
      <c r="CX77" s="448"/>
      <c r="CY77" s="448"/>
      <c r="CZ77" s="448"/>
      <c r="DA77" s="448"/>
      <c r="DB77" s="448"/>
      <c r="DC77" s="448"/>
      <c r="DD77" s="448"/>
      <c r="DE77" s="448"/>
      <c r="DF77" s="448"/>
      <c r="DG77" s="448"/>
      <c r="DH77" s="448"/>
      <c r="DI77" s="448"/>
      <c r="DJ77" s="448"/>
      <c r="DK77" s="448"/>
      <c r="DL77" s="448"/>
      <c r="DM77" s="448"/>
      <c r="DN77" s="448"/>
      <c r="DO77" s="448"/>
      <c r="DP77" s="448"/>
      <c r="DQ77" s="448"/>
      <c r="DR77" s="448"/>
      <c r="DS77" s="448"/>
      <c r="DT77" s="448"/>
      <c r="DU77" s="448"/>
      <c r="DV77" s="448"/>
      <c r="DW77" s="448"/>
      <c r="DX77" s="448"/>
      <c r="DY77" s="448"/>
      <c r="DZ77" s="448"/>
      <c r="EA77" s="448"/>
      <c r="EB77" s="448"/>
      <c r="EC77" s="448"/>
      <c r="ED77" s="448"/>
      <c r="EE77" s="448"/>
      <c r="EF77" s="448"/>
      <c r="EG77" s="448"/>
      <c r="EH77" s="448"/>
      <c r="EI77" s="448"/>
      <c r="EJ77" s="448"/>
      <c r="EK77" s="448"/>
      <c r="EL77" s="448"/>
      <c r="EM77" s="448"/>
      <c r="EN77" s="448"/>
      <c r="EO77" s="448"/>
      <c r="EP77" s="448"/>
      <c r="EQ77" s="448"/>
      <c r="ER77" s="448"/>
      <c r="ES77" s="448"/>
      <c r="ET77" s="448"/>
      <c r="EU77" s="448"/>
      <c r="EV77" s="448"/>
      <c r="EW77" s="448"/>
      <c r="EX77" s="448"/>
      <c r="EY77" s="448"/>
      <c r="EZ77" s="448"/>
      <c r="FA77" s="448"/>
      <c r="FB77" s="448"/>
      <c r="FC77" s="448"/>
      <c r="FD77" s="448"/>
      <c r="FE77" s="448"/>
      <c r="FF77" s="448"/>
      <c r="FG77" s="448"/>
      <c r="FH77" s="448"/>
      <c r="FI77" s="448"/>
      <c r="FJ77" s="448"/>
      <c r="FK77" s="448"/>
      <c r="FL77" s="448"/>
      <c r="FM77" s="448"/>
      <c r="FN77" s="448"/>
      <c r="FO77" s="448"/>
      <c r="FP77" s="448"/>
      <c r="FQ77" s="448"/>
      <c r="FR77" s="448"/>
      <c r="FS77" s="448"/>
      <c r="FT77" s="448"/>
      <c r="FU77" s="448"/>
      <c r="FV77" s="448"/>
      <c r="FW77" s="448"/>
      <c r="FX77" s="448"/>
      <c r="FY77" s="448"/>
      <c r="FZ77" s="448"/>
      <c r="GA77" s="448"/>
      <c r="GB77" s="448"/>
      <c r="GC77" s="448"/>
      <c r="GD77" s="448"/>
    </row>
    <row r="78" spans="1:186" s="495" customFormat="1" ht="21.75" customHeight="1">
      <c r="A78" s="539"/>
    </row>
    <row r="79" spans="1:186" s="496" customFormat="1" ht="21.75" customHeight="1">
      <c r="A79" s="535"/>
    </row>
    <row r="80" spans="1:186" s="503" customFormat="1" ht="21.75" customHeight="1">
      <c r="A80" s="537"/>
    </row>
    <row r="81" spans="1:186" s="495" customFormat="1" ht="21.75" customHeight="1">
      <c r="A81" s="449"/>
      <c r="B81" s="448"/>
      <c r="C81" s="448"/>
      <c r="D81" s="448"/>
      <c r="E81" s="448"/>
      <c r="F81" s="448"/>
      <c r="G81" s="448"/>
      <c r="H81" s="448"/>
      <c r="I81" s="448"/>
      <c r="J81" s="448"/>
      <c r="K81" s="448"/>
      <c r="L81" s="448"/>
      <c r="M81" s="448"/>
      <c r="N81" s="448"/>
      <c r="O81" s="448"/>
      <c r="P81" s="448"/>
      <c r="Q81" s="448"/>
      <c r="R81" s="448"/>
      <c r="S81" s="448"/>
      <c r="T81" s="448"/>
      <c r="U81" s="448"/>
      <c r="V81" s="448"/>
      <c r="W81" s="448"/>
      <c r="X81" s="448"/>
      <c r="Y81" s="448"/>
      <c r="Z81" s="448"/>
      <c r="AA81" s="448"/>
      <c r="AB81" s="448"/>
      <c r="AC81" s="448"/>
      <c r="AD81" s="448"/>
      <c r="AE81" s="448"/>
      <c r="AF81" s="448"/>
      <c r="AG81" s="448"/>
      <c r="AH81" s="448"/>
      <c r="AI81" s="448"/>
      <c r="AJ81" s="448"/>
      <c r="AK81" s="448"/>
      <c r="AL81" s="448"/>
      <c r="AM81" s="448"/>
      <c r="AN81" s="448"/>
      <c r="AO81" s="448"/>
      <c r="AP81" s="448"/>
      <c r="AQ81" s="448"/>
      <c r="AR81" s="448"/>
      <c r="AS81" s="448"/>
      <c r="AT81" s="448"/>
      <c r="AU81" s="448"/>
      <c r="AV81" s="448"/>
      <c r="AW81" s="448"/>
      <c r="AX81" s="448"/>
      <c r="AY81" s="448"/>
      <c r="AZ81" s="448"/>
      <c r="BA81" s="448"/>
      <c r="BB81" s="448"/>
      <c r="BC81" s="448"/>
      <c r="BD81" s="448"/>
      <c r="BE81" s="448"/>
      <c r="BF81" s="448"/>
      <c r="BG81" s="448"/>
      <c r="BH81" s="448"/>
      <c r="BI81" s="448"/>
      <c r="BJ81" s="448"/>
      <c r="BK81" s="448"/>
      <c r="BL81" s="448"/>
      <c r="BM81" s="448"/>
      <c r="BN81" s="448"/>
      <c r="BO81" s="448"/>
      <c r="BP81" s="448"/>
      <c r="BQ81" s="448"/>
      <c r="BR81" s="448"/>
      <c r="BS81" s="448"/>
      <c r="BT81" s="448"/>
      <c r="BU81" s="448"/>
      <c r="BV81" s="448"/>
      <c r="BW81" s="448"/>
      <c r="BX81" s="448"/>
      <c r="BY81" s="448"/>
      <c r="BZ81" s="448"/>
      <c r="CA81" s="448"/>
      <c r="CB81" s="448"/>
      <c r="CC81" s="448"/>
      <c r="CD81" s="448"/>
      <c r="CE81" s="448"/>
      <c r="CF81" s="448"/>
      <c r="CG81" s="448"/>
      <c r="CH81" s="448"/>
      <c r="CI81" s="448"/>
      <c r="CJ81" s="448"/>
      <c r="CK81" s="448"/>
      <c r="CL81" s="448"/>
      <c r="CM81" s="448"/>
      <c r="CN81" s="448"/>
      <c r="CO81" s="448"/>
      <c r="CP81" s="448"/>
      <c r="CQ81" s="448"/>
      <c r="CR81" s="448"/>
      <c r="CS81" s="448"/>
      <c r="CT81" s="448"/>
      <c r="CU81" s="448"/>
      <c r="CV81" s="448"/>
      <c r="CW81" s="448"/>
      <c r="CX81" s="448"/>
      <c r="CY81" s="448"/>
      <c r="CZ81" s="448"/>
      <c r="DA81" s="448"/>
      <c r="DB81" s="448"/>
      <c r="DC81" s="448"/>
      <c r="DD81" s="448"/>
      <c r="DE81" s="448"/>
      <c r="DF81" s="448"/>
      <c r="DG81" s="448"/>
      <c r="DH81" s="448"/>
      <c r="DI81" s="448"/>
      <c r="DJ81" s="448"/>
      <c r="DK81" s="448"/>
      <c r="DL81" s="448"/>
      <c r="DM81" s="448"/>
      <c r="DN81" s="448"/>
      <c r="DO81" s="448"/>
      <c r="DP81" s="448"/>
      <c r="DQ81" s="448"/>
      <c r="DR81" s="448"/>
      <c r="DS81" s="448"/>
      <c r="DT81" s="448"/>
      <c r="DU81" s="448"/>
      <c r="DV81" s="448"/>
      <c r="DW81" s="448"/>
      <c r="DX81" s="448"/>
      <c r="DY81" s="448"/>
      <c r="DZ81" s="448"/>
      <c r="EA81" s="448"/>
      <c r="EB81" s="448"/>
      <c r="EC81" s="448"/>
      <c r="ED81" s="448"/>
      <c r="EE81" s="448"/>
      <c r="EF81" s="448"/>
      <c r="EG81" s="448"/>
      <c r="EH81" s="448"/>
      <c r="EI81" s="448"/>
      <c r="EJ81" s="448"/>
      <c r="EK81" s="448"/>
      <c r="EL81" s="448"/>
      <c r="EM81" s="448"/>
      <c r="EN81" s="448"/>
      <c r="EO81" s="448"/>
      <c r="EP81" s="448"/>
      <c r="EQ81" s="448"/>
      <c r="ER81" s="448"/>
      <c r="ES81" s="448"/>
      <c r="ET81" s="448"/>
      <c r="EU81" s="448"/>
      <c r="EV81" s="448"/>
      <c r="EW81" s="448"/>
      <c r="EX81" s="448"/>
      <c r="EY81" s="448"/>
      <c r="EZ81" s="448"/>
      <c r="FA81" s="448"/>
      <c r="FB81" s="448"/>
      <c r="FC81" s="448"/>
      <c r="FD81" s="448"/>
      <c r="FE81" s="448"/>
      <c r="FF81" s="448"/>
      <c r="FG81" s="448"/>
      <c r="FH81" s="448"/>
      <c r="FI81" s="448"/>
      <c r="FJ81" s="448"/>
      <c r="FK81" s="448"/>
      <c r="FL81" s="448"/>
      <c r="FM81" s="448"/>
      <c r="FN81" s="448"/>
      <c r="FO81" s="448"/>
      <c r="FP81" s="448"/>
      <c r="FQ81" s="448"/>
      <c r="FR81" s="448"/>
      <c r="FS81" s="448"/>
      <c r="FT81" s="448"/>
      <c r="FU81" s="448"/>
      <c r="FV81" s="448"/>
      <c r="FW81" s="448"/>
      <c r="FX81" s="448"/>
      <c r="FY81" s="448"/>
      <c r="FZ81" s="448"/>
      <c r="GA81" s="448"/>
      <c r="GB81" s="448"/>
      <c r="GC81" s="448"/>
      <c r="GD81" s="448"/>
    </row>
    <row r="82" spans="1:186" s="500" customFormat="1" ht="21.75" customHeight="1">
      <c r="A82" s="552"/>
    </row>
    <row r="83" spans="1:186" s="496" customFormat="1" ht="21.75" customHeight="1">
      <c r="A83" s="535"/>
    </row>
    <row r="84" spans="1:186" s="503" customFormat="1" ht="21.75" customHeight="1">
      <c r="A84" s="537"/>
    </row>
    <row r="85" spans="1:186" s="501" customFormat="1" ht="21.75" customHeight="1">
      <c r="A85" s="534"/>
    </row>
    <row r="86" spans="1:186" s="495" customFormat="1" ht="21.75" customHeight="1">
      <c r="A86" s="539"/>
    </row>
    <row r="87" spans="1:186" s="496" customFormat="1" ht="21.75" customHeight="1">
      <c r="A87" s="535"/>
    </row>
    <row r="88" spans="1:186" s="501" customFormat="1" ht="21.75" customHeight="1">
      <c r="A88" s="534"/>
    </row>
    <row r="89" spans="1:186" s="498" customFormat="1" ht="21.75" customHeight="1">
      <c r="A89" s="545"/>
    </row>
    <row r="90" spans="1:186" s="504" customFormat="1" ht="21.75" customHeight="1">
      <c r="A90" s="553"/>
    </row>
    <row r="91" spans="1:186" s="496" customFormat="1" ht="21.75" customHeight="1">
      <c r="A91" s="535"/>
    </row>
    <row r="92" spans="1:186" s="496" customFormat="1" ht="21.75" customHeight="1">
      <c r="A92" s="535"/>
    </row>
    <row r="93" spans="1:186" s="496" customFormat="1" ht="21.75" customHeight="1">
      <c r="A93" s="535"/>
    </row>
    <row r="94" spans="1:186" s="497" customFormat="1" ht="21.75" customHeight="1">
      <c r="A94" s="451"/>
      <c r="B94" s="450"/>
      <c r="C94" s="450"/>
      <c r="D94" s="450"/>
      <c r="E94" s="450"/>
      <c r="F94" s="450"/>
      <c r="G94" s="450"/>
      <c r="H94" s="450"/>
      <c r="I94" s="450"/>
      <c r="J94" s="450"/>
      <c r="K94" s="450"/>
      <c r="L94" s="450"/>
      <c r="M94" s="450"/>
      <c r="N94" s="450"/>
      <c r="O94" s="450"/>
      <c r="P94" s="450"/>
      <c r="Q94" s="450"/>
      <c r="R94" s="450"/>
      <c r="S94" s="450"/>
      <c r="T94" s="450"/>
      <c r="U94" s="450"/>
      <c r="V94" s="450"/>
      <c r="W94" s="450"/>
      <c r="X94" s="450"/>
      <c r="Y94" s="450"/>
      <c r="Z94" s="450"/>
      <c r="AA94" s="450"/>
      <c r="AB94" s="450"/>
      <c r="AC94" s="450"/>
      <c r="AD94" s="450"/>
      <c r="AE94" s="450"/>
      <c r="AF94" s="450"/>
      <c r="AG94" s="450"/>
      <c r="AH94" s="450"/>
      <c r="AI94" s="450"/>
      <c r="AJ94" s="450"/>
      <c r="AK94" s="450"/>
      <c r="AL94" s="450"/>
      <c r="AM94" s="450"/>
      <c r="AN94" s="450"/>
      <c r="AO94" s="450"/>
      <c r="AP94" s="450"/>
      <c r="AQ94" s="450"/>
      <c r="AR94" s="450"/>
      <c r="AS94" s="450"/>
      <c r="AT94" s="450"/>
      <c r="AU94" s="450"/>
      <c r="AV94" s="450"/>
      <c r="AW94" s="450"/>
      <c r="AX94" s="450"/>
      <c r="AY94" s="450"/>
      <c r="AZ94" s="450"/>
      <c r="BA94" s="450"/>
      <c r="BB94" s="450"/>
      <c r="BC94" s="450"/>
      <c r="BD94" s="450"/>
      <c r="BE94" s="450"/>
      <c r="BF94" s="450"/>
      <c r="BG94" s="450"/>
      <c r="BH94" s="450"/>
      <c r="BI94" s="450"/>
      <c r="BJ94" s="450"/>
      <c r="BK94" s="450"/>
      <c r="BL94" s="450"/>
      <c r="BM94" s="450"/>
      <c r="BN94" s="450"/>
      <c r="BO94" s="450"/>
      <c r="BP94" s="450"/>
      <c r="BQ94" s="450"/>
      <c r="BR94" s="450"/>
      <c r="BS94" s="450"/>
      <c r="BT94" s="450"/>
      <c r="BU94" s="450"/>
      <c r="BV94" s="450"/>
      <c r="BW94" s="450"/>
      <c r="BX94" s="450"/>
      <c r="BY94" s="450"/>
      <c r="BZ94" s="450"/>
      <c r="CA94" s="450"/>
      <c r="CB94" s="450"/>
      <c r="CC94" s="450"/>
      <c r="CD94" s="450"/>
      <c r="CE94" s="450"/>
      <c r="CF94" s="450"/>
      <c r="CG94" s="450"/>
      <c r="CH94" s="450"/>
      <c r="CI94" s="450"/>
      <c r="CJ94" s="450"/>
      <c r="CK94" s="450"/>
      <c r="CL94" s="450"/>
      <c r="CM94" s="450"/>
      <c r="CN94" s="450"/>
      <c r="CO94" s="450"/>
      <c r="CP94" s="450"/>
      <c r="CQ94" s="450"/>
      <c r="CR94" s="450"/>
      <c r="CS94" s="450"/>
      <c r="CT94" s="450"/>
      <c r="CU94" s="450"/>
      <c r="CV94" s="450"/>
      <c r="CW94" s="450"/>
      <c r="CX94" s="450"/>
      <c r="CY94" s="450"/>
      <c r="CZ94" s="450"/>
      <c r="DA94" s="450"/>
      <c r="DB94" s="450"/>
      <c r="DC94" s="450"/>
      <c r="DD94" s="450"/>
      <c r="DE94" s="450"/>
      <c r="DF94" s="450"/>
      <c r="DG94" s="450"/>
      <c r="DH94" s="450"/>
      <c r="DI94" s="450"/>
      <c r="DJ94" s="450"/>
      <c r="DK94" s="450"/>
      <c r="DL94" s="450"/>
      <c r="DM94" s="450"/>
      <c r="DN94" s="450"/>
      <c r="DO94" s="450"/>
      <c r="DP94" s="450"/>
      <c r="DQ94" s="450"/>
      <c r="DR94" s="450"/>
      <c r="DS94" s="450"/>
      <c r="DT94" s="450"/>
      <c r="DU94" s="450"/>
      <c r="DV94" s="450"/>
      <c r="DW94" s="450"/>
      <c r="DX94" s="450"/>
      <c r="DY94" s="450"/>
      <c r="DZ94" s="450"/>
      <c r="EA94" s="450"/>
      <c r="EB94" s="450"/>
      <c r="EC94" s="450"/>
      <c r="ED94" s="450"/>
      <c r="EE94" s="450"/>
      <c r="EF94" s="450"/>
      <c r="EG94" s="450"/>
      <c r="EH94" s="450"/>
      <c r="EI94" s="450"/>
      <c r="EJ94" s="450"/>
      <c r="EK94" s="450"/>
      <c r="EL94" s="450"/>
      <c r="EM94" s="450"/>
      <c r="EN94" s="450"/>
      <c r="EO94" s="450"/>
      <c r="EP94" s="450"/>
      <c r="EQ94" s="450"/>
      <c r="ER94" s="450"/>
      <c r="ES94" s="450"/>
      <c r="ET94" s="450"/>
      <c r="EU94" s="450"/>
      <c r="EV94" s="450"/>
      <c r="EW94" s="450"/>
      <c r="EX94" s="450"/>
      <c r="EY94" s="450"/>
      <c r="EZ94" s="450"/>
      <c r="FA94" s="450"/>
      <c r="FB94" s="450"/>
      <c r="FC94" s="450"/>
      <c r="FD94" s="450"/>
      <c r="FE94" s="450"/>
      <c r="FF94" s="450"/>
      <c r="FG94" s="450"/>
      <c r="FH94" s="450"/>
      <c r="FI94" s="450"/>
      <c r="FJ94" s="450"/>
      <c r="FK94" s="450"/>
      <c r="FL94" s="450"/>
      <c r="FM94" s="450"/>
      <c r="FN94" s="450"/>
      <c r="FO94" s="450"/>
      <c r="FP94" s="450"/>
      <c r="FQ94" s="450"/>
      <c r="FR94" s="450"/>
      <c r="FS94" s="450"/>
      <c r="FT94" s="450"/>
      <c r="FU94" s="450"/>
      <c r="FV94" s="450"/>
      <c r="FW94" s="450"/>
      <c r="FX94" s="450"/>
      <c r="FY94" s="450"/>
      <c r="FZ94" s="450"/>
      <c r="GA94" s="450"/>
      <c r="GB94" s="450"/>
      <c r="GC94" s="450"/>
      <c r="GD94" s="450"/>
    </row>
    <row r="95" spans="1:186" s="495" customFormat="1" ht="21.75" customHeight="1">
      <c r="A95" s="539"/>
    </row>
    <row r="96" spans="1:186" s="496" customFormat="1" ht="21.75" customHeight="1">
      <c r="A96" s="535"/>
    </row>
    <row r="97" spans="1:186" s="497" customFormat="1" ht="21.75" customHeight="1">
      <c r="A97" s="533"/>
    </row>
    <row r="98" spans="1:186" s="495" customFormat="1" ht="21.75" customHeight="1">
      <c r="A98" s="539"/>
    </row>
    <row r="99" spans="1:186" s="542" customFormat="1" ht="21.75" customHeight="1">
      <c r="A99" s="544"/>
    </row>
    <row r="100" spans="1:186" s="500" customFormat="1" ht="21.75" customHeight="1">
      <c r="A100" s="475"/>
      <c r="B100" s="474"/>
      <c r="C100" s="474"/>
      <c r="D100" s="474"/>
      <c r="E100" s="474"/>
      <c r="F100" s="474"/>
      <c r="G100" s="474"/>
      <c r="H100" s="474"/>
      <c r="I100" s="474"/>
      <c r="J100" s="474"/>
      <c r="K100" s="474"/>
      <c r="L100" s="474"/>
      <c r="M100" s="474"/>
      <c r="N100" s="474"/>
      <c r="O100" s="474"/>
      <c r="P100" s="474"/>
      <c r="Q100" s="474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  <c r="AL100" s="474"/>
      <c r="AM100" s="474"/>
      <c r="AN100" s="474"/>
      <c r="AO100" s="474"/>
      <c r="AP100" s="474"/>
      <c r="AQ100" s="474"/>
      <c r="AR100" s="474"/>
      <c r="AS100" s="474"/>
      <c r="AT100" s="474"/>
      <c r="AU100" s="474"/>
      <c r="AV100" s="474"/>
      <c r="AW100" s="474"/>
      <c r="AX100" s="474"/>
      <c r="AY100" s="474"/>
      <c r="AZ100" s="474"/>
      <c r="BA100" s="474"/>
      <c r="BB100" s="474"/>
      <c r="BC100" s="474"/>
      <c r="BD100" s="474"/>
      <c r="BE100" s="474"/>
      <c r="BF100" s="474"/>
      <c r="BG100" s="474"/>
      <c r="BH100" s="474"/>
      <c r="BI100" s="474"/>
      <c r="BJ100" s="474"/>
      <c r="BK100" s="474"/>
      <c r="BL100" s="474"/>
      <c r="BM100" s="474"/>
      <c r="BN100" s="474"/>
      <c r="BO100" s="474"/>
      <c r="BP100" s="474"/>
      <c r="BQ100" s="474"/>
      <c r="BR100" s="474"/>
      <c r="BS100" s="474"/>
      <c r="BT100" s="474"/>
      <c r="BU100" s="474"/>
      <c r="BV100" s="474"/>
      <c r="BW100" s="474"/>
      <c r="BX100" s="474"/>
      <c r="BY100" s="474"/>
      <c r="BZ100" s="474"/>
      <c r="CA100" s="474"/>
      <c r="CB100" s="474"/>
      <c r="CC100" s="474"/>
      <c r="CD100" s="474"/>
      <c r="CE100" s="474"/>
      <c r="CF100" s="474"/>
      <c r="CG100" s="474"/>
      <c r="CH100" s="474"/>
      <c r="CI100" s="474"/>
      <c r="CJ100" s="474"/>
      <c r="CK100" s="474"/>
      <c r="CL100" s="474"/>
      <c r="CM100" s="474"/>
      <c r="CN100" s="474"/>
      <c r="CO100" s="474"/>
      <c r="CP100" s="474"/>
      <c r="CQ100" s="474"/>
      <c r="CR100" s="474"/>
      <c r="CS100" s="474"/>
      <c r="CT100" s="474"/>
      <c r="CU100" s="474"/>
      <c r="CV100" s="474"/>
      <c r="CW100" s="474"/>
      <c r="CX100" s="474"/>
      <c r="CY100" s="474"/>
      <c r="CZ100" s="474"/>
      <c r="DA100" s="474"/>
      <c r="DB100" s="474"/>
      <c r="DC100" s="474"/>
      <c r="DD100" s="474"/>
      <c r="DE100" s="474"/>
      <c r="DF100" s="474"/>
      <c r="DG100" s="474"/>
      <c r="DH100" s="474"/>
      <c r="DI100" s="474"/>
      <c r="DJ100" s="474"/>
      <c r="DK100" s="474"/>
      <c r="DL100" s="474"/>
      <c r="DM100" s="474"/>
      <c r="DN100" s="474"/>
      <c r="DO100" s="474"/>
      <c r="DP100" s="474"/>
      <c r="DQ100" s="474"/>
      <c r="DR100" s="474"/>
      <c r="DS100" s="474"/>
      <c r="DT100" s="474"/>
      <c r="DU100" s="474"/>
      <c r="DV100" s="474"/>
      <c r="DW100" s="474"/>
      <c r="DX100" s="474"/>
      <c r="DY100" s="474"/>
      <c r="DZ100" s="474"/>
      <c r="EA100" s="474"/>
      <c r="EB100" s="474"/>
      <c r="EC100" s="474"/>
      <c r="ED100" s="474"/>
      <c r="EE100" s="474"/>
      <c r="EF100" s="474"/>
      <c r="EG100" s="474"/>
      <c r="EH100" s="474"/>
      <c r="EI100" s="474"/>
      <c r="EJ100" s="474"/>
      <c r="EK100" s="474"/>
      <c r="EL100" s="474"/>
      <c r="EM100" s="474"/>
      <c r="EN100" s="474"/>
      <c r="EO100" s="474"/>
      <c r="EP100" s="474"/>
      <c r="EQ100" s="474"/>
      <c r="ER100" s="474"/>
      <c r="ES100" s="474"/>
      <c r="ET100" s="474"/>
      <c r="EU100" s="474"/>
      <c r="EV100" s="474"/>
      <c r="EW100" s="474"/>
      <c r="EX100" s="474"/>
      <c r="EY100" s="474"/>
      <c r="EZ100" s="474"/>
      <c r="FA100" s="474"/>
      <c r="FB100" s="474"/>
      <c r="FC100" s="474"/>
      <c r="FD100" s="474"/>
      <c r="FE100" s="474"/>
      <c r="FF100" s="474"/>
      <c r="FG100" s="474"/>
      <c r="FH100" s="474"/>
      <c r="FI100" s="474"/>
      <c r="FJ100" s="474"/>
      <c r="FK100" s="474"/>
      <c r="FL100" s="474"/>
      <c r="FM100" s="474"/>
      <c r="FN100" s="474"/>
      <c r="FO100" s="474"/>
      <c r="FP100" s="474"/>
      <c r="FQ100" s="474"/>
      <c r="FR100" s="474"/>
      <c r="FS100" s="474"/>
      <c r="FT100" s="474"/>
      <c r="FU100" s="474"/>
      <c r="FV100" s="474"/>
      <c r="FW100" s="474"/>
      <c r="FX100" s="474"/>
      <c r="FY100" s="474"/>
      <c r="FZ100" s="474"/>
      <c r="GA100" s="474"/>
      <c r="GB100" s="474"/>
      <c r="GC100" s="474"/>
      <c r="GD100" s="474"/>
    </row>
    <row r="101" spans="1:186" s="496" customFormat="1" ht="21.75" customHeight="1">
      <c r="A101" s="535"/>
    </row>
    <row r="102" spans="1:186" s="527" customFormat="1" ht="21.75" customHeight="1">
      <c r="A102" s="536"/>
    </row>
    <row r="103" spans="1:186" s="502" customFormat="1" ht="21.75" customHeight="1">
      <c r="A103" s="540"/>
    </row>
    <row r="104" spans="1:186" s="495" customFormat="1" ht="21.75" customHeight="1">
      <c r="A104" s="449"/>
      <c r="B104" s="448"/>
      <c r="C104" s="448"/>
      <c r="D104" s="448"/>
      <c r="E104" s="448"/>
      <c r="F104" s="448"/>
      <c r="G104" s="448"/>
      <c r="H104" s="448"/>
      <c r="I104" s="448"/>
      <c r="J104" s="448"/>
      <c r="K104" s="448"/>
      <c r="L104" s="448"/>
      <c r="M104" s="448"/>
      <c r="N104" s="448"/>
      <c r="O104" s="448"/>
      <c r="P104" s="448"/>
      <c r="Q104" s="448"/>
      <c r="R104" s="448"/>
      <c r="S104" s="448"/>
      <c r="T104" s="448"/>
      <c r="U104" s="448"/>
      <c r="V104" s="448"/>
      <c r="W104" s="448"/>
      <c r="X104" s="448"/>
      <c r="Y104" s="448"/>
      <c r="Z104" s="448"/>
      <c r="AA104" s="448"/>
      <c r="AB104" s="448"/>
      <c r="AC104" s="448"/>
      <c r="AD104" s="448"/>
      <c r="AE104" s="448"/>
      <c r="AF104" s="448"/>
      <c r="AG104" s="448"/>
      <c r="AH104" s="448"/>
      <c r="AI104" s="448"/>
      <c r="AJ104" s="448"/>
      <c r="AK104" s="448"/>
      <c r="AL104" s="448"/>
      <c r="AM104" s="448"/>
      <c r="AN104" s="448"/>
      <c r="AO104" s="448"/>
      <c r="AP104" s="448"/>
      <c r="AQ104" s="448"/>
      <c r="AR104" s="448"/>
      <c r="AS104" s="448"/>
      <c r="AT104" s="448"/>
      <c r="AU104" s="448"/>
      <c r="AV104" s="448"/>
      <c r="AW104" s="448"/>
      <c r="AX104" s="448"/>
      <c r="AY104" s="448"/>
      <c r="AZ104" s="448"/>
      <c r="BA104" s="448"/>
      <c r="BB104" s="448"/>
      <c r="BC104" s="448"/>
      <c r="BD104" s="448"/>
      <c r="BE104" s="448"/>
      <c r="BF104" s="448"/>
      <c r="BG104" s="448"/>
      <c r="BH104" s="448"/>
      <c r="BI104" s="448"/>
      <c r="BJ104" s="448"/>
      <c r="BK104" s="448"/>
      <c r="BL104" s="448"/>
      <c r="BM104" s="448"/>
      <c r="BN104" s="448"/>
      <c r="BO104" s="448"/>
      <c r="BP104" s="448"/>
      <c r="BQ104" s="448"/>
      <c r="BR104" s="448"/>
      <c r="BS104" s="448"/>
      <c r="BT104" s="448"/>
      <c r="BU104" s="448"/>
      <c r="BV104" s="448"/>
      <c r="BW104" s="448"/>
      <c r="BX104" s="448"/>
      <c r="BY104" s="448"/>
      <c r="BZ104" s="448"/>
      <c r="CA104" s="448"/>
      <c r="CB104" s="448"/>
      <c r="CC104" s="448"/>
      <c r="CD104" s="448"/>
      <c r="CE104" s="448"/>
      <c r="CF104" s="448"/>
      <c r="CG104" s="448"/>
      <c r="CH104" s="448"/>
      <c r="CI104" s="448"/>
      <c r="CJ104" s="448"/>
      <c r="CK104" s="448"/>
      <c r="CL104" s="448"/>
      <c r="CM104" s="448"/>
      <c r="CN104" s="448"/>
      <c r="CO104" s="448"/>
      <c r="CP104" s="448"/>
      <c r="CQ104" s="448"/>
      <c r="CR104" s="448"/>
      <c r="CS104" s="448"/>
      <c r="CT104" s="448"/>
      <c r="CU104" s="448"/>
      <c r="CV104" s="448"/>
      <c r="CW104" s="448"/>
      <c r="CX104" s="448"/>
      <c r="CY104" s="448"/>
      <c r="CZ104" s="448"/>
      <c r="DA104" s="448"/>
      <c r="DB104" s="448"/>
      <c r="DC104" s="448"/>
      <c r="DD104" s="448"/>
      <c r="DE104" s="448"/>
      <c r="DF104" s="448"/>
      <c r="DG104" s="448"/>
      <c r="DH104" s="448"/>
      <c r="DI104" s="448"/>
      <c r="DJ104" s="448"/>
      <c r="DK104" s="448"/>
      <c r="DL104" s="448"/>
      <c r="DM104" s="448"/>
      <c r="DN104" s="448"/>
      <c r="DO104" s="448"/>
      <c r="DP104" s="448"/>
      <c r="DQ104" s="448"/>
      <c r="DR104" s="448"/>
      <c r="DS104" s="448"/>
      <c r="DT104" s="448"/>
      <c r="DU104" s="448"/>
      <c r="DV104" s="448"/>
      <c r="DW104" s="448"/>
      <c r="DX104" s="448"/>
      <c r="DY104" s="448"/>
      <c r="DZ104" s="448"/>
      <c r="EA104" s="448"/>
      <c r="EB104" s="448"/>
      <c r="EC104" s="448"/>
      <c r="ED104" s="448"/>
      <c r="EE104" s="448"/>
      <c r="EF104" s="448"/>
      <c r="EG104" s="448"/>
      <c r="EH104" s="448"/>
      <c r="EI104" s="448"/>
      <c r="EJ104" s="448"/>
      <c r="EK104" s="448"/>
      <c r="EL104" s="448"/>
      <c r="EM104" s="448"/>
      <c r="EN104" s="448"/>
      <c r="EO104" s="448"/>
      <c r="EP104" s="448"/>
      <c r="EQ104" s="448"/>
      <c r="ER104" s="448"/>
      <c r="ES104" s="448"/>
      <c r="ET104" s="448"/>
      <c r="EU104" s="448"/>
      <c r="EV104" s="448"/>
      <c r="EW104" s="448"/>
      <c r="EX104" s="448"/>
      <c r="EY104" s="448"/>
      <c r="EZ104" s="448"/>
      <c r="FA104" s="448"/>
      <c r="FB104" s="448"/>
      <c r="FC104" s="448"/>
      <c r="FD104" s="448"/>
      <c r="FE104" s="448"/>
      <c r="FF104" s="448"/>
      <c r="FG104" s="448"/>
      <c r="FH104" s="448"/>
      <c r="FI104" s="448"/>
      <c r="FJ104" s="448"/>
      <c r="FK104" s="448"/>
      <c r="FL104" s="448"/>
      <c r="FM104" s="448"/>
      <c r="FN104" s="448"/>
      <c r="FO104" s="448"/>
      <c r="FP104" s="448"/>
      <c r="FQ104" s="448"/>
      <c r="FR104" s="448"/>
      <c r="FS104" s="448"/>
      <c r="FT104" s="448"/>
      <c r="FU104" s="448"/>
      <c r="FV104" s="448"/>
      <c r="FW104" s="448"/>
      <c r="FX104" s="448"/>
      <c r="FY104" s="448"/>
      <c r="FZ104" s="448"/>
      <c r="GA104" s="448"/>
      <c r="GB104" s="448"/>
      <c r="GC104" s="448"/>
      <c r="GD104" s="448"/>
    </row>
    <row r="105" spans="1:186" s="468" customFormat="1" ht="21.75" customHeight="1">
      <c r="A105" s="469"/>
    </row>
    <row r="106" spans="1:186" s="495" customFormat="1" ht="21.75" customHeight="1">
      <c r="A106" s="449"/>
      <c r="B106" s="448"/>
      <c r="C106" s="448"/>
      <c r="D106" s="448"/>
      <c r="E106" s="448"/>
      <c r="F106" s="448"/>
      <c r="G106" s="448"/>
      <c r="H106" s="448"/>
      <c r="I106" s="448"/>
      <c r="J106" s="448"/>
      <c r="K106" s="448"/>
      <c r="L106" s="448"/>
      <c r="M106" s="448"/>
      <c r="N106" s="448"/>
      <c r="O106" s="448"/>
      <c r="P106" s="448"/>
      <c r="Q106" s="448"/>
      <c r="R106" s="448"/>
      <c r="S106" s="448"/>
      <c r="T106" s="448"/>
      <c r="U106" s="448"/>
      <c r="V106" s="448"/>
      <c r="W106" s="448"/>
      <c r="X106" s="448"/>
      <c r="Y106" s="448"/>
      <c r="Z106" s="448"/>
      <c r="AA106" s="448"/>
      <c r="AB106" s="448"/>
      <c r="AC106" s="448"/>
      <c r="AD106" s="448"/>
      <c r="AE106" s="448"/>
      <c r="AF106" s="448"/>
      <c r="AG106" s="448"/>
      <c r="AH106" s="448"/>
      <c r="AI106" s="448"/>
      <c r="AJ106" s="448"/>
      <c r="AK106" s="448"/>
      <c r="AL106" s="448"/>
      <c r="AM106" s="448"/>
      <c r="AN106" s="448"/>
      <c r="AO106" s="448"/>
      <c r="AP106" s="448"/>
      <c r="AQ106" s="448"/>
      <c r="AR106" s="448"/>
      <c r="AS106" s="448"/>
      <c r="AT106" s="448"/>
      <c r="AU106" s="448"/>
      <c r="AV106" s="448"/>
      <c r="AW106" s="448"/>
      <c r="AX106" s="448"/>
      <c r="AY106" s="448"/>
      <c r="AZ106" s="448"/>
      <c r="BA106" s="448"/>
      <c r="BB106" s="448"/>
      <c r="BC106" s="448"/>
      <c r="BD106" s="448"/>
      <c r="BE106" s="448"/>
      <c r="BF106" s="448"/>
      <c r="BG106" s="448"/>
      <c r="BH106" s="448"/>
      <c r="BI106" s="448"/>
      <c r="BJ106" s="448"/>
      <c r="BK106" s="448"/>
      <c r="BL106" s="448"/>
      <c r="BM106" s="448"/>
      <c r="BN106" s="448"/>
      <c r="BO106" s="448"/>
      <c r="BP106" s="448"/>
      <c r="BQ106" s="448"/>
      <c r="BR106" s="448"/>
      <c r="BS106" s="448"/>
      <c r="BT106" s="448"/>
      <c r="BU106" s="448"/>
      <c r="BV106" s="448"/>
      <c r="BW106" s="448"/>
      <c r="BX106" s="448"/>
      <c r="BY106" s="448"/>
      <c r="BZ106" s="448"/>
      <c r="CA106" s="448"/>
      <c r="CB106" s="448"/>
      <c r="CC106" s="448"/>
      <c r="CD106" s="448"/>
      <c r="CE106" s="448"/>
      <c r="CF106" s="448"/>
      <c r="CG106" s="448"/>
      <c r="CH106" s="448"/>
      <c r="CI106" s="448"/>
      <c r="CJ106" s="448"/>
      <c r="CK106" s="448"/>
      <c r="CL106" s="448"/>
      <c r="CM106" s="448"/>
      <c r="CN106" s="448"/>
      <c r="CO106" s="448"/>
      <c r="CP106" s="448"/>
      <c r="CQ106" s="448"/>
      <c r="CR106" s="448"/>
      <c r="CS106" s="448"/>
      <c r="CT106" s="448"/>
      <c r="CU106" s="448"/>
      <c r="CV106" s="448"/>
      <c r="CW106" s="448"/>
      <c r="CX106" s="448"/>
      <c r="CY106" s="448"/>
      <c r="CZ106" s="448"/>
      <c r="DA106" s="448"/>
      <c r="DB106" s="448"/>
      <c r="DC106" s="448"/>
      <c r="DD106" s="448"/>
      <c r="DE106" s="448"/>
      <c r="DF106" s="448"/>
      <c r="DG106" s="448"/>
      <c r="DH106" s="448"/>
      <c r="DI106" s="448"/>
      <c r="DJ106" s="448"/>
      <c r="DK106" s="448"/>
      <c r="DL106" s="448"/>
      <c r="DM106" s="448"/>
      <c r="DN106" s="448"/>
      <c r="DO106" s="448"/>
      <c r="DP106" s="448"/>
      <c r="DQ106" s="448"/>
      <c r="DR106" s="448"/>
      <c r="DS106" s="448"/>
      <c r="DT106" s="448"/>
      <c r="DU106" s="448"/>
      <c r="DV106" s="448"/>
      <c r="DW106" s="448"/>
      <c r="DX106" s="448"/>
      <c r="DY106" s="448"/>
      <c r="DZ106" s="448"/>
      <c r="EA106" s="448"/>
      <c r="EB106" s="448"/>
      <c r="EC106" s="448"/>
      <c r="ED106" s="448"/>
      <c r="EE106" s="448"/>
      <c r="EF106" s="448"/>
      <c r="EG106" s="448"/>
      <c r="EH106" s="448"/>
      <c r="EI106" s="448"/>
      <c r="EJ106" s="448"/>
      <c r="EK106" s="448"/>
      <c r="EL106" s="448"/>
      <c r="EM106" s="448"/>
      <c r="EN106" s="448"/>
      <c r="EO106" s="448"/>
      <c r="EP106" s="448"/>
      <c r="EQ106" s="448"/>
      <c r="ER106" s="448"/>
      <c r="ES106" s="448"/>
      <c r="ET106" s="448"/>
      <c r="EU106" s="448"/>
      <c r="EV106" s="448"/>
      <c r="EW106" s="448"/>
      <c r="EX106" s="448"/>
      <c r="EY106" s="448"/>
      <c r="EZ106" s="448"/>
      <c r="FA106" s="448"/>
      <c r="FB106" s="448"/>
      <c r="FC106" s="448"/>
      <c r="FD106" s="448"/>
      <c r="FE106" s="448"/>
      <c r="FF106" s="448"/>
      <c r="FG106" s="448"/>
      <c r="FH106" s="448"/>
      <c r="FI106" s="448"/>
      <c r="FJ106" s="448"/>
      <c r="FK106" s="448"/>
      <c r="FL106" s="448"/>
      <c r="FM106" s="448"/>
      <c r="FN106" s="448"/>
      <c r="FO106" s="448"/>
      <c r="FP106" s="448"/>
      <c r="FQ106" s="448"/>
      <c r="FR106" s="448"/>
      <c r="FS106" s="448"/>
      <c r="FT106" s="448"/>
      <c r="FU106" s="448"/>
      <c r="FV106" s="448"/>
      <c r="FW106" s="448"/>
      <c r="FX106" s="448"/>
      <c r="FY106" s="448"/>
      <c r="FZ106" s="448"/>
      <c r="GA106" s="448"/>
      <c r="GB106" s="448"/>
      <c r="GC106" s="448"/>
      <c r="GD106" s="448"/>
    </row>
    <row r="107" spans="1:186" s="496" customFormat="1" ht="21.75" customHeight="1">
      <c r="A107" s="535"/>
    </row>
    <row r="108" spans="1:186" s="495" customFormat="1" ht="21.75" customHeight="1">
      <c r="A108" s="539"/>
    </row>
    <row r="109" spans="1:186" s="496" customFormat="1" ht="21.75" customHeight="1">
      <c r="A109" s="535"/>
    </row>
    <row r="110" spans="1:186" s="505" customFormat="1" ht="21.75" customHeight="1">
      <c r="A110" s="546"/>
    </row>
    <row r="111" spans="1:186" s="496" customFormat="1" ht="21.75" customHeight="1">
      <c r="A111" s="535"/>
    </row>
    <row r="112" spans="1:186" s="496" customFormat="1" ht="21.75" customHeight="1">
      <c r="A112" s="535"/>
    </row>
    <row r="113" spans="1:186" s="495" customFormat="1" ht="21.75" customHeight="1">
      <c r="A113" s="539"/>
    </row>
    <row r="114" spans="1:186" s="499" customFormat="1" ht="21.75" customHeight="1">
      <c r="A114" s="543"/>
    </row>
    <row r="115" spans="1:186" s="495" customFormat="1" ht="21.75" customHeight="1">
      <c r="A115" s="539"/>
    </row>
    <row r="116" spans="1:186" s="497" customFormat="1" ht="21.75" customHeight="1">
      <c r="A116" s="533"/>
    </row>
    <row r="117" spans="1:186" s="504" customFormat="1" ht="21.75" customHeight="1">
      <c r="A117" s="553"/>
    </row>
    <row r="118" spans="1:186" s="496" customFormat="1" ht="21.75" customHeight="1">
      <c r="A118" s="535"/>
    </row>
    <row r="119" spans="1:186" s="496" customFormat="1" ht="21.75" customHeight="1">
      <c r="A119" s="535"/>
    </row>
    <row r="120" spans="1:186" s="496" customFormat="1" ht="21.75" customHeight="1">
      <c r="A120" s="535"/>
    </row>
    <row r="121" spans="1:186" s="495" customFormat="1" ht="21.75" customHeight="1">
      <c r="A121" s="539"/>
    </row>
    <row r="122" spans="1:186" s="496" customFormat="1" ht="21.75" customHeight="1">
      <c r="A122" s="535"/>
    </row>
    <row r="123" spans="1:186" s="505" customFormat="1" ht="21.75" customHeight="1">
      <c r="A123" s="546"/>
    </row>
    <row r="124" spans="1:186" s="528" customFormat="1" ht="21.75" customHeight="1">
      <c r="A124" s="532"/>
    </row>
    <row r="125" spans="1:186" s="496" customFormat="1" ht="21.75" customHeight="1">
      <c r="A125" s="194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</row>
    <row r="126" spans="1:186" s="497" customFormat="1" ht="21.75" customHeight="1">
      <c r="A126" s="451"/>
      <c r="B126" s="450"/>
      <c r="C126" s="450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450"/>
      <c r="W126" s="450"/>
      <c r="X126" s="450"/>
      <c r="Y126" s="450"/>
      <c r="Z126" s="450"/>
      <c r="AA126" s="450"/>
      <c r="AB126" s="450"/>
      <c r="AC126" s="450"/>
      <c r="AD126" s="450"/>
      <c r="AE126" s="450"/>
      <c r="AF126" s="450"/>
      <c r="AG126" s="450"/>
      <c r="AH126" s="450"/>
      <c r="AI126" s="450"/>
      <c r="AJ126" s="450"/>
      <c r="AK126" s="450"/>
      <c r="AL126" s="450"/>
      <c r="AM126" s="450"/>
      <c r="AN126" s="450"/>
      <c r="AO126" s="450"/>
      <c r="AP126" s="450"/>
      <c r="AQ126" s="450"/>
      <c r="AR126" s="450"/>
      <c r="AS126" s="450"/>
      <c r="AT126" s="450"/>
      <c r="AU126" s="450"/>
      <c r="AV126" s="450"/>
      <c r="AW126" s="450"/>
      <c r="AX126" s="450"/>
      <c r="AY126" s="450"/>
      <c r="AZ126" s="450"/>
      <c r="BA126" s="450"/>
      <c r="BB126" s="450"/>
      <c r="BC126" s="450"/>
      <c r="BD126" s="450"/>
      <c r="BE126" s="450"/>
      <c r="BF126" s="450"/>
      <c r="BG126" s="450"/>
      <c r="BH126" s="450"/>
      <c r="BI126" s="450"/>
      <c r="BJ126" s="450"/>
      <c r="BK126" s="450"/>
      <c r="BL126" s="450"/>
      <c r="BM126" s="450"/>
      <c r="BN126" s="450"/>
      <c r="BO126" s="450"/>
      <c r="BP126" s="450"/>
      <c r="BQ126" s="450"/>
      <c r="BR126" s="450"/>
      <c r="BS126" s="450"/>
      <c r="BT126" s="450"/>
      <c r="BU126" s="450"/>
      <c r="BV126" s="450"/>
      <c r="BW126" s="450"/>
      <c r="BX126" s="450"/>
      <c r="BY126" s="450"/>
      <c r="BZ126" s="450"/>
      <c r="CA126" s="450"/>
      <c r="CB126" s="450"/>
      <c r="CC126" s="450"/>
      <c r="CD126" s="450"/>
      <c r="CE126" s="450"/>
      <c r="CF126" s="450"/>
      <c r="CG126" s="450"/>
      <c r="CH126" s="450"/>
      <c r="CI126" s="450"/>
      <c r="CJ126" s="450"/>
      <c r="CK126" s="450"/>
      <c r="CL126" s="450"/>
      <c r="CM126" s="450"/>
      <c r="CN126" s="450"/>
      <c r="CO126" s="450"/>
      <c r="CP126" s="450"/>
      <c r="CQ126" s="450"/>
      <c r="CR126" s="450"/>
      <c r="CS126" s="450"/>
      <c r="CT126" s="450"/>
      <c r="CU126" s="450"/>
      <c r="CV126" s="450"/>
      <c r="CW126" s="450"/>
      <c r="CX126" s="450"/>
      <c r="CY126" s="450"/>
      <c r="CZ126" s="450"/>
      <c r="DA126" s="450"/>
      <c r="DB126" s="450"/>
      <c r="DC126" s="450"/>
      <c r="DD126" s="450"/>
      <c r="DE126" s="450"/>
      <c r="DF126" s="450"/>
      <c r="DG126" s="450"/>
      <c r="DH126" s="450"/>
      <c r="DI126" s="450"/>
      <c r="DJ126" s="450"/>
      <c r="DK126" s="450"/>
      <c r="DL126" s="450"/>
      <c r="DM126" s="450"/>
      <c r="DN126" s="450"/>
      <c r="DO126" s="450"/>
      <c r="DP126" s="450"/>
      <c r="DQ126" s="450"/>
      <c r="DR126" s="450"/>
      <c r="DS126" s="450"/>
      <c r="DT126" s="450"/>
      <c r="DU126" s="450"/>
      <c r="DV126" s="450"/>
      <c r="DW126" s="450"/>
      <c r="DX126" s="450"/>
      <c r="DY126" s="450"/>
      <c r="DZ126" s="450"/>
      <c r="EA126" s="450"/>
      <c r="EB126" s="450"/>
      <c r="EC126" s="450"/>
      <c r="ED126" s="450"/>
      <c r="EE126" s="450"/>
      <c r="EF126" s="450"/>
      <c r="EG126" s="450"/>
      <c r="EH126" s="450"/>
      <c r="EI126" s="450"/>
      <c r="EJ126" s="450"/>
      <c r="EK126" s="450"/>
      <c r="EL126" s="450"/>
      <c r="EM126" s="450"/>
      <c r="EN126" s="450"/>
      <c r="EO126" s="450"/>
      <c r="EP126" s="450"/>
      <c r="EQ126" s="450"/>
      <c r="ER126" s="450"/>
      <c r="ES126" s="450"/>
      <c r="ET126" s="450"/>
      <c r="EU126" s="450"/>
      <c r="EV126" s="450"/>
      <c r="EW126" s="450"/>
      <c r="EX126" s="450"/>
      <c r="EY126" s="450"/>
      <c r="EZ126" s="450"/>
      <c r="FA126" s="450"/>
      <c r="FB126" s="450"/>
      <c r="FC126" s="450"/>
      <c r="FD126" s="450"/>
      <c r="FE126" s="450"/>
      <c r="FF126" s="450"/>
      <c r="FG126" s="450"/>
      <c r="FH126" s="450"/>
      <c r="FI126" s="450"/>
      <c r="FJ126" s="450"/>
      <c r="FK126" s="450"/>
      <c r="FL126" s="450"/>
      <c r="FM126" s="450"/>
      <c r="FN126" s="450"/>
      <c r="FO126" s="450"/>
      <c r="FP126" s="450"/>
      <c r="FQ126" s="450"/>
      <c r="FR126" s="450"/>
      <c r="FS126" s="450"/>
      <c r="FT126" s="450"/>
      <c r="FU126" s="450"/>
      <c r="FV126" s="450"/>
      <c r="FW126" s="450"/>
      <c r="FX126" s="450"/>
      <c r="FY126" s="450"/>
      <c r="FZ126" s="450"/>
      <c r="GA126" s="450"/>
      <c r="GB126" s="450"/>
      <c r="GC126" s="450"/>
      <c r="GD126" s="450"/>
    </row>
    <row r="127" spans="1:186" s="495" customFormat="1" ht="21.75" customHeight="1">
      <c r="A127" s="539"/>
    </row>
    <row r="128" spans="1:186" s="496" customFormat="1" ht="21.75" customHeight="1">
      <c r="A128" s="535"/>
    </row>
    <row r="129" spans="1:186" s="500" customFormat="1" ht="21.75" customHeight="1">
      <c r="A129" s="552"/>
    </row>
    <row r="130" spans="1:186" s="497" customFormat="1" ht="21.75" customHeight="1">
      <c r="A130" s="533"/>
    </row>
    <row r="131" spans="1:186" s="495" customFormat="1" ht="21.75" customHeight="1">
      <c r="A131" s="539"/>
    </row>
    <row r="132" spans="1:186" s="496" customFormat="1" ht="21.75" customHeight="1">
      <c r="A132" s="535"/>
    </row>
    <row r="133" spans="1:186" s="496" customFormat="1" ht="21.75" customHeight="1">
      <c r="A133" s="535"/>
    </row>
    <row r="134" spans="1:186" s="527" customFormat="1" ht="21.75" customHeight="1">
      <c r="A134" s="536"/>
    </row>
    <row r="135" spans="1:186" s="495" customFormat="1" ht="21.75" customHeight="1">
      <c r="A135" s="449"/>
      <c r="B135" s="448"/>
      <c r="C135" s="448"/>
      <c r="D135" s="448"/>
      <c r="E135" s="448"/>
      <c r="F135" s="448"/>
      <c r="G135" s="448"/>
      <c r="H135" s="448"/>
      <c r="I135" s="448"/>
      <c r="J135" s="448"/>
      <c r="K135" s="448"/>
      <c r="L135" s="448"/>
      <c r="M135" s="448"/>
      <c r="N135" s="448"/>
      <c r="O135" s="448"/>
      <c r="P135" s="448"/>
      <c r="Q135" s="448"/>
      <c r="R135" s="448"/>
      <c r="S135" s="448"/>
      <c r="T135" s="448"/>
      <c r="U135" s="448"/>
      <c r="V135" s="448"/>
      <c r="W135" s="448"/>
      <c r="X135" s="448"/>
      <c r="Y135" s="448"/>
      <c r="Z135" s="448"/>
      <c r="AA135" s="448"/>
      <c r="AB135" s="448"/>
      <c r="AC135" s="448"/>
      <c r="AD135" s="448"/>
      <c r="AE135" s="448"/>
      <c r="AF135" s="448"/>
      <c r="AG135" s="448"/>
      <c r="AH135" s="448"/>
      <c r="AI135" s="448"/>
      <c r="AJ135" s="448"/>
      <c r="AK135" s="448"/>
      <c r="AL135" s="448"/>
      <c r="AM135" s="448"/>
      <c r="AN135" s="448"/>
      <c r="AO135" s="448"/>
      <c r="AP135" s="448"/>
      <c r="AQ135" s="448"/>
      <c r="AR135" s="448"/>
      <c r="AS135" s="448"/>
      <c r="AT135" s="448"/>
      <c r="AU135" s="448"/>
      <c r="AV135" s="448"/>
      <c r="AW135" s="448"/>
      <c r="AX135" s="448"/>
      <c r="AY135" s="448"/>
      <c r="AZ135" s="448"/>
      <c r="BA135" s="448"/>
      <c r="BB135" s="448"/>
      <c r="BC135" s="448"/>
      <c r="BD135" s="448"/>
      <c r="BE135" s="448"/>
      <c r="BF135" s="448"/>
      <c r="BG135" s="448"/>
      <c r="BH135" s="448"/>
      <c r="BI135" s="448"/>
      <c r="BJ135" s="448"/>
      <c r="BK135" s="448"/>
      <c r="BL135" s="448"/>
      <c r="BM135" s="448"/>
      <c r="BN135" s="448"/>
      <c r="BO135" s="448"/>
      <c r="BP135" s="448"/>
      <c r="BQ135" s="448"/>
      <c r="BR135" s="448"/>
      <c r="BS135" s="448"/>
      <c r="BT135" s="448"/>
      <c r="BU135" s="448"/>
      <c r="BV135" s="448"/>
      <c r="BW135" s="448"/>
      <c r="BX135" s="448"/>
      <c r="BY135" s="448"/>
      <c r="BZ135" s="448"/>
      <c r="CA135" s="448"/>
      <c r="CB135" s="448"/>
      <c r="CC135" s="448"/>
      <c r="CD135" s="448"/>
      <c r="CE135" s="448"/>
      <c r="CF135" s="448"/>
      <c r="CG135" s="448"/>
      <c r="CH135" s="448"/>
      <c r="CI135" s="448"/>
      <c r="CJ135" s="448"/>
      <c r="CK135" s="448"/>
      <c r="CL135" s="448"/>
      <c r="CM135" s="448"/>
      <c r="CN135" s="448"/>
      <c r="CO135" s="448"/>
      <c r="CP135" s="448"/>
      <c r="CQ135" s="448"/>
      <c r="CR135" s="448"/>
      <c r="CS135" s="448"/>
      <c r="CT135" s="448"/>
      <c r="CU135" s="448"/>
      <c r="CV135" s="448"/>
      <c r="CW135" s="448"/>
      <c r="CX135" s="448"/>
      <c r="CY135" s="448"/>
      <c r="CZ135" s="448"/>
      <c r="DA135" s="448"/>
      <c r="DB135" s="448"/>
      <c r="DC135" s="448"/>
      <c r="DD135" s="448"/>
      <c r="DE135" s="448"/>
      <c r="DF135" s="448"/>
      <c r="DG135" s="448"/>
      <c r="DH135" s="448"/>
      <c r="DI135" s="448"/>
      <c r="DJ135" s="448"/>
      <c r="DK135" s="448"/>
      <c r="DL135" s="448"/>
      <c r="DM135" s="448"/>
      <c r="DN135" s="448"/>
      <c r="DO135" s="448"/>
      <c r="DP135" s="448"/>
      <c r="DQ135" s="448"/>
      <c r="DR135" s="448"/>
      <c r="DS135" s="448"/>
      <c r="DT135" s="448"/>
      <c r="DU135" s="448"/>
      <c r="DV135" s="448"/>
      <c r="DW135" s="448"/>
      <c r="DX135" s="448"/>
      <c r="DY135" s="448"/>
      <c r="DZ135" s="448"/>
      <c r="EA135" s="448"/>
      <c r="EB135" s="448"/>
      <c r="EC135" s="448"/>
      <c r="ED135" s="448"/>
      <c r="EE135" s="448"/>
      <c r="EF135" s="448"/>
      <c r="EG135" s="448"/>
      <c r="EH135" s="448"/>
      <c r="EI135" s="448"/>
      <c r="EJ135" s="448"/>
      <c r="EK135" s="448"/>
      <c r="EL135" s="448"/>
      <c r="EM135" s="448"/>
      <c r="EN135" s="448"/>
      <c r="EO135" s="448"/>
      <c r="EP135" s="448"/>
      <c r="EQ135" s="448"/>
      <c r="ER135" s="448"/>
      <c r="ES135" s="448"/>
      <c r="ET135" s="448"/>
      <c r="EU135" s="448"/>
      <c r="EV135" s="448"/>
      <c r="EW135" s="448"/>
      <c r="EX135" s="448"/>
      <c r="EY135" s="448"/>
      <c r="EZ135" s="448"/>
      <c r="FA135" s="448"/>
      <c r="FB135" s="448"/>
      <c r="FC135" s="448"/>
      <c r="FD135" s="448"/>
      <c r="FE135" s="448"/>
      <c r="FF135" s="448"/>
      <c r="FG135" s="448"/>
      <c r="FH135" s="448"/>
      <c r="FI135" s="448"/>
      <c r="FJ135" s="448"/>
      <c r="FK135" s="448"/>
      <c r="FL135" s="448"/>
      <c r="FM135" s="448"/>
      <c r="FN135" s="448"/>
      <c r="FO135" s="448"/>
      <c r="FP135" s="448"/>
      <c r="FQ135" s="448"/>
      <c r="FR135" s="448"/>
      <c r="FS135" s="448"/>
      <c r="FT135" s="448"/>
      <c r="FU135" s="448"/>
      <c r="FV135" s="448"/>
      <c r="FW135" s="448"/>
      <c r="FX135" s="448"/>
      <c r="FY135" s="448"/>
      <c r="FZ135" s="448"/>
      <c r="GA135" s="448"/>
      <c r="GB135" s="448"/>
      <c r="GC135" s="448"/>
      <c r="GD135" s="448"/>
    </row>
    <row r="136" spans="1:186" s="496" customFormat="1" ht="21.75" customHeight="1">
      <c r="A136" s="535"/>
    </row>
    <row r="137" spans="1:186" s="505" customFormat="1" ht="21.75" customHeight="1">
      <c r="A137" s="546"/>
    </row>
    <row r="138" spans="1:186" s="496" customFormat="1" ht="21.75" customHeight="1">
      <c r="A138" s="535"/>
    </row>
    <row r="139" spans="1:186" ht="21.75" customHeight="1">
      <c r="A139" s="194"/>
      <c r="B139" s="6"/>
      <c r="C139" s="6"/>
      <c r="D139" s="6"/>
      <c r="E139" s="6"/>
      <c r="F139" s="6"/>
      <c r="G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O139" s="6"/>
      <c r="AP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</row>
    <row r="140" spans="1:186" s="503" customFormat="1" ht="21.75" customHeight="1">
      <c r="A140" s="537"/>
    </row>
    <row r="141" spans="1:186" s="502" customFormat="1" ht="21.75" customHeight="1">
      <c r="A141" s="540"/>
    </row>
    <row r="142" spans="1:186" s="495" customFormat="1" ht="21.75" customHeight="1">
      <c r="A142" s="539"/>
    </row>
    <row r="143" spans="1:186" s="496" customFormat="1" ht="21.75" customHeight="1">
      <c r="A143" s="535"/>
    </row>
    <row r="144" spans="1:186" s="497" customFormat="1" ht="21.75" customHeight="1">
      <c r="A144" s="533"/>
    </row>
    <row r="145" spans="1:1" s="495" customFormat="1" ht="21.75" customHeight="1">
      <c r="A145" s="539"/>
    </row>
    <row r="146" spans="1:1" s="497" customFormat="1" ht="21.75" customHeight="1">
      <c r="A146" s="533"/>
    </row>
    <row r="147" spans="1:1" s="495" customFormat="1" ht="21.75" customHeight="1">
      <c r="A147" s="539"/>
    </row>
    <row r="148" spans="1:1" s="496" customFormat="1" ht="21.75" customHeight="1">
      <c r="A148" s="535"/>
    </row>
    <row r="149" spans="1:1" s="496" customFormat="1" ht="21.75" customHeight="1">
      <c r="A149" s="535"/>
    </row>
    <row r="150" spans="1:1" s="505" customFormat="1" ht="21.75" customHeight="1">
      <c r="A150" s="546"/>
    </row>
    <row r="151" spans="1:1" s="501" customFormat="1" ht="21.75" customHeight="1">
      <c r="A151" s="534"/>
    </row>
    <row r="152" spans="1:1" s="495" customFormat="1" ht="21.75" customHeight="1">
      <c r="A152" s="539"/>
    </row>
    <row r="153" spans="1:1" s="499" customFormat="1" ht="21.75" customHeight="1">
      <c r="A153" s="543"/>
    </row>
    <row r="154" spans="1:1" s="505" customFormat="1" ht="21.75" customHeight="1">
      <c r="A154" s="546"/>
    </row>
    <row r="155" spans="1:1" s="496" customFormat="1" ht="21.75" customHeight="1">
      <c r="A155" s="535"/>
    </row>
    <row r="156" spans="1:1" s="497" customFormat="1" ht="21.75" customHeight="1">
      <c r="A156" s="533"/>
    </row>
    <row r="157" spans="1:1" s="504" customFormat="1" ht="21.75" customHeight="1">
      <c r="A157" s="553"/>
    </row>
    <row r="158" spans="1:1" s="524" customFormat="1" ht="21.75" customHeight="1">
      <c r="A158" s="558"/>
    </row>
    <row r="159" spans="1:1" s="495" customFormat="1" ht="21.75" customHeight="1">
      <c r="A159" s="539"/>
    </row>
    <row r="160" spans="1:1" s="499" customFormat="1" ht="21.75" customHeight="1">
      <c r="A160" s="543"/>
    </row>
    <row r="161" spans="1:186" s="505" customFormat="1" ht="21.75" customHeight="1">
      <c r="A161" s="546"/>
    </row>
    <row r="162" spans="1:186" s="495" customFormat="1" ht="21.75" customHeight="1">
      <c r="A162" s="539"/>
    </row>
    <row r="163" spans="1:186" s="496" customFormat="1" ht="21.75" customHeight="1">
      <c r="A163" s="535"/>
    </row>
    <row r="164" spans="1:186" s="505" customFormat="1" ht="21.75" customHeight="1">
      <c r="A164" s="546"/>
    </row>
    <row r="165" spans="1:186" s="496" customFormat="1" ht="21.75" customHeight="1">
      <c r="A165" s="535"/>
    </row>
    <row r="166" spans="1:186" s="501" customFormat="1" ht="21.75" customHeight="1">
      <c r="A166" s="534"/>
    </row>
    <row r="167" spans="1:186" s="495" customFormat="1" ht="21.75" customHeight="1">
      <c r="A167" s="539"/>
    </row>
    <row r="168" spans="1:186" s="505" customFormat="1" ht="21.75" customHeight="1">
      <c r="A168" s="546"/>
    </row>
    <row r="169" spans="1:186" s="497" customFormat="1" ht="21.75" customHeight="1">
      <c r="A169" s="533"/>
    </row>
    <row r="170" spans="1:186" s="495" customFormat="1" ht="21.75" customHeight="1">
      <c r="A170" s="539"/>
    </row>
    <row r="171" spans="1:186" s="496" customFormat="1" ht="21.75" customHeight="1">
      <c r="A171" s="535"/>
    </row>
    <row r="172" spans="1:186" s="505" customFormat="1" ht="21.75" customHeight="1">
      <c r="A172" s="546"/>
    </row>
    <row r="173" spans="1:186" s="496" customFormat="1" ht="21.75" customHeight="1">
      <c r="A173" s="535"/>
    </row>
    <row r="174" spans="1:186" s="496" customFormat="1" ht="21.75" customHeight="1">
      <c r="A174" s="194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</row>
    <row r="175" spans="1:186" s="495" customFormat="1" ht="21.75" customHeight="1">
      <c r="A175" s="449"/>
      <c r="B175" s="448"/>
      <c r="C175" s="448"/>
      <c r="D175" s="448"/>
      <c r="E175" s="448"/>
      <c r="F175" s="448"/>
      <c r="G175" s="448"/>
      <c r="H175" s="448"/>
      <c r="I175" s="448"/>
      <c r="J175" s="448"/>
      <c r="K175" s="448"/>
      <c r="L175" s="448"/>
      <c r="M175" s="448"/>
      <c r="N175" s="448"/>
      <c r="O175" s="448"/>
      <c r="P175" s="448"/>
      <c r="Q175" s="448"/>
      <c r="R175" s="448"/>
      <c r="S175" s="448"/>
      <c r="T175" s="448"/>
      <c r="U175" s="448"/>
      <c r="V175" s="448"/>
      <c r="W175" s="448"/>
      <c r="X175" s="448"/>
      <c r="Y175" s="448"/>
      <c r="Z175" s="448"/>
      <c r="AA175" s="448"/>
      <c r="AB175" s="448"/>
      <c r="AC175" s="448"/>
      <c r="AD175" s="448"/>
      <c r="AE175" s="448"/>
      <c r="AF175" s="448"/>
      <c r="AG175" s="448"/>
      <c r="AH175" s="448"/>
      <c r="AI175" s="448"/>
      <c r="AJ175" s="448"/>
      <c r="AK175" s="448"/>
      <c r="AL175" s="448"/>
      <c r="AM175" s="448"/>
      <c r="AN175" s="448"/>
      <c r="AO175" s="448"/>
      <c r="AP175" s="448"/>
      <c r="AQ175" s="448"/>
      <c r="AR175" s="448"/>
      <c r="AS175" s="448"/>
      <c r="AT175" s="448"/>
      <c r="AU175" s="448"/>
      <c r="AV175" s="448"/>
      <c r="AW175" s="448"/>
      <c r="AX175" s="448"/>
      <c r="AY175" s="448"/>
      <c r="AZ175" s="448"/>
      <c r="BA175" s="448"/>
      <c r="BB175" s="448"/>
      <c r="BC175" s="448"/>
      <c r="BD175" s="448"/>
      <c r="BE175" s="448"/>
      <c r="BF175" s="448"/>
      <c r="BG175" s="448"/>
      <c r="BH175" s="448"/>
      <c r="BI175" s="448"/>
      <c r="BJ175" s="448"/>
      <c r="BK175" s="448"/>
      <c r="BL175" s="448"/>
      <c r="BM175" s="448"/>
      <c r="BN175" s="448"/>
      <c r="BO175" s="448"/>
      <c r="BP175" s="448"/>
      <c r="BQ175" s="448"/>
      <c r="BR175" s="448"/>
      <c r="BS175" s="448"/>
      <c r="BT175" s="448"/>
      <c r="BU175" s="448"/>
      <c r="BV175" s="448"/>
      <c r="BW175" s="448"/>
      <c r="BX175" s="448"/>
      <c r="BY175" s="448"/>
      <c r="BZ175" s="448"/>
      <c r="CA175" s="448"/>
      <c r="CB175" s="448"/>
      <c r="CC175" s="448"/>
      <c r="CD175" s="448"/>
      <c r="CE175" s="448"/>
      <c r="CF175" s="448"/>
      <c r="CG175" s="448"/>
      <c r="CH175" s="448"/>
      <c r="CI175" s="448"/>
      <c r="CJ175" s="448"/>
      <c r="CK175" s="448"/>
      <c r="CL175" s="448"/>
      <c r="CM175" s="448"/>
      <c r="CN175" s="448"/>
      <c r="CO175" s="448"/>
      <c r="CP175" s="448"/>
      <c r="CQ175" s="448"/>
      <c r="CR175" s="448"/>
      <c r="CS175" s="448"/>
      <c r="CT175" s="448"/>
      <c r="CU175" s="448"/>
      <c r="CV175" s="448"/>
      <c r="CW175" s="448"/>
      <c r="CX175" s="448"/>
      <c r="CY175" s="448"/>
      <c r="CZ175" s="448"/>
      <c r="DA175" s="448"/>
      <c r="DB175" s="448"/>
      <c r="DC175" s="448"/>
      <c r="DD175" s="448"/>
      <c r="DE175" s="448"/>
      <c r="DF175" s="448"/>
      <c r="DG175" s="448"/>
      <c r="DH175" s="448"/>
      <c r="DI175" s="448"/>
      <c r="DJ175" s="448"/>
      <c r="DK175" s="448"/>
      <c r="DL175" s="448"/>
      <c r="DM175" s="448"/>
      <c r="DN175" s="448"/>
      <c r="DO175" s="448"/>
      <c r="DP175" s="448"/>
      <c r="DQ175" s="448"/>
      <c r="DR175" s="448"/>
      <c r="DS175" s="448"/>
      <c r="DT175" s="448"/>
      <c r="DU175" s="448"/>
      <c r="DV175" s="448"/>
      <c r="DW175" s="448"/>
      <c r="DX175" s="448"/>
      <c r="DY175" s="448"/>
      <c r="DZ175" s="448"/>
      <c r="EA175" s="448"/>
      <c r="EB175" s="448"/>
      <c r="EC175" s="448"/>
      <c r="ED175" s="448"/>
      <c r="EE175" s="448"/>
      <c r="EF175" s="448"/>
      <c r="EG175" s="448"/>
      <c r="EH175" s="448"/>
      <c r="EI175" s="448"/>
      <c r="EJ175" s="448"/>
      <c r="EK175" s="448"/>
      <c r="EL175" s="448"/>
      <c r="EM175" s="448"/>
      <c r="EN175" s="448"/>
      <c r="EO175" s="448"/>
      <c r="EP175" s="448"/>
      <c r="EQ175" s="448"/>
      <c r="ER175" s="448"/>
      <c r="ES175" s="448"/>
      <c r="ET175" s="448"/>
      <c r="EU175" s="448"/>
      <c r="EV175" s="448"/>
      <c r="EW175" s="448"/>
      <c r="EX175" s="448"/>
      <c r="EY175" s="448"/>
      <c r="EZ175" s="448"/>
      <c r="FA175" s="448"/>
      <c r="FB175" s="448"/>
      <c r="FC175" s="448"/>
      <c r="FD175" s="448"/>
      <c r="FE175" s="448"/>
      <c r="FF175" s="448"/>
      <c r="FG175" s="448"/>
      <c r="FH175" s="448"/>
      <c r="FI175" s="448"/>
      <c r="FJ175" s="448"/>
      <c r="FK175" s="448"/>
      <c r="FL175" s="448"/>
      <c r="FM175" s="448"/>
      <c r="FN175" s="448"/>
      <c r="FO175" s="448"/>
      <c r="FP175" s="448"/>
      <c r="FQ175" s="448"/>
      <c r="FR175" s="448"/>
      <c r="FS175" s="448"/>
      <c r="FT175" s="448"/>
      <c r="FU175" s="448"/>
      <c r="FV175" s="448"/>
      <c r="FW175" s="448"/>
      <c r="FX175" s="448"/>
      <c r="FY175" s="448"/>
      <c r="FZ175" s="448"/>
      <c r="GA175" s="448"/>
      <c r="GB175" s="448"/>
      <c r="GC175" s="448"/>
      <c r="GD175" s="448"/>
    </row>
    <row r="176" spans="1:186" s="496" customFormat="1" ht="21.75" customHeight="1">
      <c r="A176" s="535"/>
    </row>
    <row r="177" spans="1:186" s="505" customFormat="1" ht="21.75" customHeight="1">
      <c r="A177" s="546"/>
    </row>
    <row r="178" spans="1:186" s="496" customFormat="1" ht="21.75" customHeight="1">
      <c r="A178" s="194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</row>
    <row r="179" spans="1:186" s="496" customFormat="1" ht="21.75" customHeight="1">
      <c r="A179" s="535"/>
    </row>
    <row r="180" spans="1:186" s="501" customFormat="1" ht="21.75" customHeight="1">
      <c r="A180" s="534"/>
    </row>
    <row r="181" spans="1:186" s="495" customFormat="1" ht="21.75" customHeight="1">
      <c r="A181" s="539"/>
    </row>
    <row r="182" spans="1:186" ht="21.75" customHeight="1">
      <c r="A182" s="194"/>
      <c r="B182" s="6"/>
      <c r="C182" s="6"/>
      <c r="D182" s="6"/>
      <c r="E182" s="6"/>
      <c r="F182" s="6"/>
      <c r="G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O182" s="6"/>
      <c r="AP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</row>
    <row r="183" spans="1:186" s="500" customFormat="1" ht="21.75" customHeight="1">
      <c r="A183" s="552"/>
    </row>
    <row r="184" spans="1:186" s="496" customFormat="1" ht="21.75" customHeight="1">
      <c r="A184" s="535"/>
    </row>
    <row r="185" spans="1:186" s="496" customFormat="1" ht="21.75" customHeight="1">
      <c r="A185" s="535"/>
    </row>
    <row r="186" spans="1:186" s="496" customFormat="1" ht="21.75" customHeight="1">
      <c r="A186" s="194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</row>
    <row r="187" spans="1:186" s="497" customFormat="1" ht="21.75" customHeight="1">
      <c r="A187" s="533"/>
    </row>
    <row r="188" spans="1:186" s="501" customFormat="1" ht="21.75" customHeight="1">
      <c r="A188" s="534"/>
    </row>
    <row r="189" spans="1:186" s="504" customFormat="1" ht="21.75" customHeight="1">
      <c r="A189" s="553"/>
    </row>
    <row r="190" spans="1:186" s="500" customFormat="1" ht="21.75" customHeight="1">
      <c r="A190" s="552"/>
    </row>
    <row r="191" spans="1:186" s="496" customFormat="1" ht="21.75" customHeight="1">
      <c r="A191" s="194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</row>
    <row r="192" spans="1:186" s="497" customFormat="1" ht="21.75" customHeight="1">
      <c r="A192" s="533"/>
    </row>
    <row r="193" spans="1:186" s="495" customFormat="1" ht="21.75" customHeight="1">
      <c r="A193" s="539"/>
    </row>
    <row r="194" spans="1:186" ht="21.75" customHeight="1">
      <c r="A194" s="194"/>
      <c r="B194" s="6"/>
      <c r="C194" s="6"/>
      <c r="D194" s="6"/>
      <c r="E194" s="6"/>
      <c r="F194" s="6"/>
      <c r="G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O194" s="6"/>
      <c r="AP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</row>
    <row r="195" spans="1:186" s="496" customFormat="1" ht="21.75" customHeight="1">
      <c r="A195" s="535"/>
    </row>
    <row r="196" spans="1:186" s="496" customFormat="1" ht="21.75" customHeight="1">
      <c r="A196" s="194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</row>
    <row r="197" spans="1:186" s="496" customFormat="1" ht="21.75" customHeight="1">
      <c r="A197" s="535"/>
    </row>
    <row r="198" spans="1:186" s="503" customFormat="1" ht="21.75" customHeight="1">
      <c r="A198" s="537"/>
    </row>
    <row r="199" spans="1:186" s="504" customFormat="1" ht="21.75" customHeight="1">
      <c r="A199" s="553"/>
    </row>
    <row r="200" spans="1:186" s="495" customFormat="1" ht="21.75" customHeight="1">
      <c r="A200" s="539"/>
    </row>
    <row r="201" spans="1:186" s="499" customFormat="1" ht="21.75" customHeight="1">
      <c r="A201" s="543"/>
    </row>
    <row r="202" spans="1:186" s="496" customFormat="1" ht="21.75" customHeight="1">
      <c r="A202" s="535"/>
    </row>
    <row r="203" spans="1:186" s="497" customFormat="1" ht="21.75" customHeight="1">
      <c r="A203" s="533"/>
    </row>
    <row r="204" spans="1:186" s="504" customFormat="1" ht="21.75" customHeight="1">
      <c r="A204" s="553"/>
    </row>
    <row r="205" spans="1:186" s="496" customFormat="1" ht="21.75" customHeight="1">
      <c r="A205" s="535"/>
    </row>
    <row r="206" spans="1:186" s="495" customFormat="1" ht="21.75" customHeight="1">
      <c r="A206" s="539"/>
    </row>
    <row r="207" spans="1:186" s="496" customFormat="1" ht="21.75" customHeight="1">
      <c r="A207" s="535"/>
    </row>
    <row r="208" spans="1:186" s="497" customFormat="1" ht="21.75" customHeight="1">
      <c r="A208" s="533"/>
    </row>
    <row r="209" spans="1:186" s="495" customFormat="1" ht="21.75" customHeight="1">
      <c r="A209" s="539"/>
    </row>
    <row r="210" spans="1:186" s="496" customFormat="1" ht="21.75" customHeight="1">
      <c r="A210" s="535"/>
    </row>
    <row r="211" spans="1:186" s="496" customFormat="1" ht="21.75" customHeight="1">
      <c r="A211" s="535"/>
    </row>
    <row r="212" spans="1:186" s="495" customFormat="1" ht="21.75" customHeight="1">
      <c r="A212" s="539"/>
    </row>
    <row r="213" spans="1:186" s="496" customFormat="1" ht="21.75" customHeight="1">
      <c r="A213" s="535"/>
    </row>
    <row r="214" spans="1:186" s="496" customFormat="1" ht="21.75" customHeight="1">
      <c r="A214" s="19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</row>
    <row r="215" spans="1:186" s="496" customFormat="1" ht="21.75" customHeight="1">
      <c r="A215" s="535"/>
    </row>
    <row r="216" spans="1:186" s="448" customFormat="1" ht="21.75" customHeight="1">
      <c r="A216" s="449"/>
    </row>
    <row r="217" spans="1:186" s="496" customFormat="1" ht="21.75" customHeight="1">
      <c r="A217" s="535"/>
    </row>
    <row r="218" spans="1:186" s="497" customFormat="1" ht="21.75" customHeight="1">
      <c r="A218" s="533"/>
    </row>
    <row r="219" spans="1:186" s="495" customFormat="1" ht="21.75" customHeight="1">
      <c r="A219" s="539"/>
    </row>
    <row r="220" spans="1:186" s="497" customFormat="1" ht="21.75" customHeight="1">
      <c r="A220" s="533"/>
    </row>
    <row r="221" spans="1:186" s="500" customFormat="1" ht="21.75" customHeight="1">
      <c r="A221" s="552"/>
    </row>
    <row r="222" spans="1:186" s="505" customFormat="1" ht="21.75" customHeight="1">
      <c r="A222" s="546"/>
    </row>
    <row r="223" spans="1:186" s="495" customFormat="1" ht="21.75" customHeight="1">
      <c r="A223" s="539"/>
    </row>
    <row r="224" spans="1:186" s="496" customFormat="1" ht="21.75" customHeight="1">
      <c r="A224" s="535"/>
    </row>
    <row r="225" spans="1:186" s="496" customFormat="1" ht="21.75" customHeight="1">
      <c r="A225" s="535"/>
    </row>
    <row r="226" spans="1:186" s="496" customFormat="1" ht="21.75" customHeight="1">
      <c r="A226" s="535"/>
    </row>
    <row r="227" spans="1:186" s="496" customFormat="1" ht="21.75" customHeight="1">
      <c r="A227" s="535"/>
    </row>
    <row r="228" spans="1:186" s="496" customFormat="1" ht="21.75" customHeight="1">
      <c r="A228" s="535"/>
    </row>
    <row r="229" spans="1:186" s="496" customFormat="1" ht="21.75" customHeight="1">
      <c r="A229" s="535"/>
    </row>
    <row r="230" spans="1:186" s="501" customFormat="1" ht="21.75" customHeight="1">
      <c r="A230" s="534"/>
    </row>
    <row r="231" spans="1:186" s="504" customFormat="1" ht="21.75" customHeight="1">
      <c r="A231" s="553"/>
    </row>
    <row r="232" spans="1:186" s="496" customFormat="1" ht="21.75" customHeight="1">
      <c r="A232" s="535"/>
    </row>
    <row r="233" spans="1:186" s="496" customFormat="1" ht="21.75" customHeight="1">
      <c r="A233" s="535"/>
    </row>
    <row r="234" spans="1:186" s="499" customFormat="1" ht="21.75" customHeight="1">
      <c r="A234" s="453"/>
      <c r="B234" s="452"/>
      <c r="C234" s="452"/>
      <c r="D234" s="452"/>
      <c r="E234" s="452"/>
      <c r="F234" s="452"/>
      <c r="G234" s="452"/>
      <c r="H234" s="452"/>
      <c r="I234" s="452"/>
      <c r="J234" s="452"/>
      <c r="K234" s="452"/>
      <c r="L234" s="452"/>
      <c r="M234" s="452"/>
      <c r="N234" s="452"/>
      <c r="O234" s="452"/>
      <c r="P234" s="452"/>
      <c r="Q234" s="452"/>
      <c r="R234" s="452"/>
      <c r="S234" s="452"/>
      <c r="T234" s="452"/>
      <c r="U234" s="452"/>
      <c r="V234" s="452"/>
      <c r="W234" s="452"/>
      <c r="X234" s="452"/>
      <c r="Y234" s="452"/>
      <c r="Z234" s="452"/>
      <c r="AA234" s="452"/>
      <c r="AB234" s="452"/>
      <c r="AC234" s="452"/>
      <c r="AD234" s="452"/>
      <c r="AE234" s="452"/>
      <c r="AF234" s="452"/>
      <c r="AG234" s="452"/>
      <c r="AH234" s="452"/>
      <c r="AI234" s="452"/>
      <c r="AJ234" s="452"/>
      <c r="AK234" s="452"/>
      <c r="AL234" s="452"/>
      <c r="AM234" s="452"/>
      <c r="AN234" s="452"/>
      <c r="AO234" s="452"/>
      <c r="AP234" s="452"/>
      <c r="AQ234" s="452"/>
      <c r="AR234" s="452"/>
      <c r="AS234" s="452"/>
      <c r="AT234" s="452"/>
      <c r="AU234" s="452"/>
      <c r="AV234" s="452"/>
      <c r="AW234" s="452"/>
      <c r="AX234" s="452"/>
      <c r="AY234" s="452"/>
      <c r="AZ234" s="452"/>
      <c r="BA234" s="452"/>
      <c r="BB234" s="452"/>
      <c r="BC234" s="452"/>
      <c r="BD234" s="452"/>
      <c r="BE234" s="452"/>
      <c r="BF234" s="452"/>
      <c r="BG234" s="452"/>
      <c r="BH234" s="452"/>
      <c r="BI234" s="452"/>
      <c r="BJ234" s="452"/>
      <c r="BK234" s="452"/>
      <c r="BL234" s="452"/>
      <c r="BM234" s="452"/>
      <c r="BN234" s="452"/>
      <c r="BO234" s="452"/>
      <c r="BP234" s="452"/>
      <c r="BQ234" s="452"/>
      <c r="BR234" s="452"/>
      <c r="BS234" s="452"/>
      <c r="BT234" s="452"/>
      <c r="BU234" s="452"/>
      <c r="BV234" s="452"/>
      <c r="BW234" s="452"/>
      <c r="BX234" s="452"/>
      <c r="BY234" s="452"/>
      <c r="BZ234" s="452"/>
      <c r="CA234" s="452"/>
      <c r="CB234" s="452"/>
      <c r="CC234" s="452"/>
      <c r="CD234" s="452"/>
      <c r="CE234" s="452"/>
      <c r="CF234" s="452"/>
      <c r="CG234" s="452"/>
      <c r="CH234" s="452"/>
      <c r="CI234" s="452"/>
      <c r="CJ234" s="452"/>
      <c r="CK234" s="452"/>
      <c r="CL234" s="452"/>
      <c r="CM234" s="452"/>
      <c r="CN234" s="452"/>
      <c r="CO234" s="452"/>
      <c r="CP234" s="452"/>
      <c r="CQ234" s="452"/>
      <c r="CR234" s="452"/>
      <c r="CS234" s="452"/>
      <c r="CT234" s="452"/>
      <c r="CU234" s="452"/>
      <c r="CV234" s="452"/>
      <c r="CW234" s="452"/>
      <c r="CX234" s="452"/>
      <c r="CY234" s="452"/>
      <c r="CZ234" s="452"/>
      <c r="DA234" s="452"/>
      <c r="DB234" s="452"/>
      <c r="DC234" s="452"/>
      <c r="DD234" s="452"/>
      <c r="DE234" s="452"/>
      <c r="DF234" s="452"/>
      <c r="DG234" s="452"/>
      <c r="DH234" s="452"/>
      <c r="DI234" s="452"/>
      <c r="DJ234" s="452"/>
      <c r="DK234" s="452"/>
      <c r="DL234" s="452"/>
      <c r="DM234" s="452"/>
      <c r="DN234" s="452"/>
      <c r="DO234" s="452"/>
      <c r="DP234" s="452"/>
      <c r="DQ234" s="452"/>
      <c r="DR234" s="452"/>
      <c r="DS234" s="452"/>
      <c r="DT234" s="452"/>
      <c r="DU234" s="452"/>
      <c r="DV234" s="452"/>
      <c r="DW234" s="452"/>
      <c r="DX234" s="452"/>
      <c r="DY234" s="452"/>
      <c r="DZ234" s="452"/>
      <c r="EA234" s="452"/>
      <c r="EB234" s="452"/>
      <c r="EC234" s="452"/>
      <c r="ED234" s="452"/>
      <c r="EE234" s="452"/>
      <c r="EF234" s="452"/>
      <c r="EG234" s="452"/>
      <c r="EH234" s="452"/>
      <c r="EI234" s="452"/>
      <c r="EJ234" s="452"/>
      <c r="EK234" s="452"/>
      <c r="EL234" s="452"/>
      <c r="EM234" s="452"/>
      <c r="EN234" s="452"/>
      <c r="EO234" s="452"/>
      <c r="EP234" s="452"/>
      <c r="EQ234" s="452"/>
      <c r="ER234" s="452"/>
      <c r="ES234" s="452"/>
      <c r="ET234" s="452"/>
      <c r="EU234" s="452"/>
      <c r="EV234" s="452"/>
      <c r="EW234" s="452"/>
      <c r="EX234" s="452"/>
      <c r="EY234" s="452"/>
      <c r="EZ234" s="452"/>
      <c r="FA234" s="452"/>
      <c r="FB234" s="452"/>
      <c r="FC234" s="452"/>
      <c r="FD234" s="452"/>
      <c r="FE234" s="452"/>
      <c r="FF234" s="452"/>
      <c r="FG234" s="452"/>
      <c r="FH234" s="452"/>
      <c r="FI234" s="452"/>
      <c r="FJ234" s="452"/>
      <c r="FK234" s="452"/>
      <c r="FL234" s="452"/>
      <c r="FM234" s="452"/>
      <c r="FN234" s="452"/>
      <c r="FO234" s="452"/>
      <c r="FP234" s="452"/>
      <c r="FQ234" s="452"/>
      <c r="FR234" s="452"/>
      <c r="FS234" s="452"/>
      <c r="FT234" s="452"/>
      <c r="FU234" s="452"/>
      <c r="FV234" s="452"/>
      <c r="FW234" s="452"/>
      <c r="FX234" s="452"/>
      <c r="FY234" s="452"/>
      <c r="FZ234" s="452"/>
      <c r="GA234" s="452"/>
      <c r="GB234" s="452"/>
      <c r="GC234" s="452"/>
      <c r="GD234" s="452"/>
    </row>
    <row r="235" spans="1:186" s="448" customFormat="1" ht="21.75" customHeight="1">
      <c r="A235" s="449"/>
    </row>
    <row r="236" spans="1:186" ht="21.75" customHeight="1">
      <c r="A236" s="194"/>
      <c r="B236" s="6"/>
      <c r="C236" s="6"/>
      <c r="D236" s="6"/>
      <c r="E236" s="6"/>
      <c r="F236" s="6"/>
      <c r="G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O236" s="6"/>
      <c r="AP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</row>
    <row r="237" spans="1:186" s="496" customFormat="1" ht="21.75" customHeight="1">
      <c r="A237" s="535"/>
    </row>
    <row r="238" spans="1:186" s="496" customFormat="1" ht="21.75" customHeight="1">
      <c r="A238" s="535"/>
    </row>
    <row r="239" spans="1:186" s="496" customFormat="1" ht="21.75" customHeight="1">
      <c r="A239" s="535"/>
    </row>
    <row r="240" spans="1:186" s="496" customFormat="1" ht="21.75" customHeight="1">
      <c r="A240" s="535"/>
    </row>
    <row r="241" spans="1:186" s="495" customFormat="1" ht="21.75" customHeight="1">
      <c r="A241" s="539"/>
    </row>
    <row r="242" spans="1:186" s="496" customFormat="1" ht="21.75" customHeight="1">
      <c r="A242" s="19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</row>
    <row r="243" spans="1:186" s="499" customFormat="1" ht="21.75" customHeight="1">
      <c r="A243" s="543"/>
    </row>
    <row r="244" spans="1:186" s="497" customFormat="1" ht="21.75" customHeight="1">
      <c r="A244" s="451"/>
      <c r="B244" s="450"/>
      <c r="C244" s="450"/>
      <c r="D244" s="450"/>
      <c r="E244" s="450"/>
      <c r="F244" s="450"/>
      <c r="G244" s="450"/>
      <c r="H244" s="450"/>
      <c r="I244" s="450"/>
      <c r="J244" s="450"/>
      <c r="K244" s="450"/>
      <c r="L244" s="450"/>
      <c r="M244" s="450"/>
      <c r="N244" s="450"/>
      <c r="O244" s="450"/>
      <c r="P244" s="450"/>
      <c r="Q244" s="450"/>
      <c r="R244" s="450"/>
      <c r="S244" s="450"/>
      <c r="T244" s="450"/>
      <c r="U244" s="450"/>
      <c r="V244" s="450"/>
      <c r="W244" s="450"/>
      <c r="X244" s="450"/>
      <c r="Y244" s="450"/>
      <c r="Z244" s="450"/>
      <c r="AA244" s="450"/>
      <c r="AB244" s="450"/>
      <c r="AC244" s="450"/>
      <c r="AD244" s="450"/>
      <c r="AE244" s="450"/>
      <c r="AF244" s="450"/>
      <c r="AG244" s="450"/>
      <c r="AH244" s="450"/>
      <c r="AI244" s="450"/>
      <c r="AJ244" s="450"/>
      <c r="AK244" s="450"/>
      <c r="AL244" s="450"/>
      <c r="AM244" s="450"/>
      <c r="AN244" s="450"/>
      <c r="AO244" s="450"/>
      <c r="AP244" s="450"/>
      <c r="AQ244" s="450"/>
      <c r="AR244" s="450"/>
      <c r="AS244" s="450"/>
      <c r="AT244" s="450"/>
      <c r="AU244" s="450"/>
      <c r="AV244" s="450"/>
      <c r="AW244" s="450"/>
      <c r="AX244" s="450"/>
      <c r="AY244" s="450"/>
      <c r="AZ244" s="450"/>
      <c r="BA244" s="450"/>
      <c r="BB244" s="450"/>
      <c r="BC244" s="450"/>
      <c r="BD244" s="450"/>
      <c r="BE244" s="450"/>
      <c r="BF244" s="450"/>
      <c r="BG244" s="450"/>
      <c r="BH244" s="450"/>
      <c r="BI244" s="450"/>
      <c r="BJ244" s="450"/>
      <c r="BK244" s="450"/>
      <c r="BL244" s="450"/>
      <c r="BM244" s="450"/>
      <c r="BN244" s="450"/>
      <c r="BO244" s="450"/>
      <c r="BP244" s="450"/>
      <c r="BQ244" s="450"/>
      <c r="BR244" s="450"/>
      <c r="BS244" s="450"/>
      <c r="BT244" s="450"/>
      <c r="BU244" s="450"/>
      <c r="BV244" s="450"/>
      <c r="BW244" s="450"/>
      <c r="BX244" s="450"/>
      <c r="BY244" s="450"/>
      <c r="BZ244" s="450"/>
      <c r="CA244" s="450"/>
      <c r="CB244" s="450"/>
      <c r="CC244" s="450"/>
      <c r="CD244" s="450"/>
      <c r="CE244" s="450"/>
      <c r="CF244" s="450"/>
      <c r="CG244" s="450"/>
      <c r="CH244" s="450"/>
      <c r="CI244" s="450"/>
      <c r="CJ244" s="450"/>
      <c r="CK244" s="450"/>
      <c r="CL244" s="450"/>
      <c r="CM244" s="450"/>
      <c r="CN244" s="450"/>
      <c r="CO244" s="450"/>
      <c r="CP244" s="450"/>
      <c r="CQ244" s="450"/>
      <c r="CR244" s="450"/>
      <c r="CS244" s="450"/>
      <c r="CT244" s="450"/>
      <c r="CU244" s="450"/>
      <c r="CV244" s="450"/>
      <c r="CW244" s="450"/>
      <c r="CX244" s="450"/>
      <c r="CY244" s="450"/>
      <c r="CZ244" s="450"/>
      <c r="DA244" s="450"/>
      <c r="DB244" s="450"/>
      <c r="DC244" s="450"/>
      <c r="DD244" s="450"/>
      <c r="DE244" s="450"/>
      <c r="DF244" s="450"/>
      <c r="DG244" s="450"/>
      <c r="DH244" s="450"/>
      <c r="DI244" s="450"/>
      <c r="DJ244" s="450"/>
      <c r="DK244" s="450"/>
      <c r="DL244" s="450"/>
      <c r="DM244" s="450"/>
      <c r="DN244" s="450"/>
      <c r="DO244" s="450"/>
      <c r="DP244" s="450"/>
      <c r="DQ244" s="450"/>
      <c r="DR244" s="450"/>
      <c r="DS244" s="450"/>
      <c r="DT244" s="450"/>
      <c r="DU244" s="450"/>
      <c r="DV244" s="450"/>
      <c r="DW244" s="450"/>
      <c r="DX244" s="450"/>
      <c r="DY244" s="450"/>
      <c r="DZ244" s="450"/>
      <c r="EA244" s="450"/>
      <c r="EB244" s="450"/>
      <c r="EC244" s="450"/>
      <c r="ED244" s="450"/>
      <c r="EE244" s="450"/>
      <c r="EF244" s="450"/>
      <c r="EG244" s="450"/>
      <c r="EH244" s="450"/>
      <c r="EI244" s="450"/>
      <c r="EJ244" s="450"/>
      <c r="EK244" s="450"/>
      <c r="EL244" s="450"/>
      <c r="EM244" s="450"/>
      <c r="EN244" s="450"/>
      <c r="EO244" s="450"/>
      <c r="EP244" s="450"/>
      <c r="EQ244" s="450"/>
      <c r="ER244" s="450"/>
      <c r="ES244" s="450"/>
      <c r="ET244" s="450"/>
      <c r="EU244" s="450"/>
      <c r="EV244" s="450"/>
      <c r="EW244" s="450"/>
      <c r="EX244" s="450"/>
      <c r="EY244" s="450"/>
      <c r="EZ244" s="450"/>
      <c r="FA244" s="450"/>
      <c r="FB244" s="450"/>
      <c r="FC244" s="450"/>
      <c r="FD244" s="450"/>
      <c r="FE244" s="450"/>
      <c r="FF244" s="450"/>
      <c r="FG244" s="450"/>
      <c r="FH244" s="450"/>
      <c r="FI244" s="450"/>
      <c r="FJ244" s="450"/>
      <c r="FK244" s="450"/>
      <c r="FL244" s="450"/>
      <c r="FM244" s="450"/>
      <c r="FN244" s="450"/>
      <c r="FO244" s="450"/>
      <c r="FP244" s="450"/>
      <c r="FQ244" s="450"/>
      <c r="FR244" s="450"/>
      <c r="FS244" s="450"/>
      <c r="FT244" s="450"/>
      <c r="FU244" s="450"/>
      <c r="FV244" s="450"/>
      <c r="FW244" s="450"/>
      <c r="FX244" s="450"/>
      <c r="FY244" s="450"/>
      <c r="FZ244" s="450"/>
      <c r="GA244" s="450"/>
      <c r="GB244" s="450"/>
      <c r="GC244" s="450"/>
      <c r="GD244" s="450"/>
    </row>
    <row r="245" spans="1:186" s="448" customFormat="1" ht="21.75" customHeight="1">
      <c r="A245" s="449"/>
    </row>
    <row r="246" spans="1:186" s="496" customFormat="1" ht="21.75" customHeight="1">
      <c r="A246" s="535"/>
    </row>
    <row r="247" spans="1:186" s="496" customFormat="1" ht="21.75" customHeight="1">
      <c r="A247" s="19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</row>
    <row r="248" spans="1:186" s="495" customFormat="1" ht="21.75" customHeight="1">
      <c r="A248" s="539"/>
    </row>
    <row r="249" spans="1:186" s="497" customFormat="1" ht="21.75" customHeight="1">
      <c r="A249" s="451"/>
      <c r="B249" s="450"/>
      <c r="C249" s="450"/>
      <c r="D249" s="450"/>
      <c r="E249" s="450"/>
      <c r="F249" s="450"/>
      <c r="G249" s="450"/>
      <c r="H249" s="450"/>
      <c r="I249" s="450"/>
      <c r="J249" s="450"/>
      <c r="K249" s="450"/>
      <c r="L249" s="450"/>
      <c r="M249" s="450"/>
      <c r="N249" s="450"/>
      <c r="O249" s="450"/>
      <c r="P249" s="450"/>
      <c r="Q249" s="450"/>
      <c r="R249" s="450"/>
      <c r="S249" s="450"/>
      <c r="T249" s="450"/>
      <c r="U249" s="450"/>
      <c r="V249" s="450"/>
      <c r="W249" s="450"/>
      <c r="X249" s="450"/>
      <c r="Y249" s="450"/>
      <c r="Z249" s="450"/>
      <c r="AA249" s="450"/>
      <c r="AB249" s="450"/>
      <c r="AC249" s="450"/>
      <c r="AD249" s="450"/>
      <c r="AE249" s="450"/>
      <c r="AF249" s="450"/>
      <c r="AG249" s="450"/>
      <c r="AH249" s="450"/>
      <c r="AI249" s="450"/>
      <c r="AJ249" s="450"/>
      <c r="AK249" s="450"/>
      <c r="AL249" s="450"/>
      <c r="AM249" s="450"/>
      <c r="AN249" s="450"/>
      <c r="AO249" s="450"/>
      <c r="AP249" s="450"/>
      <c r="AQ249" s="450"/>
      <c r="AR249" s="450"/>
      <c r="AS249" s="450"/>
      <c r="AT249" s="450"/>
      <c r="AU249" s="450"/>
      <c r="AV249" s="450"/>
      <c r="AW249" s="450"/>
      <c r="AX249" s="450"/>
      <c r="AY249" s="450"/>
      <c r="AZ249" s="450"/>
      <c r="BA249" s="450"/>
      <c r="BB249" s="450"/>
      <c r="BC249" s="450"/>
      <c r="BD249" s="450"/>
      <c r="BE249" s="450"/>
      <c r="BF249" s="450"/>
      <c r="BG249" s="450"/>
      <c r="BH249" s="450"/>
      <c r="BI249" s="450"/>
      <c r="BJ249" s="450"/>
      <c r="BK249" s="450"/>
      <c r="BL249" s="450"/>
      <c r="BM249" s="450"/>
      <c r="BN249" s="450"/>
      <c r="BO249" s="450"/>
      <c r="BP249" s="450"/>
      <c r="BQ249" s="450"/>
      <c r="BR249" s="450"/>
      <c r="BS249" s="450"/>
      <c r="BT249" s="450"/>
      <c r="BU249" s="450"/>
      <c r="BV249" s="450"/>
      <c r="BW249" s="450"/>
      <c r="BX249" s="450"/>
      <c r="BY249" s="450"/>
      <c r="BZ249" s="450"/>
      <c r="CA249" s="450"/>
      <c r="CB249" s="450"/>
      <c r="CC249" s="450"/>
      <c r="CD249" s="450"/>
      <c r="CE249" s="450"/>
      <c r="CF249" s="450"/>
      <c r="CG249" s="450"/>
      <c r="CH249" s="450"/>
      <c r="CI249" s="450"/>
      <c r="CJ249" s="450"/>
      <c r="CK249" s="450"/>
      <c r="CL249" s="450"/>
      <c r="CM249" s="450"/>
      <c r="CN249" s="450"/>
      <c r="CO249" s="450"/>
      <c r="CP249" s="450"/>
      <c r="CQ249" s="450"/>
      <c r="CR249" s="450"/>
      <c r="CS249" s="450"/>
      <c r="CT249" s="450"/>
      <c r="CU249" s="450"/>
      <c r="CV249" s="450"/>
      <c r="CW249" s="450"/>
      <c r="CX249" s="450"/>
      <c r="CY249" s="450"/>
      <c r="CZ249" s="450"/>
      <c r="DA249" s="450"/>
      <c r="DB249" s="450"/>
      <c r="DC249" s="450"/>
      <c r="DD249" s="450"/>
      <c r="DE249" s="450"/>
      <c r="DF249" s="450"/>
      <c r="DG249" s="450"/>
      <c r="DH249" s="450"/>
      <c r="DI249" s="450"/>
      <c r="DJ249" s="450"/>
      <c r="DK249" s="450"/>
      <c r="DL249" s="450"/>
      <c r="DM249" s="450"/>
      <c r="DN249" s="450"/>
      <c r="DO249" s="450"/>
      <c r="DP249" s="450"/>
      <c r="DQ249" s="450"/>
      <c r="DR249" s="450"/>
      <c r="DS249" s="450"/>
      <c r="DT249" s="450"/>
      <c r="DU249" s="450"/>
      <c r="DV249" s="450"/>
      <c r="DW249" s="450"/>
      <c r="DX249" s="450"/>
      <c r="DY249" s="450"/>
      <c r="DZ249" s="450"/>
      <c r="EA249" s="450"/>
      <c r="EB249" s="450"/>
      <c r="EC249" s="450"/>
      <c r="ED249" s="450"/>
      <c r="EE249" s="450"/>
      <c r="EF249" s="450"/>
      <c r="EG249" s="450"/>
      <c r="EH249" s="450"/>
      <c r="EI249" s="450"/>
      <c r="EJ249" s="450"/>
      <c r="EK249" s="450"/>
      <c r="EL249" s="450"/>
      <c r="EM249" s="450"/>
      <c r="EN249" s="450"/>
      <c r="EO249" s="450"/>
      <c r="EP249" s="450"/>
      <c r="EQ249" s="450"/>
      <c r="ER249" s="450"/>
      <c r="ES249" s="450"/>
      <c r="ET249" s="450"/>
      <c r="EU249" s="450"/>
      <c r="EV249" s="450"/>
      <c r="EW249" s="450"/>
      <c r="EX249" s="450"/>
      <c r="EY249" s="450"/>
      <c r="EZ249" s="450"/>
      <c r="FA249" s="450"/>
      <c r="FB249" s="450"/>
      <c r="FC249" s="450"/>
      <c r="FD249" s="450"/>
      <c r="FE249" s="450"/>
      <c r="FF249" s="450"/>
      <c r="FG249" s="450"/>
      <c r="FH249" s="450"/>
      <c r="FI249" s="450"/>
      <c r="FJ249" s="450"/>
      <c r="FK249" s="450"/>
      <c r="FL249" s="450"/>
      <c r="FM249" s="450"/>
      <c r="FN249" s="450"/>
      <c r="FO249" s="450"/>
      <c r="FP249" s="450"/>
      <c r="FQ249" s="450"/>
      <c r="FR249" s="450"/>
      <c r="FS249" s="450"/>
      <c r="FT249" s="450"/>
      <c r="FU249" s="450"/>
      <c r="FV249" s="450"/>
      <c r="FW249" s="450"/>
      <c r="FX249" s="450"/>
      <c r="FY249" s="450"/>
      <c r="FZ249" s="450"/>
      <c r="GA249" s="450"/>
      <c r="GB249" s="450"/>
      <c r="GC249" s="450"/>
      <c r="GD249" s="450"/>
    </row>
    <row r="250" spans="1:186" s="506" customFormat="1" ht="21.75" customHeight="1">
      <c r="A250" s="523"/>
      <c r="B250" s="471"/>
      <c r="C250" s="471"/>
      <c r="D250" s="471"/>
      <c r="E250" s="471"/>
      <c r="F250" s="471"/>
      <c r="G250" s="471"/>
      <c r="H250" s="471"/>
      <c r="I250" s="471"/>
      <c r="J250" s="471"/>
      <c r="K250" s="471"/>
      <c r="L250" s="471"/>
      <c r="M250" s="471"/>
      <c r="N250" s="471"/>
      <c r="O250" s="471"/>
      <c r="P250" s="471"/>
      <c r="Q250" s="471"/>
      <c r="R250" s="471"/>
      <c r="S250" s="471"/>
      <c r="T250" s="471"/>
      <c r="U250" s="471"/>
      <c r="V250" s="471"/>
      <c r="W250" s="471"/>
      <c r="X250" s="471"/>
      <c r="Y250" s="471"/>
      <c r="Z250" s="471"/>
      <c r="AA250" s="471"/>
      <c r="AB250" s="471"/>
      <c r="AC250" s="471"/>
      <c r="AD250" s="471"/>
      <c r="AE250" s="471"/>
      <c r="AF250" s="471"/>
      <c r="AG250" s="471"/>
      <c r="AH250" s="471"/>
      <c r="AI250" s="471"/>
      <c r="AJ250" s="471"/>
      <c r="AK250" s="471"/>
      <c r="AL250" s="471"/>
      <c r="AM250" s="471"/>
      <c r="AN250" s="471"/>
      <c r="AO250" s="471"/>
      <c r="AP250" s="471"/>
      <c r="AQ250" s="471"/>
      <c r="AR250" s="471"/>
      <c r="AS250" s="471"/>
      <c r="AT250" s="471"/>
      <c r="AU250" s="471"/>
      <c r="AV250" s="471"/>
      <c r="AW250" s="471"/>
      <c r="AX250" s="471"/>
      <c r="AY250" s="471"/>
      <c r="AZ250" s="471"/>
      <c r="BA250" s="471"/>
      <c r="BB250" s="471"/>
      <c r="BC250" s="471"/>
      <c r="BD250" s="471"/>
      <c r="BE250" s="471"/>
      <c r="BF250" s="471"/>
      <c r="BG250" s="471"/>
      <c r="BH250" s="471"/>
      <c r="BI250" s="471"/>
      <c r="BJ250" s="471"/>
      <c r="BK250" s="471"/>
      <c r="BL250" s="471"/>
      <c r="BM250" s="471"/>
      <c r="BN250" s="471"/>
      <c r="BO250" s="471"/>
      <c r="BP250" s="471"/>
      <c r="BQ250" s="471"/>
      <c r="BR250" s="471"/>
      <c r="BS250" s="471"/>
      <c r="BT250" s="471"/>
      <c r="BU250" s="471"/>
      <c r="BV250" s="471"/>
      <c r="BW250" s="471"/>
      <c r="BX250" s="471"/>
      <c r="BY250" s="471"/>
      <c r="BZ250" s="471"/>
      <c r="CA250" s="471"/>
      <c r="CB250" s="471"/>
      <c r="CC250" s="471"/>
      <c r="CD250" s="471"/>
      <c r="CE250" s="471"/>
      <c r="CF250" s="471"/>
      <c r="CG250" s="471"/>
      <c r="CH250" s="471"/>
      <c r="CI250" s="471"/>
      <c r="CJ250" s="471"/>
      <c r="CK250" s="471"/>
      <c r="CL250" s="471"/>
      <c r="CM250" s="471"/>
      <c r="CN250" s="471"/>
      <c r="CO250" s="471"/>
      <c r="CP250" s="471"/>
      <c r="CQ250" s="471"/>
      <c r="CR250" s="471"/>
      <c r="CS250" s="471"/>
      <c r="CT250" s="471"/>
      <c r="CU250" s="471"/>
      <c r="CV250" s="471"/>
      <c r="CW250" s="471"/>
      <c r="CX250" s="471"/>
      <c r="CY250" s="471"/>
      <c r="CZ250" s="471"/>
      <c r="DA250" s="471"/>
      <c r="DB250" s="471"/>
      <c r="DC250" s="471"/>
      <c r="DD250" s="471"/>
      <c r="DE250" s="471"/>
      <c r="DF250" s="471"/>
      <c r="DG250" s="471"/>
      <c r="DH250" s="471"/>
      <c r="DI250" s="471"/>
      <c r="DJ250" s="471"/>
      <c r="DK250" s="471"/>
      <c r="DL250" s="471"/>
      <c r="DM250" s="471"/>
      <c r="DN250" s="471"/>
      <c r="DO250" s="471"/>
      <c r="DP250" s="471"/>
      <c r="DQ250" s="471"/>
      <c r="DR250" s="471"/>
      <c r="DS250" s="471"/>
      <c r="DT250" s="471"/>
      <c r="DU250" s="471"/>
      <c r="DV250" s="471"/>
      <c r="DW250" s="471"/>
      <c r="DX250" s="471"/>
      <c r="DY250" s="471"/>
      <c r="DZ250" s="471"/>
      <c r="EA250" s="471"/>
      <c r="EB250" s="471"/>
      <c r="EC250" s="471"/>
      <c r="ED250" s="471"/>
      <c r="EE250" s="471"/>
      <c r="EF250" s="471"/>
      <c r="EG250" s="471"/>
      <c r="EH250" s="471"/>
      <c r="EI250" s="471"/>
      <c r="EJ250" s="471"/>
      <c r="EK250" s="471"/>
      <c r="EL250" s="471"/>
      <c r="EM250" s="471"/>
      <c r="EN250" s="471"/>
      <c r="EO250" s="471"/>
      <c r="EP250" s="471"/>
      <c r="EQ250" s="471"/>
      <c r="ER250" s="471"/>
      <c r="ES250" s="471"/>
      <c r="ET250" s="471"/>
      <c r="EU250" s="471"/>
      <c r="EV250" s="471"/>
      <c r="EW250" s="471"/>
      <c r="EX250" s="471"/>
      <c r="EY250" s="471"/>
      <c r="EZ250" s="471"/>
      <c r="FA250" s="471"/>
      <c r="FB250" s="471"/>
      <c r="FC250" s="471"/>
      <c r="FD250" s="471"/>
      <c r="FE250" s="471"/>
      <c r="FF250" s="471"/>
      <c r="FG250" s="471"/>
      <c r="FH250" s="471"/>
      <c r="FI250" s="471"/>
      <c r="FJ250" s="471"/>
      <c r="FK250" s="471"/>
      <c r="FL250" s="471"/>
      <c r="FM250" s="471"/>
      <c r="FN250" s="471"/>
      <c r="FO250" s="471"/>
      <c r="FP250" s="471"/>
      <c r="FQ250" s="471"/>
      <c r="FR250" s="471"/>
      <c r="FS250" s="471"/>
      <c r="FT250" s="471"/>
      <c r="FU250" s="471"/>
      <c r="FV250" s="471"/>
      <c r="FW250" s="471"/>
      <c r="FX250" s="471"/>
      <c r="FY250" s="471"/>
      <c r="FZ250" s="471"/>
      <c r="GA250" s="471"/>
      <c r="GB250" s="471"/>
      <c r="GC250" s="471"/>
      <c r="GD250" s="471"/>
    </row>
    <row r="251" spans="1:186" s="495" customFormat="1" ht="21.75" customHeight="1">
      <c r="A251" s="449"/>
      <c r="B251" s="448"/>
      <c r="C251" s="448"/>
      <c r="D251" s="448"/>
      <c r="E251" s="448"/>
      <c r="F251" s="448"/>
      <c r="G251" s="448"/>
      <c r="H251" s="448"/>
      <c r="I251" s="448"/>
      <c r="J251" s="448"/>
      <c r="K251" s="448"/>
      <c r="L251" s="448"/>
      <c r="M251" s="448"/>
      <c r="N251" s="448"/>
      <c r="O251" s="448"/>
      <c r="P251" s="448"/>
      <c r="Q251" s="448"/>
      <c r="R251" s="448"/>
      <c r="S251" s="448"/>
      <c r="T251" s="448"/>
      <c r="U251" s="448"/>
      <c r="V251" s="448"/>
      <c r="W251" s="448"/>
      <c r="X251" s="448"/>
      <c r="Y251" s="448"/>
      <c r="Z251" s="448"/>
      <c r="AA251" s="448"/>
      <c r="AB251" s="448"/>
      <c r="AC251" s="448"/>
      <c r="AD251" s="448"/>
      <c r="AE251" s="448"/>
      <c r="AF251" s="448"/>
      <c r="AG251" s="448"/>
      <c r="AH251" s="448"/>
      <c r="AI251" s="448"/>
      <c r="AJ251" s="448"/>
      <c r="AK251" s="448"/>
      <c r="AL251" s="448"/>
      <c r="AM251" s="448"/>
      <c r="AN251" s="448"/>
      <c r="AO251" s="448"/>
      <c r="AP251" s="448"/>
      <c r="AQ251" s="448"/>
      <c r="AR251" s="448"/>
      <c r="AS251" s="448"/>
      <c r="AT251" s="448"/>
      <c r="AU251" s="448"/>
      <c r="AV251" s="448"/>
      <c r="AW251" s="448"/>
      <c r="AX251" s="448"/>
      <c r="AY251" s="448"/>
      <c r="AZ251" s="448"/>
      <c r="BA251" s="448"/>
      <c r="BB251" s="448"/>
      <c r="BC251" s="448"/>
      <c r="BD251" s="448"/>
      <c r="BE251" s="448"/>
      <c r="BF251" s="448"/>
      <c r="BG251" s="448"/>
      <c r="BH251" s="448"/>
      <c r="BI251" s="448"/>
      <c r="BJ251" s="448"/>
      <c r="BK251" s="448"/>
      <c r="BL251" s="448"/>
      <c r="BM251" s="448"/>
      <c r="BN251" s="448"/>
      <c r="BO251" s="448"/>
      <c r="BP251" s="448"/>
      <c r="BQ251" s="448"/>
      <c r="BR251" s="448"/>
      <c r="BS251" s="448"/>
      <c r="BT251" s="448"/>
      <c r="BU251" s="448"/>
      <c r="BV251" s="448"/>
      <c r="BW251" s="448"/>
      <c r="BX251" s="448"/>
      <c r="BY251" s="448"/>
      <c r="BZ251" s="448"/>
      <c r="CA251" s="448"/>
      <c r="CB251" s="448"/>
      <c r="CC251" s="448"/>
      <c r="CD251" s="448"/>
      <c r="CE251" s="448"/>
      <c r="CF251" s="448"/>
      <c r="CG251" s="448"/>
      <c r="CH251" s="448"/>
      <c r="CI251" s="448"/>
      <c r="CJ251" s="448"/>
      <c r="CK251" s="448"/>
      <c r="CL251" s="448"/>
      <c r="CM251" s="448"/>
      <c r="CN251" s="448"/>
      <c r="CO251" s="448"/>
      <c r="CP251" s="448"/>
      <c r="CQ251" s="448"/>
      <c r="CR251" s="448"/>
      <c r="CS251" s="448"/>
      <c r="CT251" s="448"/>
      <c r="CU251" s="448"/>
      <c r="CV251" s="448"/>
      <c r="CW251" s="448"/>
      <c r="CX251" s="448"/>
      <c r="CY251" s="448"/>
      <c r="CZ251" s="448"/>
      <c r="DA251" s="448"/>
      <c r="DB251" s="448"/>
      <c r="DC251" s="448"/>
      <c r="DD251" s="448"/>
      <c r="DE251" s="448"/>
      <c r="DF251" s="448"/>
      <c r="DG251" s="448"/>
      <c r="DH251" s="448"/>
      <c r="DI251" s="448"/>
      <c r="DJ251" s="448"/>
      <c r="DK251" s="448"/>
      <c r="DL251" s="448"/>
      <c r="DM251" s="448"/>
      <c r="DN251" s="448"/>
      <c r="DO251" s="448"/>
      <c r="DP251" s="448"/>
      <c r="DQ251" s="448"/>
      <c r="DR251" s="448"/>
      <c r="DS251" s="448"/>
      <c r="DT251" s="448"/>
      <c r="DU251" s="448"/>
      <c r="DV251" s="448"/>
      <c r="DW251" s="448"/>
      <c r="DX251" s="448"/>
      <c r="DY251" s="448"/>
      <c r="DZ251" s="448"/>
      <c r="EA251" s="448"/>
      <c r="EB251" s="448"/>
      <c r="EC251" s="448"/>
      <c r="ED251" s="448"/>
      <c r="EE251" s="448"/>
      <c r="EF251" s="448"/>
      <c r="EG251" s="448"/>
      <c r="EH251" s="448"/>
      <c r="EI251" s="448"/>
      <c r="EJ251" s="448"/>
      <c r="EK251" s="448"/>
      <c r="EL251" s="448"/>
      <c r="EM251" s="448"/>
      <c r="EN251" s="448"/>
      <c r="EO251" s="448"/>
      <c r="EP251" s="448"/>
      <c r="EQ251" s="448"/>
      <c r="ER251" s="448"/>
      <c r="ES251" s="448"/>
      <c r="ET251" s="448"/>
      <c r="EU251" s="448"/>
      <c r="EV251" s="448"/>
      <c r="EW251" s="448"/>
      <c r="EX251" s="448"/>
      <c r="EY251" s="448"/>
      <c r="EZ251" s="448"/>
      <c r="FA251" s="448"/>
      <c r="FB251" s="448"/>
      <c r="FC251" s="448"/>
      <c r="FD251" s="448"/>
      <c r="FE251" s="448"/>
      <c r="FF251" s="448"/>
      <c r="FG251" s="448"/>
      <c r="FH251" s="448"/>
      <c r="FI251" s="448"/>
      <c r="FJ251" s="448"/>
      <c r="FK251" s="448"/>
      <c r="FL251" s="448"/>
      <c r="FM251" s="448"/>
      <c r="FN251" s="448"/>
      <c r="FO251" s="448"/>
      <c r="FP251" s="448"/>
      <c r="FQ251" s="448"/>
      <c r="FR251" s="448"/>
      <c r="FS251" s="448"/>
      <c r="FT251" s="448"/>
      <c r="FU251" s="448"/>
      <c r="FV251" s="448"/>
      <c r="FW251" s="448"/>
      <c r="FX251" s="448"/>
      <c r="FY251" s="448"/>
      <c r="FZ251" s="448"/>
      <c r="GA251" s="448"/>
      <c r="GB251" s="448"/>
      <c r="GC251" s="448"/>
      <c r="GD251" s="448"/>
    </row>
    <row r="252" spans="1:186" ht="21.75" customHeight="1">
      <c r="A252" s="194"/>
      <c r="B252" s="6"/>
      <c r="C252" s="6"/>
      <c r="D252" s="6"/>
      <c r="E252" s="6"/>
      <c r="F252" s="6"/>
      <c r="G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O252" s="6"/>
      <c r="AP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</row>
    <row r="253" spans="1:186" ht="21.75" customHeight="1">
      <c r="A253" s="194"/>
      <c r="B253" s="6"/>
      <c r="C253" s="6"/>
      <c r="D253" s="6"/>
      <c r="E253" s="6"/>
      <c r="F253" s="6"/>
      <c r="G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O253" s="6"/>
      <c r="AP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</row>
    <row r="254" spans="1:186" s="499" customFormat="1" ht="21.75" customHeight="1">
      <c r="A254" s="543"/>
    </row>
    <row r="255" spans="1:186" s="496" customFormat="1" ht="21.75" customHeight="1">
      <c r="A255" s="194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</row>
    <row r="256" spans="1:186" s="496" customFormat="1" ht="21.75" customHeight="1">
      <c r="A256" s="535"/>
    </row>
    <row r="257" spans="1:1" s="496" customFormat="1" ht="21.75" customHeight="1">
      <c r="A257" s="535"/>
    </row>
    <row r="258" spans="1:1" s="495" customFormat="1" ht="21.75" customHeight="1">
      <c r="A258" s="539"/>
    </row>
    <row r="259" spans="1:1" s="496" customFormat="1" ht="21.75" customHeight="1">
      <c r="A259" s="535"/>
    </row>
    <row r="260" spans="1:1" s="496" customFormat="1" ht="21.75" customHeight="1">
      <c r="A260" s="535"/>
    </row>
    <row r="261" spans="1:1" s="496" customFormat="1" ht="21.75" customHeight="1">
      <c r="A261" s="535"/>
    </row>
    <row r="262" spans="1:1" s="524" customFormat="1" ht="21.75" customHeight="1">
      <c r="A262" s="558"/>
    </row>
    <row r="263" spans="1:1" s="555" customFormat="1" ht="21.75" customHeight="1">
      <c r="A263" s="561"/>
    </row>
    <row r="264" spans="1:1" s="504" customFormat="1" ht="21.75" customHeight="1">
      <c r="A264" s="553"/>
    </row>
    <row r="265" spans="1:1" s="505" customFormat="1" ht="21.75" customHeight="1">
      <c r="A265" s="546"/>
    </row>
    <row r="266" spans="1:1" s="505" customFormat="1" ht="21.75" customHeight="1">
      <c r="A266" s="546"/>
    </row>
    <row r="267" spans="1:1" s="505" customFormat="1" ht="21.75" customHeight="1">
      <c r="A267" s="546"/>
    </row>
    <row r="268" spans="1:1" s="496" customFormat="1" ht="21.75" customHeight="1">
      <c r="A268" s="535"/>
    </row>
    <row r="269" spans="1:1" s="555" customFormat="1" ht="21.75" customHeight="1">
      <c r="A269" s="561"/>
    </row>
    <row r="270" spans="1:1" s="495" customFormat="1" ht="21.75" customHeight="1">
      <c r="A270" s="539"/>
    </row>
    <row r="271" spans="1:1" s="496" customFormat="1" ht="21.75" customHeight="1">
      <c r="A271" s="535"/>
    </row>
    <row r="272" spans="1:1" s="496" customFormat="1" ht="21.75" customHeight="1">
      <c r="A272" s="535"/>
    </row>
    <row r="273" spans="1:186" s="496" customFormat="1" ht="21.75" customHeight="1">
      <c r="A273" s="535"/>
    </row>
    <row r="274" spans="1:186" s="448" customFormat="1" ht="21.75" customHeight="1">
      <c r="A274" s="449"/>
    </row>
    <row r="275" spans="1:186" s="496" customFormat="1" ht="21.75" customHeight="1">
      <c r="A275" s="535"/>
    </row>
    <row r="276" spans="1:186" s="496" customFormat="1" ht="21.75" customHeight="1">
      <c r="A276" s="535"/>
    </row>
    <row r="277" spans="1:186" s="450" customFormat="1" ht="21.75" customHeight="1">
      <c r="A277" s="451"/>
    </row>
    <row r="278" spans="1:186" s="495" customFormat="1" ht="21.75" customHeight="1">
      <c r="A278" s="539"/>
    </row>
    <row r="279" spans="1:186" s="496" customFormat="1" ht="21.75" customHeight="1">
      <c r="A279" s="535"/>
    </row>
    <row r="280" spans="1:186" s="495" customFormat="1" ht="21.75" customHeight="1">
      <c r="A280" s="539"/>
    </row>
    <row r="281" spans="1:186" s="496" customFormat="1" ht="21.75" customHeight="1">
      <c r="A281" s="535"/>
    </row>
    <row r="282" spans="1:186" s="496" customFormat="1" ht="21.75" customHeight="1">
      <c r="A282" s="535"/>
    </row>
    <row r="283" spans="1:186" s="496" customFormat="1" ht="21.75" customHeight="1">
      <c r="A283" s="535"/>
    </row>
    <row r="284" spans="1:186" s="496" customFormat="1" ht="21.75" customHeight="1">
      <c r="A284" s="535"/>
    </row>
    <row r="285" spans="1:186" s="496" customFormat="1" ht="21.75" customHeight="1">
      <c r="A285" s="194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</row>
    <row r="286" spans="1:186" s="496" customFormat="1" ht="21.75" customHeight="1">
      <c r="A286" s="535"/>
    </row>
    <row r="287" spans="1:186" s="496" customFormat="1" ht="21.75" customHeight="1">
      <c r="A287" s="535"/>
    </row>
    <row r="288" spans="1:186" s="495" customFormat="1" ht="21.75" customHeight="1">
      <c r="A288" s="539"/>
    </row>
    <row r="289" spans="1:1" s="497" customFormat="1" ht="21.75" customHeight="1">
      <c r="A289" s="533"/>
    </row>
    <row r="290" spans="1:1" s="495" customFormat="1" ht="21.75" customHeight="1">
      <c r="A290" s="539"/>
    </row>
    <row r="291" spans="1:1" s="495" customFormat="1" ht="21.75" customHeight="1">
      <c r="A291" s="539"/>
    </row>
    <row r="292" spans="1:1" s="496" customFormat="1" ht="21.75" customHeight="1">
      <c r="A292" s="535"/>
    </row>
    <row r="293" spans="1:1" s="497" customFormat="1" ht="21.75" customHeight="1">
      <c r="A293" s="533"/>
    </row>
    <row r="294" spans="1:1" s="501" customFormat="1" ht="21.75" customHeight="1">
      <c r="A294" s="534"/>
    </row>
    <row r="295" spans="1:1" s="495" customFormat="1" ht="21.75" customHeight="1">
      <c r="A295" s="539"/>
    </row>
    <row r="296" spans="1:1" s="495" customFormat="1" ht="21.75" customHeight="1">
      <c r="A296" s="539"/>
    </row>
    <row r="297" spans="1:1" s="496" customFormat="1" ht="21.75" customHeight="1">
      <c r="A297" s="535"/>
    </row>
    <row r="298" spans="1:1" s="496" customFormat="1" ht="21.75" customHeight="1">
      <c r="A298" s="535"/>
    </row>
    <row r="299" spans="1:1" s="495" customFormat="1" ht="21.75" customHeight="1">
      <c r="A299" s="539"/>
    </row>
    <row r="300" spans="1:1" s="497" customFormat="1" ht="21.75" customHeight="1">
      <c r="A300" s="533"/>
    </row>
    <row r="301" spans="1:1" s="500" customFormat="1" ht="21.75" customHeight="1">
      <c r="A301" s="552"/>
    </row>
    <row r="302" spans="1:1" s="496" customFormat="1" ht="21.75" customHeight="1">
      <c r="A302" s="535"/>
    </row>
    <row r="303" spans="1:1" s="497" customFormat="1" ht="21.75" customHeight="1">
      <c r="A303" s="533"/>
    </row>
    <row r="304" spans="1:1" s="495" customFormat="1" ht="21.75" customHeight="1">
      <c r="A304" s="539"/>
    </row>
    <row r="305" spans="1:186" s="496" customFormat="1" ht="21.75" customHeight="1">
      <c r="A305" s="535"/>
    </row>
    <row r="306" spans="1:186" s="497" customFormat="1" ht="21.75" customHeight="1">
      <c r="A306" s="533"/>
    </row>
    <row r="307" spans="1:186" s="504" customFormat="1" ht="21.75" customHeight="1">
      <c r="A307" s="553"/>
    </row>
    <row r="308" spans="1:186" s="496" customFormat="1" ht="21.75" customHeight="1">
      <c r="A308" s="535"/>
    </row>
    <row r="309" spans="1:186" s="495" customFormat="1" ht="21.75" customHeight="1">
      <c r="A309" s="539"/>
    </row>
    <row r="310" spans="1:186" s="497" customFormat="1" ht="21.75" customHeight="1">
      <c r="A310" s="533"/>
    </row>
    <row r="311" spans="1:186" s="504" customFormat="1" ht="21.75" customHeight="1">
      <c r="A311" s="477"/>
      <c r="B311" s="476"/>
      <c r="C311" s="476"/>
      <c r="D311" s="476"/>
      <c r="E311" s="476"/>
      <c r="F311" s="476"/>
      <c r="G311" s="476"/>
      <c r="H311" s="476"/>
      <c r="I311" s="476"/>
      <c r="J311" s="476"/>
      <c r="K311" s="476"/>
      <c r="L311" s="476"/>
      <c r="M311" s="476"/>
      <c r="N311" s="476"/>
      <c r="O311" s="476"/>
      <c r="P311" s="476"/>
      <c r="Q311" s="476"/>
      <c r="R311" s="476"/>
      <c r="S311" s="476"/>
      <c r="T311" s="476"/>
      <c r="U311" s="476"/>
      <c r="V311" s="476"/>
      <c r="W311" s="476"/>
      <c r="X311" s="476"/>
      <c r="Y311" s="476"/>
      <c r="Z311" s="476"/>
      <c r="AA311" s="476"/>
      <c r="AB311" s="476"/>
      <c r="AC311" s="476"/>
      <c r="AD311" s="476"/>
      <c r="AE311" s="476"/>
      <c r="AF311" s="476"/>
      <c r="AG311" s="476"/>
      <c r="AH311" s="476"/>
      <c r="AI311" s="476"/>
      <c r="AJ311" s="476"/>
      <c r="AK311" s="476"/>
      <c r="AL311" s="476"/>
      <c r="AM311" s="476"/>
      <c r="AN311" s="476"/>
      <c r="AO311" s="476"/>
      <c r="AP311" s="476"/>
      <c r="AQ311" s="476"/>
      <c r="AR311" s="476"/>
      <c r="AS311" s="476"/>
      <c r="AT311" s="476"/>
      <c r="AU311" s="476"/>
      <c r="AV311" s="476"/>
      <c r="AW311" s="476"/>
      <c r="AX311" s="476"/>
      <c r="AY311" s="476"/>
      <c r="AZ311" s="476"/>
      <c r="BA311" s="476"/>
      <c r="BB311" s="476"/>
      <c r="BC311" s="476"/>
      <c r="BD311" s="476"/>
      <c r="BE311" s="476"/>
      <c r="BF311" s="476"/>
      <c r="BG311" s="476"/>
      <c r="BH311" s="476"/>
      <c r="BI311" s="476"/>
      <c r="BJ311" s="476"/>
      <c r="BK311" s="476"/>
      <c r="BL311" s="476"/>
      <c r="BM311" s="476"/>
      <c r="BN311" s="476"/>
      <c r="BO311" s="476"/>
      <c r="BP311" s="476"/>
      <c r="BQ311" s="476"/>
      <c r="BR311" s="476"/>
      <c r="BS311" s="476"/>
      <c r="BT311" s="476"/>
      <c r="BU311" s="476"/>
      <c r="BV311" s="476"/>
      <c r="BW311" s="476"/>
      <c r="BX311" s="476"/>
      <c r="BY311" s="476"/>
      <c r="BZ311" s="476"/>
      <c r="CA311" s="476"/>
      <c r="CB311" s="476"/>
      <c r="CC311" s="476"/>
      <c r="CD311" s="476"/>
      <c r="CE311" s="476"/>
      <c r="CF311" s="476"/>
      <c r="CG311" s="476"/>
      <c r="CH311" s="476"/>
      <c r="CI311" s="476"/>
      <c r="CJ311" s="476"/>
      <c r="CK311" s="476"/>
      <c r="CL311" s="476"/>
      <c r="CM311" s="476"/>
      <c r="CN311" s="476"/>
      <c r="CO311" s="476"/>
      <c r="CP311" s="476"/>
      <c r="CQ311" s="476"/>
      <c r="CR311" s="476"/>
      <c r="CS311" s="476"/>
      <c r="CT311" s="476"/>
      <c r="CU311" s="476"/>
      <c r="CV311" s="476"/>
      <c r="CW311" s="476"/>
      <c r="CX311" s="476"/>
      <c r="CY311" s="476"/>
      <c r="CZ311" s="476"/>
      <c r="DA311" s="476"/>
      <c r="DB311" s="476"/>
      <c r="DC311" s="476"/>
      <c r="DD311" s="476"/>
      <c r="DE311" s="476"/>
      <c r="DF311" s="476"/>
      <c r="DG311" s="476"/>
      <c r="DH311" s="476"/>
      <c r="DI311" s="476"/>
      <c r="DJ311" s="476"/>
      <c r="DK311" s="476"/>
      <c r="DL311" s="476"/>
      <c r="DM311" s="476"/>
      <c r="DN311" s="476"/>
      <c r="DO311" s="476"/>
      <c r="DP311" s="476"/>
      <c r="DQ311" s="476"/>
      <c r="DR311" s="476"/>
      <c r="DS311" s="476"/>
      <c r="DT311" s="476"/>
      <c r="DU311" s="476"/>
      <c r="DV311" s="476"/>
      <c r="DW311" s="476"/>
      <c r="DX311" s="476"/>
      <c r="DY311" s="476"/>
      <c r="DZ311" s="476"/>
      <c r="EA311" s="476"/>
      <c r="EB311" s="476"/>
      <c r="EC311" s="476"/>
      <c r="ED311" s="476"/>
      <c r="EE311" s="476"/>
      <c r="EF311" s="476"/>
      <c r="EG311" s="476"/>
      <c r="EH311" s="476"/>
      <c r="EI311" s="476"/>
      <c r="EJ311" s="476"/>
      <c r="EK311" s="476"/>
      <c r="EL311" s="476"/>
      <c r="EM311" s="476"/>
      <c r="EN311" s="476"/>
      <c r="EO311" s="476"/>
      <c r="EP311" s="476"/>
      <c r="EQ311" s="476"/>
      <c r="ER311" s="476"/>
      <c r="ES311" s="476"/>
      <c r="ET311" s="476"/>
      <c r="EU311" s="476"/>
      <c r="EV311" s="476"/>
      <c r="EW311" s="476"/>
      <c r="EX311" s="476"/>
      <c r="EY311" s="476"/>
      <c r="EZ311" s="476"/>
      <c r="FA311" s="476"/>
      <c r="FB311" s="476"/>
      <c r="FC311" s="476"/>
      <c r="FD311" s="476"/>
      <c r="FE311" s="476"/>
      <c r="FF311" s="476"/>
      <c r="FG311" s="476"/>
      <c r="FH311" s="476"/>
      <c r="FI311" s="476"/>
      <c r="FJ311" s="476"/>
      <c r="FK311" s="476"/>
      <c r="FL311" s="476"/>
      <c r="FM311" s="476"/>
      <c r="FN311" s="476"/>
      <c r="FO311" s="476"/>
      <c r="FP311" s="476"/>
      <c r="FQ311" s="476"/>
      <c r="FR311" s="476"/>
      <c r="FS311" s="476"/>
      <c r="FT311" s="476"/>
      <c r="FU311" s="476"/>
      <c r="FV311" s="476"/>
      <c r="FW311" s="476"/>
      <c r="FX311" s="476"/>
      <c r="FY311" s="476"/>
      <c r="FZ311" s="476"/>
      <c r="GA311" s="476"/>
      <c r="GB311" s="476"/>
      <c r="GC311" s="476"/>
      <c r="GD311" s="476"/>
    </row>
    <row r="312" spans="1:186" s="496" customFormat="1" ht="21.75" customHeight="1">
      <c r="A312" s="535"/>
    </row>
    <row r="313" spans="1:186" s="496" customFormat="1" ht="21.75" customHeight="1">
      <c r="A313" s="535"/>
    </row>
    <row r="314" spans="1:186" s="496" customFormat="1" ht="21.75" customHeight="1">
      <c r="A314" s="535"/>
    </row>
    <row r="315" spans="1:186" s="501" customFormat="1" ht="21.75" customHeight="1">
      <c r="A315" s="534"/>
    </row>
    <row r="316" spans="1:186" s="501" customFormat="1" ht="21.75" customHeight="1">
      <c r="A316" s="534"/>
    </row>
    <row r="317" spans="1:186" s="504" customFormat="1" ht="21.75" customHeight="1">
      <c r="A317" s="553"/>
    </row>
    <row r="318" spans="1:186" s="497" customFormat="1" ht="21.75" customHeight="1">
      <c r="A318" s="533"/>
    </row>
    <row r="319" spans="1:186" s="495" customFormat="1" ht="21.75" customHeight="1">
      <c r="A319" s="449"/>
      <c r="B319" s="448"/>
      <c r="C319" s="448"/>
      <c r="D319" s="448"/>
      <c r="E319" s="448"/>
      <c r="F319" s="448"/>
      <c r="G319" s="448"/>
      <c r="H319" s="448"/>
      <c r="I319" s="448"/>
      <c r="J319" s="448"/>
      <c r="K319" s="448"/>
      <c r="L319" s="448"/>
      <c r="M319" s="448"/>
      <c r="N319" s="448"/>
      <c r="O319" s="448"/>
      <c r="P319" s="448"/>
      <c r="Q319" s="448"/>
      <c r="R319" s="448"/>
      <c r="S319" s="448"/>
      <c r="T319" s="448"/>
      <c r="U319" s="448"/>
      <c r="V319" s="448"/>
      <c r="W319" s="448"/>
      <c r="X319" s="448"/>
      <c r="Y319" s="448"/>
      <c r="Z319" s="448"/>
      <c r="AA319" s="448"/>
      <c r="AB319" s="448"/>
      <c r="AC319" s="448"/>
      <c r="AD319" s="448"/>
      <c r="AE319" s="448"/>
      <c r="AF319" s="448"/>
      <c r="AG319" s="448"/>
      <c r="AH319" s="448"/>
      <c r="AI319" s="448"/>
      <c r="AJ319" s="448"/>
      <c r="AK319" s="448"/>
      <c r="AL319" s="448"/>
      <c r="AM319" s="448"/>
      <c r="AN319" s="448"/>
      <c r="AO319" s="448"/>
      <c r="AP319" s="448"/>
      <c r="AQ319" s="448"/>
      <c r="AR319" s="448"/>
      <c r="AS319" s="448"/>
      <c r="AT319" s="448"/>
      <c r="AU319" s="448"/>
      <c r="AV319" s="448"/>
      <c r="AW319" s="448"/>
      <c r="AX319" s="448"/>
      <c r="AY319" s="448"/>
      <c r="AZ319" s="448"/>
      <c r="BA319" s="448"/>
      <c r="BB319" s="448"/>
      <c r="BC319" s="448"/>
      <c r="BD319" s="448"/>
      <c r="BE319" s="448"/>
      <c r="BF319" s="448"/>
      <c r="BG319" s="448"/>
      <c r="BH319" s="448"/>
      <c r="BI319" s="448"/>
      <c r="BJ319" s="448"/>
      <c r="BK319" s="448"/>
      <c r="BL319" s="448"/>
      <c r="BM319" s="448"/>
      <c r="BN319" s="448"/>
      <c r="BO319" s="448"/>
      <c r="BP319" s="448"/>
      <c r="BQ319" s="448"/>
      <c r="BR319" s="448"/>
      <c r="BS319" s="448"/>
      <c r="BT319" s="448"/>
      <c r="BU319" s="448"/>
      <c r="BV319" s="448"/>
      <c r="BW319" s="448"/>
      <c r="BX319" s="448"/>
      <c r="BY319" s="448"/>
      <c r="BZ319" s="448"/>
      <c r="CA319" s="448"/>
      <c r="CB319" s="448"/>
      <c r="CC319" s="448"/>
      <c r="CD319" s="448"/>
      <c r="CE319" s="448"/>
      <c r="CF319" s="448"/>
      <c r="CG319" s="448"/>
      <c r="CH319" s="448"/>
      <c r="CI319" s="448"/>
      <c r="CJ319" s="448"/>
      <c r="CK319" s="448"/>
      <c r="CL319" s="448"/>
      <c r="CM319" s="448"/>
      <c r="CN319" s="448"/>
      <c r="CO319" s="448"/>
      <c r="CP319" s="448"/>
      <c r="CQ319" s="448"/>
      <c r="CR319" s="448"/>
      <c r="CS319" s="448"/>
      <c r="CT319" s="448"/>
      <c r="CU319" s="448"/>
      <c r="CV319" s="448"/>
      <c r="CW319" s="448"/>
      <c r="CX319" s="448"/>
      <c r="CY319" s="448"/>
      <c r="CZ319" s="448"/>
      <c r="DA319" s="448"/>
      <c r="DB319" s="448"/>
      <c r="DC319" s="448"/>
      <c r="DD319" s="448"/>
      <c r="DE319" s="448"/>
      <c r="DF319" s="448"/>
      <c r="DG319" s="448"/>
      <c r="DH319" s="448"/>
      <c r="DI319" s="448"/>
      <c r="DJ319" s="448"/>
      <c r="DK319" s="448"/>
      <c r="DL319" s="448"/>
      <c r="DM319" s="448"/>
      <c r="DN319" s="448"/>
      <c r="DO319" s="448"/>
      <c r="DP319" s="448"/>
      <c r="DQ319" s="448"/>
      <c r="DR319" s="448"/>
      <c r="DS319" s="448"/>
      <c r="DT319" s="448"/>
      <c r="DU319" s="448"/>
      <c r="DV319" s="448"/>
      <c r="DW319" s="448"/>
      <c r="DX319" s="448"/>
      <c r="DY319" s="448"/>
      <c r="DZ319" s="448"/>
      <c r="EA319" s="448"/>
      <c r="EB319" s="448"/>
      <c r="EC319" s="448"/>
      <c r="ED319" s="448"/>
      <c r="EE319" s="448"/>
      <c r="EF319" s="448"/>
      <c r="EG319" s="448"/>
      <c r="EH319" s="448"/>
      <c r="EI319" s="448"/>
      <c r="EJ319" s="448"/>
      <c r="EK319" s="448"/>
      <c r="EL319" s="448"/>
      <c r="EM319" s="448"/>
      <c r="EN319" s="448"/>
      <c r="EO319" s="448"/>
      <c r="EP319" s="448"/>
      <c r="EQ319" s="448"/>
      <c r="ER319" s="448"/>
      <c r="ES319" s="448"/>
      <c r="ET319" s="448"/>
      <c r="EU319" s="448"/>
      <c r="EV319" s="448"/>
      <c r="EW319" s="448"/>
      <c r="EX319" s="448"/>
      <c r="EY319" s="448"/>
      <c r="EZ319" s="448"/>
      <c r="FA319" s="448"/>
      <c r="FB319" s="448"/>
      <c r="FC319" s="448"/>
      <c r="FD319" s="448"/>
      <c r="FE319" s="448"/>
      <c r="FF319" s="448"/>
      <c r="FG319" s="448"/>
      <c r="FH319" s="448"/>
      <c r="FI319" s="448"/>
      <c r="FJ319" s="448"/>
      <c r="FK319" s="448"/>
      <c r="FL319" s="448"/>
      <c r="FM319" s="448"/>
      <c r="FN319" s="448"/>
      <c r="FO319" s="448"/>
      <c r="FP319" s="448"/>
      <c r="FQ319" s="448"/>
      <c r="FR319" s="448"/>
      <c r="FS319" s="448"/>
      <c r="FT319" s="448"/>
      <c r="FU319" s="448"/>
      <c r="FV319" s="448"/>
      <c r="FW319" s="448"/>
      <c r="FX319" s="448"/>
      <c r="FY319" s="448"/>
      <c r="FZ319" s="448"/>
      <c r="GA319" s="448"/>
      <c r="GB319" s="448"/>
      <c r="GC319" s="448"/>
      <c r="GD319" s="448"/>
    </row>
    <row r="320" spans="1:186" s="496" customFormat="1" ht="21.75" customHeight="1">
      <c r="A320" s="535"/>
    </row>
    <row r="321" spans="1:186" s="496" customFormat="1" ht="21.75" customHeight="1">
      <c r="A321" s="535"/>
    </row>
    <row r="322" spans="1:186" s="495" customFormat="1" ht="21.75" customHeight="1">
      <c r="A322" s="539"/>
    </row>
    <row r="323" spans="1:186" s="496" customFormat="1" ht="21.75" customHeight="1">
      <c r="A323" s="535"/>
    </row>
    <row r="324" spans="1:186" s="505" customFormat="1" ht="21.75" customHeight="1">
      <c r="A324" s="546"/>
    </row>
    <row r="325" spans="1:186" s="524" customFormat="1" ht="21.75" customHeight="1">
      <c r="A325" s="479"/>
      <c r="B325" s="478"/>
      <c r="C325" s="478"/>
      <c r="D325" s="478"/>
      <c r="E325" s="478"/>
      <c r="F325" s="478"/>
      <c r="G325" s="478"/>
      <c r="H325" s="478"/>
      <c r="I325" s="478"/>
      <c r="J325" s="478"/>
      <c r="K325" s="478"/>
      <c r="L325" s="478"/>
      <c r="M325" s="478"/>
      <c r="N325" s="478"/>
      <c r="O325" s="478"/>
      <c r="P325" s="478"/>
      <c r="Q325" s="478"/>
      <c r="R325" s="478"/>
      <c r="S325" s="478"/>
      <c r="T325" s="478"/>
      <c r="U325" s="478"/>
      <c r="V325" s="478"/>
      <c r="W325" s="478"/>
      <c r="X325" s="478"/>
      <c r="Y325" s="478"/>
      <c r="Z325" s="478"/>
      <c r="AA325" s="478"/>
      <c r="AB325" s="478"/>
      <c r="AC325" s="478"/>
      <c r="AD325" s="478"/>
      <c r="AE325" s="478"/>
      <c r="AF325" s="478"/>
      <c r="AG325" s="478"/>
      <c r="AH325" s="478"/>
      <c r="AI325" s="478"/>
      <c r="AJ325" s="478"/>
      <c r="AK325" s="478"/>
      <c r="AL325" s="478"/>
      <c r="AM325" s="478"/>
      <c r="AN325" s="478"/>
      <c r="AO325" s="478"/>
      <c r="AP325" s="478"/>
      <c r="AQ325" s="478"/>
      <c r="AR325" s="478"/>
      <c r="AS325" s="478"/>
      <c r="AT325" s="478"/>
      <c r="AU325" s="478"/>
      <c r="AV325" s="478"/>
      <c r="AW325" s="478"/>
      <c r="AX325" s="478"/>
      <c r="AY325" s="478"/>
      <c r="AZ325" s="478"/>
      <c r="BA325" s="478"/>
      <c r="BB325" s="478"/>
      <c r="BC325" s="478"/>
      <c r="BD325" s="478"/>
      <c r="BE325" s="478"/>
      <c r="BF325" s="478"/>
      <c r="BG325" s="478"/>
      <c r="BH325" s="478"/>
      <c r="BI325" s="478"/>
      <c r="BJ325" s="478"/>
      <c r="BK325" s="478"/>
      <c r="BL325" s="478"/>
      <c r="BM325" s="478"/>
      <c r="BN325" s="478"/>
      <c r="BO325" s="478"/>
      <c r="BP325" s="478"/>
      <c r="BQ325" s="478"/>
      <c r="BR325" s="478"/>
      <c r="BS325" s="478"/>
      <c r="BT325" s="478"/>
      <c r="BU325" s="478"/>
      <c r="BV325" s="478"/>
      <c r="BW325" s="478"/>
      <c r="BX325" s="478"/>
      <c r="BY325" s="478"/>
      <c r="BZ325" s="478"/>
      <c r="CA325" s="478"/>
      <c r="CB325" s="478"/>
      <c r="CC325" s="478"/>
      <c r="CD325" s="478"/>
      <c r="CE325" s="478"/>
      <c r="CF325" s="478"/>
      <c r="CG325" s="478"/>
      <c r="CH325" s="478"/>
      <c r="CI325" s="478"/>
      <c r="CJ325" s="478"/>
      <c r="CK325" s="478"/>
      <c r="CL325" s="478"/>
      <c r="CM325" s="478"/>
      <c r="CN325" s="478"/>
      <c r="CO325" s="478"/>
      <c r="CP325" s="478"/>
      <c r="CQ325" s="478"/>
      <c r="CR325" s="478"/>
      <c r="CS325" s="478"/>
      <c r="CT325" s="478"/>
      <c r="CU325" s="478"/>
      <c r="CV325" s="478"/>
      <c r="CW325" s="478"/>
      <c r="CX325" s="478"/>
      <c r="CY325" s="478"/>
      <c r="CZ325" s="478"/>
      <c r="DA325" s="478"/>
      <c r="DB325" s="478"/>
      <c r="DC325" s="478"/>
      <c r="DD325" s="478"/>
      <c r="DE325" s="478"/>
      <c r="DF325" s="478"/>
      <c r="DG325" s="478"/>
      <c r="DH325" s="478"/>
      <c r="DI325" s="478"/>
      <c r="DJ325" s="478"/>
      <c r="DK325" s="478"/>
      <c r="DL325" s="478"/>
      <c r="DM325" s="478"/>
      <c r="DN325" s="478"/>
      <c r="DO325" s="478"/>
      <c r="DP325" s="478"/>
      <c r="DQ325" s="478"/>
      <c r="DR325" s="478"/>
      <c r="DS325" s="478"/>
      <c r="DT325" s="478"/>
      <c r="DU325" s="478"/>
      <c r="DV325" s="478"/>
      <c r="DW325" s="478"/>
      <c r="DX325" s="478"/>
      <c r="DY325" s="478"/>
      <c r="DZ325" s="478"/>
      <c r="EA325" s="478"/>
      <c r="EB325" s="478"/>
      <c r="EC325" s="478"/>
      <c r="ED325" s="478"/>
      <c r="EE325" s="478"/>
      <c r="EF325" s="478"/>
      <c r="EG325" s="478"/>
      <c r="EH325" s="478"/>
      <c r="EI325" s="478"/>
      <c r="EJ325" s="478"/>
      <c r="EK325" s="478"/>
      <c r="EL325" s="478"/>
      <c r="EM325" s="478"/>
      <c r="EN325" s="478"/>
      <c r="EO325" s="478"/>
      <c r="EP325" s="478"/>
      <c r="EQ325" s="478"/>
      <c r="ER325" s="478"/>
      <c r="ES325" s="478"/>
      <c r="ET325" s="478"/>
      <c r="EU325" s="478"/>
      <c r="EV325" s="478"/>
      <c r="EW325" s="478"/>
      <c r="EX325" s="478"/>
      <c r="EY325" s="478"/>
      <c r="EZ325" s="478"/>
      <c r="FA325" s="478"/>
      <c r="FB325" s="478"/>
      <c r="FC325" s="478"/>
      <c r="FD325" s="478"/>
      <c r="FE325" s="478"/>
      <c r="FF325" s="478"/>
      <c r="FG325" s="478"/>
      <c r="FH325" s="478"/>
      <c r="FI325" s="478"/>
      <c r="FJ325" s="478"/>
      <c r="FK325" s="478"/>
      <c r="FL325" s="478"/>
      <c r="FM325" s="478"/>
      <c r="FN325" s="478"/>
      <c r="FO325" s="478"/>
      <c r="FP325" s="478"/>
      <c r="FQ325" s="478"/>
      <c r="FR325" s="478"/>
      <c r="FS325" s="478"/>
      <c r="FT325" s="478"/>
      <c r="FU325" s="478"/>
      <c r="FV325" s="478"/>
      <c r="FW325" s="478"/>
      <c r="FX325" s="478"/>
      <c r="FY325" s="478"/>
      <c r="FZ325" s="478"/>
      <c r="GA325" s="478"/>
      <c r="GB325" s="478"/>
      <c r="GC325" s="478"/>
      <c r="GD325" s="478"/>
    </row>
    <row r="326" spans="1:186" s="495" customFormat="1" ht="21.75" customHeight="1">
      <c r="A326" s="449"/>
      <c r="B326" s="448"/>
      <c r="C326" s="448"/>
      <c r="D326" s="448"/>
      <c r="E326" s="448"/>
      <c r="F326" s="448"/>
      <c r="G326" s="448"/>
      <c r="H326" s="448"/>
      <c r="I326" s="448"/>
      <c r="J326" s="448"/>
      <c r="K326" s="448"/>
      <c r="L326" s="448"/>
      <c r="M326" s="448"/>
      <c r="N326" s="448"/>
      <c r="O326" s="448"/>
      <c r="P326" s="448"/>
      <c r="Q326" s="448"/>
      <c r="R326" s="448"/>
      <c r="S326" s="448"/>
      <c r="T326" s="448"/>
      <c r="U326" s="448"/>
      <c r="V326" s="448"/>
      <c r="W326" s="448"/>
      <c r="X326" s="448"/>
      <c r="Y326" s="448"/>
      <c r="Z326" s="448"/>
      <c r="AA326" s="448"/>
      <c r="AB326" s="448"/>
      <c r="AC326" s="448"/>
      <c r="AD326" s="448"/>
      <c r="AE326" s="448"/>
      <c r="AF326" s="448"/>
      <c r="AG326" s="448"/>
      <c r="AH326" s="448"/>
      <c r="AI326" s="448"/>
      <c r="AJ326" s="448"/>
      <c r="AK326" s="448"/>
      <c r="AL326" s="448"/>
      <c r="AM326" s="448"/>
      <c r="AN326" s="448"/>
      <c r="AO326" s="448"/>
      <c r="AP326" s="448"/>
      <c r="AQ326" s="448"/>
      <c r="AR326" s="448"/>
      <c r="AS326" s="448"/>
      <c r="AT326" s="448"/>
      <c r="AU326" s="448"/>
      <c r="AV326" s="448"/>
      <c r="AW326" s="448"/>
      <c r="AX326" s="448"/>
      <c r="AY326" s="448"/>
      <c r="AZ326" s="448"/>
      <c r="BA326" s="448"/>
      <c r="BB326" s="448"/>
      <c r="BC326" s="448"/>
      <c r="BD326" s="448"/>
      <c r="BE326" s="448"/>
      <c r="BF326" s="448"/>
      <c r="BG326" s="448"/>
      <c r="BH326" s="448"/>
      <c r="BI326" s="448"/>
      <c r="BJ326" s="448"/>
      <c r="BK326" s="448"/>
      <c r="BL326" s="448"/>
      <c r="BM326" s="448"/>
      <c r="BN326" s="448"/>
      <c r="BO326" s="448"/>
      <c r="BP326" s="448"/>
      <c r="BQ326" s="448"/>
      <c r="BR326" s="448"/>
      <c r="BS326" s="448"/>
      <c r="BT326" s="448"/>
      <c r="BU326" s="448"/>
      <c r="BV326" s="448"/>
      <c r="BW326" s="448"/>
      <c r="BX326" s="448"/>
      <c r="BY326" s="448"/>
      <c r="BZ326" s="448"/>
      <c r="CA326" s="448"/>
      <c r="CB326" s="448"/>
      <c r="CC326" s="448"/>
      <c r="CD326" s="448"/>
      <c r="CE326" s="448"/>
      <c r="CF326" s="448"/>
      <c r="CG326" s="448"/>
      <c r="CH326" s="448"/>
      <c r="CI326" s="448"/>
      <c r="CJ326" s="448"/>
      <c r="CK326" s="448"/>
      <c r="CL326" s="448"/>
      <c r="CM326" s="448"/>
      <c r="CN326" s="448"/>
      <c r="CO326" s="448"/>
      <c r="CP326" s="448"/>
      <c r="CQ326" s="448"/>
      <c r="CR326" s="448"/>
      <c r="CS326" s="448"/>
      <c r="CT326" s="448"/>
      <c r="CU326" s="448"/>
      <c r="CV326" s="448"/>
      <c r="CW326" s="448"/>
      <c r="CX326" s="448"/>
      <c r="CY326" s="448"/>
      <c r="CZ326" s="448"/>
      <c r="DA326" s="448"/>
      <c r="DB326" s="448"/>
      <c r="DC326" s="448"/>
      <c r="DD326" s="448"/>
      <c r="DE326" s="448"/>
      <c r="DF326" s="448"/>
      <c r="DG326" s="448"/>
      <c r="DH326" s="448"/>
      <c r="DI326" s="448"/>
      <c r="DJ326" s="448"/>
      <c r="DK326" s="448"/>
      <c r="DL326" s="448"/>
      <c r="DM326" s="448"/>
      <c r="DN326" s="448"/>
      <c r="DO326" s="448"/>
      <c r="DP326" s="448"/>
      <c r="DQ326" s="448"/>
      <c r="DR326" s="448"/>
      <c r="DS326" s="448"/>
      <c r="DT326" s="448"/>
      <c r="DU326" s="448"/>
      <c r="DV326" s="448"/>
      <c r="DW326" s="448"/>
      <c r="DX326" s="448"/>
      <c r="DY326" s="448"/>
      <c r="DZ326" s="448"/>
      <c r="EA326" s="448"/>
      <c r="EB326" s="448"/>
      <c r="EC326" s="448"/>
      <c r="ED326" s="448"/>
      <c r="EE326" s="448"/>
      <c r="EF326" s="448"/>
      <c r="EG326" s="448"/>
      <c r="EH326" s="448"/>
      <c r="EI326" s="448"/>
      <c r="EJ326" s="448"/>
      <c r="EK326" s="448"/>
      <c r="EL326" s="448"/>
      <c r="EM326" s="448"/>
      <c r="EN326" s="448"/>
      <c r="EO326" s="448"/>
      <c r="EP326" s="448"/>
      <c r="EQ326" s="448"/>
      <c r="ER326" s="448"/>
      <c r="ES326" s="448"/>
      <c r="ET326" s="448"/>
      <c r="EU326" s="448"/>
      <c r="EV326" s="448"/>
      <c r="EW326" s="448"/>
      <c r="EX326" s="448"/>
      <c r="EY326" s="448"/>
      <c r="EZ326" s="448"/>
      <c r="FA326" s="448"/>
      <c r="FB326" s="448"/>
      <c r="FC326" s="448"/>
      <c r="FD326" s="448"/>
      <c r="FE326" s="448"/>
      <c r="FF326" s="448"/>
      <c r="FG326" s="448"/>
      <c r="FH326" s="448"/>
      <c r="FI326" s="448"/>
      <c r="FJ326" s="448"/>
      <c r="FK326" s="448"/>
      <c r="FL326" s="448"/>
      <c r="FM326" s="448"/>
      <c r="FN326" s="448"/>
      <c r="FO326" s="448"/>
      <c r="FP326" s="448"/>
      <c r="FQ326" s="448"/>
      <c r="FR326" s="448"/>
      <c r="FS326" s="448"/>
      <c r="FT326" s="448"/>
      <c r="FU326" s="448"/>
      <c r="FV326" s="448"/>
      <c r="FW326" s="448"/>
      <c r="FX326" s="448"/>
      <c r="FY326" s="448"/>
      <c r="FZ326" s="448"/>
      <c r="GA326" s="448"/>
      <c r="GB326" s="448"/>
      <c r="GC326" s="448"/>
      <c r="GD326" s="448"/>
    </row>
    <row r="327" spans="1:186" s="496" customFormat="1" ht="21.75" customHeight="1">
      <c r="A327" s="535"/>
    </row>
    <row r="328" spans="1:186" ht="21.75" customHeight="1">
      <c r="A328" s="194"/>
      <c r="B328" s="6"/>
      <c r="C328" s="6"/>
      <c r="D328" s="6"/>
      <c r="E328" s="6"/>
      <c r="F328" s="6"/>
      <c r="G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O328" s="6"/>
      <c r="AP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</row>
    <row r="329" spans="1:186" s="497" customFormat="1" ht="21.75" customHeight="1">
      <c r="A329" s="533"/>
    </row>
    <row r="330" spans="1:186" s="541" customFormat="1" ht="21.75" customHeight="1">
      <c r="A330" s="525"/>
      <c r="B330" s="526"/>
      <c r="C330" s="526"/>
      <c r="D330" s="526"/>
      <c r="E330" s="526"/>
      <c r="F330" s="526"/>
      <c r="G330" s="526"/>
      <c r="H330" s="526"/>
      <c r="I330" s="526"/>
      <c r="J330" s="526"/>
      <c r="K330" s="526"/>
      <c r="L330" s="526"/>
      <c r="M330" s="526"/>
      <c r="N330" s="526"/>
      <c r="O330" s="526"/>
      <c r="P330" s="526"/>
      <c r="Q330" s="526"/>
      <c r="R330" s="526"/>
      <c r="S330" s="526"/>
      <c r="T330" s="526"/>
      <c r="U330" s="526"/>
      <c r="V330" s="526"/>
      <c r="W330" s="526"/>
      <c r="X330" s="526"/>
      <c r="Y330" s="526"/>
      <c r="Z330" s="526"/>
      <c r="AA330" s="526"/>
      <c r="AB330" s="526"/>
      <c r="AC330" s="526"/>
      <c r="AD330" s="526"/>
      <c r="AE330" s="526"/>
      <c r="AF330" s="526"/>
      <c r="AG330" s="526"/>
      <c r="AH330" s="526"/>
      <c r="AI330" s="526"/>
      <c r="AJ330" s="526"/>
      <c r="AK330" s="526"/>
      <c r="AL330" s="526"/>
      <c r="AM330" s="526"/>
      <c r="AN330" s="526"/>
      <c r="AO330" s="526"/>
      <c r="AP330" s="526"/>
      <c r="AQ330" s="526"/>
      <c r="AR330" s="526"/>
      <c r="AS330" s="526"/>
      <c r="AT330" s="526"/>
      <c r="AU330" s="526"/>
      <c r="AV330" s="526"/>
      <c r="AW330" s="526"/>
      <c r="AX330" s="526"/>
      <c r="AY330" s="526"/>
      <c r="AZ330" s="526"/>
      <c r="BA330" s="526"/>
      <c r="BB330" s="526"/>
      <c r="BC330" s="526"/>
      <c r="BD330" s="526"/>
      <c r="BE330" s="526"/>
      <c r="BF330" s="526"/>
      <c r="BG330" s="526"/>
      <c r="BH330" s="526"/>
      <c r="BI330" s="526"/>
      <c r="BJ330" s="526"/>
      <c r="BK330" s="526"/>
      <c r="BL330" s="526"/>
      <c r="BM330" s="526"/>
      <c r="BN330" s="526"/>
      <c r="BO330" s="526"/>
      <c r="BP330" s="526"/>
      <c r="BQ330" s="526"/>
      <c r="BR330" s="526"/>
      <c r="BS330" s="526"/>
      <c r="BT330" s="526"/>
      <c r="BU330" s="526"/>
      <c r="BV330" s="526"/>
      <c r="BW330" s="526"/>
      <c r="BX330" s="526"/>
      <c r="BY330" s="526"/>
      <c r="BZ330" s="526"/>
      <c r="CA330" s="526"/>
      <c r="CB330" s="526"/>
      <c r="CC330" s="526"/>
      <c r="CD330" s="526"/>
      <c r="CE330" s="526"/>
      <c r="CF330" s="526"/>
      <c r="CG330" s="526"/>
      <c r="CH330" s="526"/>
      <c r="CI330" s="526"/>
      <c r="CJ330" s="526"/>
      <c r="CK330" s="526"/>
      <c r="CL330" s="526"/>
      <c r="CM330" s="526"/>
      <c r="CN330" s="526"/>
      <c r="CO330" s="526"/>
      <c r="CP330" s="526"/>
      <c r="CQ330" s="526"/>
      <c r="CR330" s="526"/>
      <c r="CS330" s="526"/>
      <c r="CT330" s="526"/>
      <c r="CU330" s="526"/>
      <c r="CV330" s="526"/>
      <c r="CW330" s="526"/>
      <c r="CX330" s="526"/>
      <c r="CY330" s="526"/>
      <c r="CZ330" s="526"/>
      <c r="DA330" s="526"/>
      <c r="DB330" s="526"/>
      <c r="DC330" s="526"/>
      <c r="DD330" s="526"/>
      <c r="DE330" s="526"/>
      <c r="DF330" s="526"/>
      <c r="DG330" s="526"/>
      <c r="DH330" s="526"/>
      <c r="DI330" s="526"/>
      <c r="DJ330" s="526"/>
      <c r="DK330" s="526"/>
      <c r="DL330" s="526"/>
      <c r="DM330" s="526"/>
      <c r="DN330" s="526"/>
      <c r="DO330" s="526"/>
      <c r="DP330" s="526"/>
      <c r="DQ330" s="526"/>
      <c r="DR330" s="526"/>
      <c r="DS330" s="526"/>
      <c r="DT330" s="526"/>
      <c r="DU330" s="526"/>
      <c r="DV330" s="526"/>
      <c r="DW330" s="526"/>
      <c r="DX330" s="526"/>
      <c r="DY330" s="526"/>
      <c r="DZ330" s="526"/>
      <c r="EA330" s="526"/>
      <c r="EB330" s="526"/>
      <c r="EC330" s="526"/>
      <c r="ED330" s="526"/>
      <c r="EE330" s="526"/>
      <c r="EF330" s="526"/>
      <c r="EG330" s="526"/>
      <c r="EH330" s="526"/>
      <c r="EI330" s="526"/>
      <c r="EJ330" s="526"/>
      <c r="EK330" s="526"/>
      <c r="EL330" s="526"/>
      <c r="EM330" s="526"/>
      <c r="EN330" s="526"/>
      <c r="EO330" s="526"/>
      <c r="EP330" s="526"/>
      <c r="EQ330" s="526"/>
      <c r="ER330" s="526"/>
      <c r="ES330" s="526"/>
      <c r="ET330" s="526"/>
      <c r="EU330" s="526"/>
      <c r="EV330" s="526"/>
      <c r="EW330" s="526"/>
      <c r="EX330" s="526"/>
      <c r="EY330" s="526"/>
      <c r="EZ330" s="526"/>
      <c r="FA330" s="526"/>
      <c r="FB330" s="526"/>
      <c r="FC330" s="526"/>
      <c r="FD330" s="526"/>
      <c r="FE330" s="526"/>
      <c r="FF330" s="526"/>
      <c r="FG330" s="526"/>
      <c r="FH330" s="526"/>
      <c r="FI330" s="526"/>
      <c r="FJ330" s="526"/>
      <c r="FK330" s="526"/>
      <c r="FL330" s="526"/>
      <c r="FM330" s="526"/>
      <c r="FN330" s="526"/>
      <c r="FO330" s="526"/>
      <c r="FP330" s="526"/>
      <c r="FQ330" s="526"/>
      <c r="FR330" s="526"/>
      <c r="FS330" s="526"/>
      <c r="FT330" s="526"/>
      <c r="FU330" s="526"/>
      <c r="FV330" s="526"/>
      <c r="FW330" s="526"/>
      <c r="FX330" s="526"/>
      <c r="FY330" s="526"/>
      <c r="FZ330" s="526"/>
      <c r="GA330" s="526"/>
      <c r="GB330" s="526"/>
      <c r="GC330" s="526"/>
      <c r="GD330" s="526"/>
    </row>
    <row r="331" spans="1:186" s="495" customFormat="1" ht="21.75" customHeight="1">
      <c r="A331" s="539"/>
    </row>
    <row r="332" spans="1:186" s="496" customFormat="1" ht="21.75" customHeight="1">
      <c r="A332" s="535"/>
    </row>
    <row r="333" spans="1:186" s="496" customFormat="1" ht="21.75" customHeight="1">
      <c r="A333" s="535"/>
    </row>
    <row r="334" spans="1:186" s="542" customFormat="1" ht="21.75" customHeight="1">
      <c r="A334" s="544"/>
    </row>
    <row r="335" spans="1:186" s="500" customFormat="1" ht="21.75" customHeight="1">
      <c r="A335" s="552"/>
    </row>
    <row r="336" spans="1:186" s="497" customFormat="1" ht="21.75" customHeight="1">
      <c r="A336" s="533"/>
    </row>
    <row r="337" spans="1:78" s="496" customFormat="1" ht="21.75" customHeight="1">
      <c r="A337" s="535"/>
    </row>
    <row r="338" spans="1:78" s="496" customFormat="1" ht="21.75" customHeight="1">
      <c r="A338" s="535"/>
    </row>
    <row r="339" spans="1:78" s="542" customFormat="1" ht="21.75" customHeight="1">
      <c r="A339" s="544"/>
    </row>
    <row r="340" spans="1:78" s="501" customFormat="1" ht="21.75" customHeight="1">
      <c r="A340" s="534"/>
    </row>
    <row r="341" spans="1:78" s="495" customFormat="1" ht="21.75" customHeight="1">
      <c r="A341" s="539"/>
    </row>
    <row r="342" spans="1:78" s="496" customFormat="1" ht="21.75" customHeight="1">
      <c r="A342" s="535"/>
    </row>
    <row r="343" spans="1:78" s="497" customFormat="1" ht="21.75" customHeight="1">
      <c r="A343" s="533"/>
    </row>
    <row r="344" spans="1:78" s="501" customFormat="1" ht="21.75" customHeight="1">
      <c r="A344" s="534"/>
    </row>
    <row r="345" spans="1:78" s="448" customFormat="1" ht="21.75" customHeight="1">
      <c r="A345" s="449"/>
    </row>
    <row r="346" spans="1:78" s="496" customFormat="1" ht="21.75" customHeight="1">
      <c r="A346" s="535"/>
    </row>
    <row r="347" spans="1:78" s="468" customFormat="1" ht="21.75" customHeight="1">
      <c r="A347" s="469"/>
    </row>
    <row r="348" spans="1:78" s="495" customFormat="1" ht="21.75" customHeight="1">
      <c r="A348" s="539"/>
    </row>
    <row r="349" spans="1:78" ht="21.75" customHeight="1">
      <c r="A349" s="194"/>
      <c r="B349" s="6"/>
      <c r="C349" s="6"/>
      <c r="D349" s="6"/>
      <c r="E349" s="6"/>
      <c r="F349" s="6"/>
      <c r="G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O349" s="6"/>
      <c r="AP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</row>
    <row r="350" spans="1:78" s="500" customFormat="1" ht="21.75" customHeight="1">
      <c r="A350" s="552"/>
    </row>
    <row r="351" spans="1:78" s="496" customFormat="1" ht="21.75" customHeight="1">
      <c r="A351" s="535"/>
    </row>
    <row r="352" spans="1:78" s="495" customFormat="1" ht="21.75" customHeight="1"/>
    <row r="353" spans="1:186" s="496" customFormat="1" ht="21.75" customHeight="1">
      <c r="A353" s="535"/>
    </row>
    <row r="354" spans="1:186" s="496" customFormat="1" ht="21.75" customHeight="1">
      <c r="A354" s="535"/>
    </row>
    <row r="355" spans="1:186" s="496" customFormat="1" ht="21.75" customHeight="1">
      <c r="A355" s="535"/>
    </row>
    <row r="356" spans="1:186" s="504" customFormat="1" ht="21.75" customHeight="1">
      <c r="A356" s="553"/>
    </row>
    <row r="357" spans="1:186" s="497" customFormat="1" ht="21.75" customHeight="1">
      <c r="A357" s="533"/>
    </row>
    <row r="358" spans="1:186" s="501" customFormat="1" ht="21.75" customHeight="1">
      <c r="A358" s="534"/>
    </row>
    <row r="359" spans="1:186" s="495" customFormat="1" ht="21.75" customHeight="1">
      <c r="A359" s="539"/>
    </row>
    <row r="360" spans="1:186" s="505" customFormat="1" ht="21.75" customHeight="1">
      <c r="A360" s="546"/>
    </row>
    <row r="361" spans="1:186" s="496" customFormat="1" ht="21.75" customHeight="1">
      <c r="A361" s="535"/>
    </row>
    <row r="362" spans="1:186" s="495" customFormat="1" ht="21.75" customHeight="1">
      <c r="A362" s="539"/>
    </row>
    <row r="363" spans="1:186" s="496" customFormat="1" ht="21.75" customHeight="1">
      <c r="A363" s="535"/>
    </row>
    <row r="364" spans="1:186" s="496" customFormat="1" ht="21.75" customHeight="1">
      <c r="A364" s="194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</row>
    <row r="365" spans="1:186" s="497" customFormat="1" ht="21.75" customHeight="1">
      <c r="A365" s="533"/>
    </row>
    <row r="366" spans="1:186" s="500" customFormat="1" ht="21.75" customHeight="1">
      <c r="A366" s="552"/>
    </row>
    <row r="367" spans="1:186" s="497" customFormat="1" ht="21.75" customHeight="1">
      <c r="A367" s="451"/>
      <c r="B367" s="450"/>
      <c r="C367" s="450"/>
      <c r="D367" s="450"/>
      <c r="E367" s="450"/>
      <c r="F367" s="450"/>
      <c r="G367" s="450"/>
      <c r="H367" s="450"/>
      <c r="I367" s="450"/>
      <c r="J367" s="450"/>
      <c r="K367" s="450"/>
      <c r="L367" s="450"/>
      <c r="M367" s="450"/>
      <c r="N367" s="450"/>
      <c r="O367" s="450"/>
      <c r="P367" s="450"/>
      <c r="Q367" s="450"/>
      <c r="R367" s="450"/>
      <c r="S367" s="450"/>
      <c r="T367" s="450"/>
      <c r="U367" s="450"/>
      <c r="V367" s="450"/>
      <c r="W367" s="450"/>
      <c r="X367" s="450"/>
      <c r="Y367" s="450"/>
      <c r="Z367" s="450"/>
      <c r="AA367" s="450"/>
      <c r="AB367" s="450"/>
      <c r="AC367" s="450"/>
      <c r="AD367" s="450"/>
      <c r="AE367" s="450"/>
      <c r="AF367" s="450"/>
      <c r="AG367" s="450"/>
      <c r="AH367" s="450"/>
      <c r="AI367" s="450"/>
      <c r="AJ367" s="450"/>
      <c r="AK367" s="450"/>
      <c r="AL367" s="450"/>
      <c r="AM367" s="450"/>
      <c r="AN367" s="450"/>
      <c r="AO367" s="450"/>
      <c r="AP367" s="450"/>
      <c r="AQ367" s="450"/>
      <c r="AR367" s="450"/>
      <c r="AS367" s="450"/>
      <c r="AT367" s="450"/>
      <c r="AU367" s="450"/>
      <c r="AV367" s="450"/>
      <c r="AW367" s="450"/>
      <c r="AX367" s="450"/>
      <c r="AY367" s="450"/>
      <c r="AZ367" s="450"/>
      <c r="BA367" s="450"/>
      <c r="BB367" s="450"/>
      <c r="BC367" s="450"/>
      <c r="BD367" s="450"/>
      <c r="BE367" s="450"/>
      <c r="BF367" s="450"/>
      <c r="BG367" s="450"/>
      <c r="BH367" s="450"/>
      <c r="BI367" s="450"/>
      <c r="BJ367" s="450"/>
      <c r="BK367" s="450"/>
      <c r="BL367" s="450"/>
      <c r="BM367" s="450"/>
      <c r="BN367" s="450"/>
      <c r="BO367" s="450"/>
      <c r="BP367" s="450"/>
      <c r="BQ367" s="450"/>
      <c r="BR367" s="450"/>
      <c r="BS367" s="450"/>
      <c r="BT367" s="450"/>
      <c r="BU367" s="450"/>
      <c r="BV367" s="450"/>
      <c r="BW367" s="450"/>
      <c r="BX367" s="450"/>
      <c r="BY367" s="450"/>
      <c r="BZ367" s="450"/>
      <c r="CA367" s="450"/>
      <c r="CB367" s="450"/>
      <c r="CC367" s="450"/>
      <c r="CD367" s="450"/>
      <c r="CE367" s="450"/>
      <c r="CF367" s="450"/>
      <c r="CG367" s="450"/>
      <c r="CH367" s="450"/>
      <c r="CI367" s="450"/>
      <c r="CJ367" s="450"/>
      <c r="CK367" s="450"/>
      <c r="CL367" s="450"/>
      <c r="CM367" s="450"/>
      <c r="CN367" s="450"/>
      <c r="CO367" s="450"/>
      <c r="CP367" s="450"/>
      <c r="CQ367" s="450"/>
      <c r="CR367" s="450"/>
      <c r="CS367" s="450"/>
      <c r="CT367" s="450"/>
      <c r="CU367" s="450"/>
      <c r="CV367" s="450"/>
      <c r="CW367" s="450"/>
      <c r="CX367" s="450"/>
      <c r="CY367" s="450"/>
      <c r="CZ367" s="450"/>
      <c r="DA367" s="450"/>
      <c r="DB367" s="450"/>
      <c r="DC367" s="450"/>
      <c r="DD367" s="450"/>
      <c r="DE367" s="450"/>
      <c r="DF367" s="450"/>
      <c r="DG367" s="450"/>
      <c r="DH367" s="450"/>
      <c r="DI367" s="450"/>
      <c r="DJ367" s="450"/>
      <c r="DK367" s="450"/>
      <c r="DL367" s="450"/>
      <c r="DM367" s="450"/>
      <c r="DN367" s="450"/>
      <c r="DO367" s="450"/>
      <c r="DP367" s="450"/>
      <c r="DQ367" s="450"/>
      <c r="DR367" s="450"/>
      <c r="DS367" s="450"/>
      <c r="DT367" s="450"/>
      <c r="DU367" s="450"/>
      <c r="DV367" s="450"/>
      <c r="DW367" s="450"/>
      <c r="DX367" s="450"/>
      <c r="DY367" s="450"/>
      <c r="DZ367" s="450"/>
      <c r="EA367" s="450"/>
      <c r="EB367" s="450"/>
      <c r="EC367" s="450"/>
      <c r="ED367" s="450"/>
      <c r="EE367" s="450"/>
      <c r="EF367" s="450"/>
      <c r="EG367" s="450"/>
      <c r="EH367" s="450"/>
      <c r="EI367" s="450"/>
      <c r="EJ367" s="450"/>
      <c r="EK367" s="450"/>
      <c r="EL367" s="450"/>
      <c r="EM367" s="450"/>
      <c r="EN367" s="450"/>
      <c r="EO367" s="450"/>
      <c r="EP367" s="450"/>
      <c r="EQ367" s="450"/>
      <c r="ER367" s="450"/>
      <c r="ES367" s="450"/>
      <c r="ET367" s="450"/>
      <c r="EU367" s="450"/>
      <c r="EV367" s="450"/>
      <c r="EW367" s="450"/>
      <c r="EX367" s="450"/>
      <c r="EY367" s="450"/>
      <c r="EZ367" s="450"/>
      <c r="FA367" s="450"/>
      <c r="FB367" s="450"/>
      <c r="FC367" s="450"/>
      <c r="FD367" s="450"/>
      <c r="FE367" s="450"/>
      <c r="FF367" s="450"/>
      <c r="FG367" s="450"/>
      <c r="FH367" s="450"/>
      <c r="FI367" s="450"/>
      <c r="FJ367" s="450"/>
      <c r="FK367" s="450"/>
      <c r="FL367" s="450"/>
      <c r="FM367" s="450"/>
      <c r="FN367" s="450"/>
      <c r="FO367" s="450"/>
      <c r="FP367" s="450"/>
      <c r="FQ367" s="450"/>
      <c r="FR367" s="450"/>
      <c r="FS367" s="450"/>
      <c r="FT367" s="450"/>
      <c r="FU367" s="450"/>
      <c r="FV367" s="450"/>
      <c r="FW367" s="450"/>
      <c r="FX367" s="450"/>
      <c r="FY367" s="450"/>
      <c r="FZ367" s="450"/>
      <c r="GA367" s="450"/>
      <c r="GB367" s="450"/>
      <c r="GC367" s="450"/>
      <c r="GD367" s="450"/>
    </row>
    <row r="368" spans="1:186" s="495" customFormat="1" ht="21.75" customHeight="1">
      <c r="A368" s="539"/>
    </row>
    <row r="369" spans="1:186" s="497" customFormat="1" ht="21.75" customHeight="1">
      <c r="A369" s="533"/>
    </row>
    <row r="370" spans="1:186" s="495" customFormat="1" ht="21.75" customHeight="1">
      <c r="A370" s="539"/>
    </row>
    <row r="371" spans="1:186" s="496" customFormat="1" ht="21.75" customHeight="1">
      <c r="A371" s="194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</row>
    <row r="372" spans="1:186" ht="21.75" customHeight="1">
      <c r="A372" s="194"/>
      <c r="B372" s="6"/>
      <c r="C372" s="6"/>
      <c r="D372" s="6"/>
      <c r="E372" s="6"/>
      <c r="F372" s="6"/>
      <c r="G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O372" s="6"/>
      <c r="AP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</row>
    <row r="373" spans="1:186" s="496" customFormat="1" ht="21.75" customHeight="1">
      <c r="A373" s="535"/>
    </row>
    <row r="374" spans="1:186" s="496" customFormat="1" ht="21.75" customHeight="1">
      <c r="A374" s="535"/>
    </row>
    <row r="375" spans="1:186" s="448" customFormat="1" ht="21.75" customHeight="1">
      <c r="A375" s="449"/>
    </row>
    <row r="376" spans="1:186" s="505" customFormat="1" ht="21.75" customHeight="1">
      <c r="A376" s="546"/>
    </row>
    <row r="377" spans="1:186" s="496" customFormat="1" ht="21.75" customHeight="1">
      <c r="A377" s="535"/>
    </row>
    <row r="378" spans="1:186" s="497" customFormat="1" ht="21.75" customHeight="1">
      <c r="A378" s="533"/>
    </row>
    <row r="379" spans="1:186" s="495" customFormat="1" ht="21.75" customHeight="1">
      <c r="A379" s="539"/>
    </row>
    <row r="380" spans="1:186" s="496" customFormat="1" ht="21.75" customHeight="1">
      <c r="A380" s="535"/>
    </row>
    <row r="381" spans="1:186" s="496" customFormat="1" ht="21.75" customHeight="1">
      <c r="A381" s="535"/>
    </row>
    <row r="382" spans="1:186" s="497" customFormat="1" ht="21.75" customHeight="1">
      <c r="A382" s="533"/>
    </row>
    <row r="383" spans="1:186" s="504" customFormat="1" ht="21.75" customHeight="1">
      <c r="A383" s="553"/>
    </row>
    <row r="384" spans="1:186" s="497" customFormat="1" ht="21.75" customHeight="1">
      <c r="A384" s="533"/>
    </row>
    <row r="385" spans="1:186" s="495" customFormat="1" ht="21.75" customHeight="1">
      <c r="A385" s="539"/>
    </row>
    <row r="386" spans="1:186" s="496" customFormat="1" ht="21.75" customHeight="1">
      <c r="A386" s="194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</row>
    <row r="387" spans="1:186" s="496" customFormat="1" ht="21.75" customHeight="1">
      <c r="A387" s="535"/>
    </row>
    <row r="388" spans="1:186" ht="21.75" customHeight="1">
      <c r="A388" s="194"/>
      <c r="B388" s="6"/>
      <c r="C388" s="6"/>
      <c r="D388" s="6"/>
      <c r="E388" s="6"/>
      <c r="F388" s="6"/>
      <c r="G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O388" s="6"/>
      <c r="AP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</row>
    <row r="389" spans="1:186" s="448" customFormat="1" ht="21.75" customHeight="1">
      <c r="A389" s="449"/>
    </row>
    <row r="390" spans="1:186" ht="21.75" customHeight="1">
      <c r="A390" s="194"/>
      <c r="B390" s="6"/>
      <c r="C390" s="6"/>
      <c r="D390" s="6"/>
      <c r="E390" s="6"/>
      <c r="F390" s="6"/>
      <c r="G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O390" s="6"/>
      <c r="AP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</row>
    <row r="391" spans="1:186" s="505" customFormat="1" ht="21.75" customHeight="1">
      <c r="A391" s="546"/>
    </row>
    <row r="392" spans="1:186" s="496" customFormat="1" ht="21.75" customHeight="1">
      <c r="A392" s="535"/>
    </row>
    <row r="393" spans="1:186" s="496" customFormat="1" ht="21.75" customHeight="1">
      <c r="A393" s="535"/>
    </row>
    <row r="394" spans="1:186" s="496" customFormat="1" ht="21.75" customHeight="1">
      <c r="A394" s="535"/>
    </row>
    <row r="395" spans="1:186" s="496" customFormat="1" ht="21.75" customHeight="1">
      <c r="A395" s="535"/>
    </row>
    <row r="396" spans="1:186" s="450" customFormat="1" ht="21.75" customHeight="1">
      <c r="A396" s="451"/>
    </row>
    <row r="397" spans="1:186" s="495" customFormat="1" ht="21.75" customHeight="1">
      <c r="A397" s="539"/>
    </row>
    <row r="398" spans="1:186" s="497" customFormat="1" ht="21.75" customHeight="1">
      <c r="A398" s="533"/>
    </row>
    <row r="399" spans="1:186" s="495" customFormat="1" ht="21.75" customHeight="1">
      <c r="A399" s="539"/>
    </row>
    <row r="400" spans="1:186" s="496" customFormat="1" ht="21.75" customHeight="1">
      <c r="A400" s="535"/>
    </row>
    <row r="401" spans="1:186" s="504" customFormat="1" ht="21.75" customHeight="1">
      <c r="A401" s="477"/>
      <c r="B401" s="476"/>
      <c r="C401" s="476"/>
      <c r="D401" s="476"/>
      <c r="E401" s="476"/>
      <c r="F401" s="476"/>
      <c r="G401" s="476"/>
      <c r="H401" s="476"/>
      <c r="I401" s="476"/>
      <c r="J401" s="476"/>
      <c r="K401" s="476"/>
      <c r="L401" s="476"/>
      <c r="M401" s="476"/>
      <c r="N401" s="476"/>
      <c r="O401" s="476"/>
      <c r="P401" s="476"/>
      <c r="Q401" s="476"/>
      <c r="R401" s="476"/>
      <c r="S401" s="476"/>
      <c r="T401" s="476"/>
      <c r="U401" s="476"/>
      <c r="V401" s="476"/>
      <c r="W401" s="476"/>
      <c r="X401" s="476"/>
      <c r="Y401" s="476"/>
      <c r="Z401" s="476"/>
      <c r="AA401" s="476"/>
      <c r="AB401" s="476"/>
      <c r="AC401" s="476"/>
      <c r="AD401" s="476"/>
      <c r="AE401" s="476"/>
      <c r="AF401" s="476"/>
      <c r="AG401" s="476"/>
      <c r="AH401" s="476"/>
      <c r="AI401" s="476"/>
      <c r="AJ401" s="476"/>
      <c r="AK401" s="476"/>
      <c r="AL401" s="476"/>
      <c r="AM401" s="476"/>
      <c r="AN401" s="476"/>
      <c r="AO401" s="476"/>
      <c r="AP401" s="476"/>
      <c r="AQ401" s="476"/>
      <c r="AR401" s="476"/>
      <c r="AS401" s="476"/>
      <c r="AT401" s="476"/>
      <c r="AU401" s="476"/>
      <c r="AV401" s="476"/>
      <c r="AW401" s="476"/>
      <c r="AX401" s="476"/>
      <c r="AY401" s="476"/>
      <c r="AZ401" s="476"/>
      <c r="BA401" s="476"/>
      <c r="BB401" s="476"/>
      <c r="BC401" s="476"/>
      <c r="BD401" s="476"/>
      <c r="BE401" s="476"/>
      <c r="BF401" s="476"/>
      <c r="BG401" s="476"/>
      <c r="BH401" s="476"/>
      <c r="BI401" s="476"/>
      <c r="BJ401" s="476"/>
      <c r="BK401" s="476"/>
      <c r="BL401" s="476"/>
      <c r="BM401" s="476"/>
      <c r="BN401" s="476"/>
      <c r="BO401" s="476"/>
      <c r="BP401" s="476"/>
      <c r="BQ401" s="476"/>
      <c r="BR401" s="476"/>
      <c r="BS401" s="476"/>
      <c r="BT401" s="476"/>
      <c r="BU401" s="476"/>
      <c r="BV401" s="476"/>
      <c r="BW401" s="476"/>
      <c r="BX401" s="476"/>
      <c r="BY401" s="476"/>
      <c r="BZ401" s="476"/>
      <c r="CA401" s="476"/>
      <c r="CB401" s="476"/>
      <c r="CC401" s="476"/>
      <c r="CD401" s="476"/>
      <c r="CE401" s="476"/>
      <c r="CF401" s="476"/>
      <c r="CG401" s="476"/>
      <c r="CH401" s="476"/>
      <c r="CI401" s="476"/>
      <c r="CJ401" s="476"/>
      <c r="CK401" s="476"/>
      <c r="CL401" s="476"/>
      <c r="CM401" s="476"/>
      <c r="CN401" s="476"/>
      <c r="CO401" s="476"/>
      <c r="CP401" s="476"/>
      <c r="CQ401" s="476"/>
      <c r="CR401" s="476"/>
      <c r="CS401" s="476"/>
      <c r="CT401" s="476"/>
      <c r="CU401" s="476"/>
      <c r="CV401" s="476"/>
      <c r="CW401" s="476"/>
      <c r="CX401" s="476"/>
      <c r="CY401" s="476"/>
      <c r="CZ401" s="476"/>
      <c r="DA401" s="476"/>
      <c r="DB401" s="476"/>
      <c r="DC401" s="476"/>
      <c r="DD401" s="476"/>
      <c r="DE401" s="476"/>
      <c r="DF401" s="476"/>
      <c r="DG401" s="476"/>
      <c r="DH401" s="476"/>
      <c r="DI401" s="476"/>
      <c r="DJ401" s="476"/>
      <c r="DK401" s="476"/>
      <c r="DL401" s="476"/>
      <c r="DM401" s="476"/>
      <c r="DN401" s="476"/>
      <c r="DO401" s="476"/>
      <c r="DP401" s="476"/>
      <c r="DQ401" s="476"/>
      <c r="DR401" s="476"/>
      <c r="DS401" s="476"/>
      <c r="DT401" s="476"/>
      <c r="DU401" s="476"/>
      <c r="DV401" s="476"/>
      <c r="DW401" s="476"/>
      <c r="DX401" s="476"/>
      <c r="DY401" s="476"/>
      <c r="DZ401" s="476"/>
      <c r="EA401" s="476"/>
      <c r="EB401" s="476"/>
      <c r="EC401" s="476"/>
      <c r="ED401" s="476"/>
      <c r="EE401" s="476"/>
      <c r="EF401" s="476"/>
      <c r="EG401" s="476"/>
      <c r="EH401" s="476"/>
      <c r="EI401" s="476"/>
      <c r="EJ401" s="476"/>
      <c r="EK401" s="476"/>
      <c r="EL401" s="476"/>
      <c r="EM401" s="476"/>
      <c r="EN401" s="476"/>
      <c r="EO401" s="476"/>
      <c r="EP401" s="476"/>
      <c r="EQ401" s="476"/>
      <c r="ER401" s="476"/>
      <c r="ES401" s="476"/>
      <c r="ET401" s="476"/>
      <c r="EU401" s="476"/>
      <c r="EV401" s="476"/>
      <c r="EW401" s="476"/>
      <c r="EX401" s="476"/>
      <c r="EY401" s="476"/>
      <c r="EZ401" s="476"/>
      <c r="FA401" s="476"/>
      <c r="FB401" s="476"/>
      <c r="FC401" s="476"/>
      <c r="FD401" s="476"/>
      <c r="FE401" s="476"/>
      <c r="FF401" s="476"/>
      <c r="FG401" s="476"/>
      <c r="FH401" s="476"/>
      <c r="FI401" s="476"/>
      <c r="FJ401" s="476"/>
      <c r="FK401" s="476"/>
      <c r="FL401" s="476"/>
      <c r="FM401" s="476"/>
      <c r="FN401" s="476"/>
      <c r="FO401" s="476"/>
      <c r="FP401" s="476"/>
      <c r="FQ401" s="476"/>
      <c r="FR401" s="476"/>
      <c r="FS401" s="476"/>
      <c r="FT401" s="476"/>
      <c r="FU401" s="476"/>
      <c r="FV401" s="476"/>
      <c r="FW401" s="476"/>
      <c r="FX401" s="476"/>
      <c r="FY401" s="476"/>
      <c r="FZ401" s="476"/>
      <c r="GA401" s="476"/>
      <c r="GB401" s="476"/>
      <c r="GC401" s="476"/>
      <c r="GD401" s="476"/>
    </row>
    <row r="402" spans="1:186" s="499" customFormat="1" ht="21.75" customHeight="1">
      <c r="A402" s="543"/>
    </row>
    <row r="403" spans="1:186" s="496" customFormat="1" ht="21.75" customHeight="1">
      <c r="A403" s="535"/>
    </row>
    <row r="404" spans="1:186" s="496" customFormat="1" ht="21.75" customHeight="1">
      <c r="A404" s="535"/>
    </row>
    <row r="405" spans="1:186" s="496" customFormat="1" ht="21.75" customHeight="1">
      <c r="A405" s="535"/>
    </row>
    <row r="406" spans="1:186" s="496" customFormat="1" ht="21.75" customHeight="1">
      <c r="A406" s="535"/>
    </row>
    <row r="407" spans="1:186" s="495" customFormat="1" ht="21.75" customHeight="1">
      <c r="A407" s="449"/>
      <c r="B407" s="448"/>
      <c r="C407" s="448"/>
      <c r="D407" s="448"/>
      <c r="E407" s="448"/>
      <c r="F407" s="448"/>
      <c r="G407" s="448"/>
      <c r="H407" s="448"/>
      <c r="I407" s="448"/>
      <c r="J407" s="448"/>
      <c r="K407" s="448"/>
      <c r="L407" s="448"/>
      <c r="M407" s="448"/>
      <c r="N407" s="448"/>
      <c r="O407" s="448"/>
      <c r="P407" s="448"/>
      <c r="Q407" s="448"/>
      <c r="R407" s="448"/>
      <c r="S407" s="448"/>
      <c r="T407" s="448"/>
      <c r="U407" s="448"/>
      <c r="V407" s="448"/>
      <c r="W407" s="448"/>
      <c r="X407" s="448"/>
      <c r="Y407" s="448"/>
      <c r="Z407" s="448"/>
      <c r="AA407" s="448"/>
      <c r="AB407" s="448"/>
      <c r="AC407" s="448"/>
      <c r="AD407" s="448"/>
      <c r="AE407" s="448"/>
      <c r="AF407" s="448"/>
      <c r="AG407" s="448"/>
      <c r="AH407" s="448"/>
      <c r="AI407" s="448"/>
      <c r="AJ407" s="448"/>
      <c r="AK407" s="448"/>
      <c r="AL407" s="448"/>
      <c r="AM407" s="448"/>
      <c r="AN407" s="448"/>
      <c r="AO407" s="448"/>
      <c r="AP407" s="448"/>
      <c r="AQ407" s="448"/>
      <c r="AR407" s="448"/>
      <c r="AS407" s="448"/>
      <c r="AT407" s="448"/>
      <c r="AU407" s="448"/>
      <c r="AV407" s="448"/>
      <c r="AW407" s="448"/>
      <c r="AX407" s="448"/>
      <c r="AY407" s="448"/>
      <c r="AZ407" s="448"/>
      <c r="BA407" s="448"/>
      <c r="BB407" s="448"/>
      <c r="BC407" s="448"/>
      <c r="BD407" s="448"/>
      <c r="BE407" s="448"/>
      <c r="BF407" s="448"/>
      <c r="BG407" s="448"/>
      <c r="BH407" s="448"/>
      <c r="BI407" s="448"/>
      <c r="BJ407" s="448"/>
      <c r="BK407" s="448"/>
      <c r="BL407" s="448"/>
      <c r="BM407" s="448"/>
      <c r="BN407" s="448"/>
      <c r="BO407" s="448"/>
      <c r="BP407" s="448"/>
      <c r="BQ407" s="448"/>
      <c r="BR407" s="448"/>
      <c r="BS407" s="448"/>
      <c r="BT407" s="448"/>
      <c r="BU407" s="448"/>
      <c r="BV407" s="448"/>
      <c r="BW407" s="448"/>
      <c r="BX407" s="448"/>
      <c r="BY407" s="448"/>
      <c r="BZ407" s="448"/>
      <c r="CA407" s="448"/>
      <c r="CB407" s="448"/>
      <c r="CC407" s="448"/>
      <c r="CD407" s="448"/>
      <c r="CE407" s="448"/>
      <c r="CF407" s="448"/>
      <c r="CG407" s="448"/>
      <c r="CH407" s="448"/>
      <c r="CI407" s="448"/>
      <c r="CJ407" s="448"/>
      <c r="CK407" s="448"/>
      <c r="CL407" s="448"/>
      <c r="CM407" s="448"/>
      <c r="CN407" s="448"/>
      <c r="CO407" s="448"/>
      <c r="CP407" s="448"/>
      <c r="CQ407" s="448"/>
      <c r="CR407" s="448"/>
      <c r="CS407" s="448"/>
      <c r="CT407" s="448"/>
      <c r="CU407" s="448"/>
      <c r="CV407" s="448"/>
      <c r="CW407" s="448"/>
      <c r="CX407" s="448"/>
      <c r="CY407" s="448"/>
      <c r="CZ407" s="448"/>
      <c r="DA407" s="448"/>
      <c r="DB407" s="448"/>
      <c r="DC407" s="448"/>
      <c r="DD407" s="448"/>
      <c r="DE407" s="448"/>
      <c r="DF407" s="448"/>
      <c r="DG407" s="448"/>
      <c r="DH407" s="448"/>
      <c r="DI407" s="448"/>
      <c r="DJ407" s="448"/>
      <c r="DK407" s="448"/>
      <c r="DL407" s="448"/>
      <c r="DM407" s="448"/>
      <c r="DN407" s="448"/>
      <c r="DO407" s="448"/>
      <c r="DP407" s="448"/>
      <c r="DQ407" s="448"/>
      <c r="DR407" s="448"/>
      <c r="DS407" s="448"/>
      <c r="DT407" s="448"/>
      <c r="DU407" s="448"/>
      <c r="DV407" s="448"/>
      <c r="DW407" s="448"/>
      <c r="DX407" s="448"/>
      <c r="DY407" s="448"/>
      <c r="DZ407" s="448"/>
      <c r="EA407" s="448"/>
      <c r="EB407" s="448"/>
      <c r="EC407" s="448"/>
      <c r="ED407" s="448"/>
      <c r="EE407" s="448"/>
      <c r="EF407" s="448"/>
      <c r="EG407" s="448"/>
      <c r="EH407" s="448"/>
      <c r="EI407" s="448"/>
      <c r="EJ407" s="448"/>
      <c r="EK407" s="448"/>
      <c r="EL407" s="448"/>
      <c r="EM407" s="448"/>
      <c r="EN407" s="448"/>
      <c r="EO407" s="448"/>
      <c r="EP407" s="448"/>
      <c r="EQ407" s="448"/>
      <c r="ER407" s="448"/>
      <c r="ES407" s="448"/>
      <c r="ET407" s="448"/>
      <c r="EU407" s="448"/>
      <c r="EV407" s="448"/>
      <c r="EW407" s="448"/>
      <c r="EX407" s="448"/>
      <c r="EY407" s="448"/>
      <c r="EZ407" s="448"/>
      <c r="FA407" s="448"/>
      <c r="FB407" s="448"/>
      <c r="FC407" s="448"/>
      <c r="FD407" s="448"/>
      <c r="FE407" s="448"/>
      <c r="FF407" s="448"/>
      <c r="FG407" s="448"/>
      <c r="FH407" s="448"/>
      <c r="FI407" s="448"/>
      <c r="FJ407" s="448"/>
      <c r="FK407" s="448"/>
      <c r="FL407" s="448"/>
      <c r="FM407" s="448"/>
      <c r="FN407" s="448"/>
      <c r="FO407" s="448"/>
      <c r="FP407" s="448"/>
      <c r="FQ407" s="448"/>
      <c r="FR407" s="448"/>
      <c r="FS407" s="448"/>
      <c r="FT407" s="448"/>
      <c r="FU407" s="448"/>
      <c r="FV407" s="448"/>
      <c r="FW407" s="448"/>
      <c r="FX407" s="448"/>
      <c r="FY407" s="448"/>
      <c r="FZ407" s="448"/>
      <c r="GA407" s="448"/>
      <c r="GB407" s="448"/>
      <c r="GC407" s="448"/>
      <c r="GD407" s="448"/>
    </row>
    <row r="408" spans="1:186" s="505" customFormat="1" ht="21.75" customHeight="1">
      <c r="A408" s="546"/>
    </row>
    <row r="409" spans="1:186" s="495" customFormat="1" ht="21.75" customHeight="1">
      <c r="A409" s="539"/>
    </row>
    <row r="410" spans="1:186" s="496" customFormat="1" ht="21.75" customHeight="1">
      <c r="A410" s="535"/>
    </row>
    <row r="411" spans="1:186" ht="21.75" customHeight="1">
      <c r="A411" s="194"/>
      <c r="B411" s="6"/>
      <c r="C411" s="6"/>
      <c r="D411" s="6"/>
      <c r="E411" s="6"/>
      <c r="F411" s="6"/>
      <c r="G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O411" s="6"/>
      <c r="AP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</row>
    <row r="412" spans="1:186" s="551" customFormat="1" ht="21.75" customHeight="1">
      <c r="A412" s="560"/>
    </row>
    <row r="413" spans="1:186" s="496" customFormat="1" ht="21.75" customHeight="1">
      <c r="A413" s="535"/>
    </row>
    <row r="414" spans="1:186" s="503" customFormat="1" ht="21.75" customHeight="1">
      <c r="A414" s="462"/>
      <c r="B414" s="461"/>
      <c r="C414" s="461"/>
      <c r="D414" s="461"/>
      <c r="E414" s="461"/>
      <c r="F414" s="461"/>
      <c r="G414" s="461"/>
      <c r="H414" s="461"/>
      <c r="I414" s="461"/>
      <c r="J414" s="461"/>
      <c r="K414" s="461"/>
      <c r="L414" s="461"/>
      <c r="M414" s="461"/>
      <c r="N414" s="461"/>
      <c r="O414" s="461"/>
      <c r="P414" s="461"/>
      <c r="Q414" s="461"/>
      <c r="R414" s="461"/>
      <c r="S414" s="461"/>
      <c r="T414" s="461"/>
      <c r="U414" s="461"/>
      <c r="V414" s="461"/>
      <c r="W414" s="461"/>
      <c r="X414" s="461"/>
      <c r="Y414" s="461"/>
      <c r="Z414" s="461"/>
      <c r="AA414" s="461"/>
      <c r="AB414" s="461"/>
      <c r="AC414" s="461"/>
      <c r="AD414" s="461"/>
      <c r="AE414" s="461"/>
      <c r="AF414" s="461"/>
      <c r="AG414" s="461"/>
      <c r="AH414" s="461"/>
      <c r="AI414" s="461"/>
      <c r="AJ414" s="461"/>
      <c r="AK414" s="461"/>
      <c r="AL414" s="461"/>
      <c r="AM414" s="461"/>
      <c r="AN414" s="461"/>
      <c r="AO414" s="461"/>
      <c r="AP414" s="461"/>
      <c r="AQ414" s="461"/>
      <c r="AR414" s="461"/>
      <c r="AS414" s="461"/>
      <c r="AT414" s="461"/>
      <c r="AU414" s="461"/>
      <c r="AV414" s="461"/>
      <c r="AW414" s="461"/>
      <c r="AX414" s="461"/>
      <c r="AY414" s="461"/>
      <c r="AZ414" s="461"/>
      <c r="BA414" s="461"/>
      <c r="BB414" s="461"/>
      <c r="BC414" s="461"/>
      <c r="BD414" s="461"/>
      <c r="BE414" s="461"/>
      <c r="BF414" s="461"/>
      <c r="BG414" s="461"/>
      <c r="BH414" s="461"/>
      <c r="BI414" s="461"/>
      <c r="BJ414" s="461"/>
      <c r="BK414" s="461"/>
      <c r="BL414" s="461"/>
      <c r="BM414" s="461"/>
      <c r="BN414" s="461"/>
      <c r="BO414" s="461"/>
      <c r="BP414" s="461"/>
      <c r="BQ414" s="461"/>
      <c r="BR414" s="461"/>
      <c r="BS414" s="461"/>
      <c r="BT414" s="461"/>
      <c r="BU414" s="461"/>
      <c r="BV414" s="461"/>
      <c r="BW414" s="461"/>
      <c r="BX414" s="461"/>
      <c r="BY414" s="461"/>
      <c r="BZ414" s="461"/>
      <c r="CA414" s="461"/>
      <c r="CB414" s="461"/>
      <c r="CC414" s="461"/>
      <c r="CD414" s="461"/>
      <c r="CE414" s="461"/>
      <c r="CF414" s="461"/>
      <c r="CG414" s="461"/>
      <c r="CH414" s="461"/>
      <c r="CI414" s="461"/>
      <c r="CJ414" s="461"/>
      <c r="CK414" s="461"/>
      <c r="CL414" s="461"/>
      <c r="CM414" s="461"/>
      <c r="CN414" s="461"/>
      <c r="CO414" s="461"/>
      <c r="CP414" s="461"/>
      <c r="CQ414" s="461"/>
      <c r="CR414" s="461"/>
      <c r="CS414" s="461"/>
      <c r="CT414" s="461"/>
      <c r="CU414" s="461"/>
      <c r="CV414" s="461"/>
      <c r="CW414" s="461"/>
      <c r="CX414" s="461"/>
      <c r="CY414" s="461"/>
      <c r="CZ414" s="461"/>
      <c r="DA414" s="461"/>
      <c r="DB414" s="461"/>
      <c r="DC414" s="461"/>
      <c r="DD414" s="461"/>
      <c r="DE414" s="461"/>
      <c r="DF414" s="461"/>
      <c r="DG414" s="461"/>
      <c r="DH414" s="461"/>
      <c r="DI414" s="461"/>
      <c r="DJ414" s="461"/>
      <c r="DK414" s="461"/>
      <c r="DL414" s="461"/>
      <c r="DM414" s="461"/>
      <c r="DN414" s="461"/>
      <c r="DO414" s="461"/>
      <c r="DP414" s="461"/>
      <c r="DQ414" s="461"/>
      <c r="DR414" s="461"/>
      <c r="DS414" s="461"/>
      <c r="DT414" s="461"/>
      <c r="DU414" s="461"/>
      <c r="DV414" s="461"/>
      <c r="DW414" s="461"/>
      <c r="DX414" s="461"/>
      <c r="DY414" s="461"/>
      <c r="DZ414" s="461"/>
      <c r="EA414" s="461"/>
      <c r="EB414" s="461"/>
      <c r="EC414" s="461"/>
      <c r="ED414" s="461"/>
      <c r="EE414" s="461"/>
      <c r="EF414" s="461"/>
      <c r="EG414" s="461"/>
      <c r="EH414" s="461"/>
      <c r="EI414" s="461"/>
      <c r="EJ414" s="461"/>
      <c r="EK414" s="461"/>
      <c r="EL414" s="461"/>
      <c r="EM414" s="461"/>
      <c r="EN414" s="461"/>
      <c r="EO414" s="461"/>
      <c r="EP414" s="461"/>
      <c r="EQ414" s="461"/>
      <c r="ER414" s="461"/>
      <c r="ES414" s="461"/>
      <c r="ET414" s="461"/>
      <c r="EU414" s="461"/>
      <c r="EV414" s="461"/>
      <c r="EW414" s="461"/>
      <c r="EX414" s="461"/>
      <c r="EY414" s="461"/>
      <c r="EZ414" s="461"/>
      <c r="FA414" s="461"/>
      <c r="FB414" s="461"/>
      <c r="FC414" s="461"/>
      <c r="FD414" s="461"/>
      <c r="FE414" s="461"/>
      <c r="FF414" s="461"/>
      <c r="FG414" s="461"/>
      <c r="FH414" s="461"/>
      <c r="FI414" s="461"/>
      <c r="FJ414" s="461"/>
      <c r="FK414" s="461"/>
      <c r="FL414" s="461"/>
      <c r="FM414" s="461"/>
      <c r="FN414" s="461"/>
      <c r="FO414" s="461"/>
      <c r="FP414" s="461"/>
      <c r="FQ414" s="461"/>
      <c r="FR414" s="461"/>
      <c r="FS414" s="461"/>
      <c r="FT414" s="461"/>
      <c r="FU414" s="461"/>
      <c r="FV414" s="461"/>
      <c r="FW414" s="461"/>
      <c r="FX414" s="461"/>
      <c r="FY414" s="461"/>
      <c r="FZ414" s="461"/>
      <c r="GA414" s="461"/>
      <c r="GB414" s="461"/>
      <c r="GC414" s="461"/>
      <c r="GD414" s="461"/>
    </row>
    <row r="415" spans="1:186" s="495" customFormat="1" ht="21.75" customHeight="1">
      <c r="A415" s="539"/>
    </row>
    <row r="416" spans="1:186" s="497" customFormat="1" ht="21.75" customHeight="1">
      <c r="A416" s="533"/>
    </row>
    <row r="417" spans="1:78" s="495" customFormat="1" ht="21.75" customHeight="1">
      <c r="A417" s="539"/>
    </row>
    <row r="418" spans="1:78" ht="21.75" customHeight="1">
      <c r="A418" s="194"/>
      <c r="B418" s="6"/>
      <c r="C418" s="6"/>
      <c r="D418" s="6"/>
      <c r="E418" s="6"/>
      <c r="F418" s="6"/>
      <c r="G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O418" s="6"/>
      <c r="AP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</row>
    <row r="419" spans="1:78" s="496" customFormat="1" ht="21.75" customHeight="1">
      <c r="A419" s="535"/>
    </row>
    <row r="420" spans="1:78" s="504" customFormat="1" ht="21.75" customHeight="1">
      <c r="A420" s="553"/>
    </row>
    <row r="421" spans="1:78" s="496" customFormat="1" ht="21.75" customHeight="1">
      <c r="A421" s="535"/>
    </row>
    <row r="422" spans="1:78" s="497" customFormat="1" ht="21.75" customHeight="1">
      <c r="A422" s="533"/>
    </row>
    <row r="423" spans="1:78" s="495" customFormat="1" ht="21.75" customHeight="1">
      <c r="A423" s="539"/>
    </row>
    <row r="424" spans="1:78" s="496" customFormat="1" ht="21.75" customHeight="1">
      <c r="A424" s="535"/>
    </row>
    <row r="425" spans="1:78" s="495" customFormat="1" ht="21.75" customHeight="1">
      <c r="A425" s="539"/>
    </row>
    <row r="426" spans="1:78" s="496" customFormat="1" ht="21.75" customHeight="1">
      <c r="A426" s="535"/>
    </row>
    <row r="427" spans="1:78" s="501" customFormat="1" ht="21.75" customHeight="1">
      <c r="A427" s="534"/>
    </row>
    <row r="428" spans="1:78" s="498" customFormat="1" ht="21.75" customHeight="1">
      <c r="A428" s="545"/>
    </row>
    <row r="429" spans="1:78" s="501" customFormat="1" ht="21.75" customHeight="1">
      <c r="A429" s="534"/>
    </row>
    <row r="430" spans="1:78" s="495" customFormat="1" ht="21.75" customHeight="1">
      <c r="A430" s="539"/>
    </row>
    <row r="431" spans="1:78" s="495" customFormat="1" ht="21.75" customHeight="1">
      <c r="A431" s="539"/>
    </row>
    <row r="432" spans="1:78" s="496" customFormat="1" ht="21.75" customHeight="1">
      <c r="A432" s="535"/>
    </row>
    <row r="433" spans="1:186" s="499" customFormat="1" ht="21.75" customHeight="1">
      <c r="A433" s="543"/>
    </row>
    <row r="434" spans="1:186" s="501" customFormat="1" ht="21.75" customHeight="1">
      <c r="A434" s="534"/>
    </row>
    <row r="435" spans="1:186" s="495" customFormat="1" ht="21.75" customHeight="1">
      <c r="A435" s="539"/>
    </row>
    <row r="436" spans="1:186" s="505" customFormat="1" ht="21.75" customHeight="1">
      <c r="A436" s="546"/>
    </row>
    <row r="437" spans="1:186" s="501" customFormat="1" ht="21.75" customHeight="1">
      <c r="A437" s="534"/>
    </row>
    <row r="438" spans="1:186" s="495" customFormat="1" ht="21.75" customHeight="1">
      <c r="A438" s="539"/>
    </row>
    <row r="439" spans="1:186" s="499" customFormat="1" ht="21.75" customHeight="1">
      <c r="A439" s="543"/>
    </row>
    <row r="440" spans="1:186" s="496" customFormat="1" ht="21.75" customHeight="1">
      <c r="A440" s="535"/>
    </row>
    <row r="441" spans="1:186" s="496" customFormat="1" ht="21.75" customHeight="1">
      <c r="A441" s="535"/>
    </row>
    <row r="442" spans="1:186" s="496" customFormat="1" ht="21.75" customHeight="1">
      <c r="A442" s="535"/>
    </row>
    <row r="443" spans="1:186" s="503" customFormat="1" ht="21.75" customHeight="1">
      <c r="A443" s="537"/>
    </row>
    <row r="444" spans="1:186" s="495" customFormat="1" ht="21.75" customHeight="1">
      <c r="A444" s="539"/>
    </row>
    <row r="445" spans="1:186" s="551" customFormat="1" ht="21.75" customHeight="1">
      <c r="A445" s="560"/>
    </row>
    <row r="446" spans="1:186" s="505" customFormat="1" ht="21.75" customHeight="1">
      <c r="A446" s="473"/>
      <c r="B446" s="472"/>
      <c r="C446" s="472"/>
      <c r="D446" s="472"/>
      <c r="E446" s="472"/>
      <c r="F446" s="472"/>
      <c r="G446" s="472"/>
      <c r="H446" s="472"/>
      <c r="I446" s="472"/>
      <c r="J446" s="472"/>
      <c r="K446" s="472"/>
      <c r="L446" s="472"/>
      <c r="M446" s="472"/>
      <c r="N446" s="472"/>
      <c r="O446" s="472"/>
      <c r="P446" s="472"/>
      <c r="Q446" s="472"/>
      <c r="R446" s="472"/>
      <c r="S446" s="472"/>
      <c r="T446" s="472"/>
      <c r="U446" s="472"/>
      <c r="V446" s="472"/>
      <c r="W446" s="472"/>
      <c r="X446" s="472"/>
      <c r="Y446" s="472"/>
      <c r="Z446" s="472"/>
      <c r="AA446" s="472"/>
      <c r="AB446" s="472"/>
      <c r="AC446" s="472"/>
      <c r="AD446" s="472"/>
      <c r="AE446" s="472"/>
      <c r="AF446" s="472"/>
      <c r="AG446" s="472"/>
      <c r="AH446" s="472"/>
      <c r="AI446" s="472"/>
      <c r="AJ446" s="472"/>
      <c r="AK446" s="472"/>
      <c r="AL446" s="472"/>
      <c r="AM446" s="472"/>
      <c r="AN446" s="472"/>
      <c r="AO446" s="472"/>
      <c r="AP446" s="472"/>
      <c r="AQ446" s="472"/>
      <c r="AR446" s="472"/>
      <c r="AS446" s="472"/>
      <c r="AT446" s="472"/>
      <c r="AU446" s="472"/>
      <c r="AV446" s="472"/>
      <c r="AW446" s="472"/>
      <c r="AX446" s="472"/>
      <c r="AY446" s="472"/>
      <c r="AZ446" s="472"/>
      <c r="BA446" s="472"/>
      <c r="BB446" s="472"/>
      <c r="BC446" s="472"/>
      <c r="BD446" s="472"/>
      <c r="BE446" s="472"/>
      <c r="BF446" s="472"/>
      <c r="BG446" s="472"/>
      <c r="BH446" s="472"/>
      <c r="BI446" s="472"/>
      <c r="BJ446" s="472"/>
      <c r="BK446" s="472"/>
      <c r="BL446" s="472"/>
      <c r="BM446" s="472"/>
      <c r="BN446" s="472"/>
      <c r="BO446" s="472"/>
      <c r="BP446" s="472"/>
      <c r="BQ446" s="472"/>
      <c r="BR446" s="472"/>
      <c r="BS446" s="472"/>
      <c r="BT446" s="472"/>
      <c r="BU446" s="472"/>
      <c r="BV446" s="472"/>
      <c r="BW446" s="472"/>
      <c r="BX446" s="472"/>
      <c r="BY446" s="472"/>
      <c r="BZ446" s="472"/>
      <c r="CA446" s="472"/>
      <c r="CB446" s="472"/>
      <c r="CC446" s="472"/>
      <c r="CD446" s="472"/>
      <c r="CE446" s="472"/>
      <c r="CF446" s="472"/>
      <c r="CG446" s="472"/>
      <c r="CH446" s="472"/>
      <c r="CI446" s="472"/>
      <c r="CJ446" s="472"/>
      <c r="CK446" s="472"/>
      <c r="CL446" s="472"/>
      <c r="CM446" s="472"/>
      <c r="CN446" s="472"/>
      <c r="CO446" s="472"/>
      <c r="CP446" s="472"/>
      <c r="CQ446" s="472"/>
      <c r="CR446" s="472"/>
      <c r="CS446" s="472"/>
      <c r="CT446" s="472"/>
      <c r="CU446" s="472"/>
      <c r="CV446" s="472"/>
      <c r="CW446" s="472"/>
      <c r="CX446" s="472"/>
      <c r="CY446" s="472"/>
      <c r="CZ446" s="472"/>
      <c r="DA446" s="472"/>
      <c r="DB446" s="472"/>
      <c r="DC446" s="472"/>
      <c r="DD446" s="472"/>
      <c r="DE446" s="472"/>
      <c r="DF446" s="472"/>
      <c r="DG446" s="472"/>
      <c r="DH446" s="472"/>
      <c r="DI446" s="472"/>
      <c r="DJ446" s="472"/>
      <c r="DK446" s="472"/>
      <c r="DL446" s="472"/>
      <c r="DM446" s="472"/>
      <c r="DN446" s="472"/>
      <c r="DO446" s="472"/>
      <c r="DP446" s="472"/>
      <c r="DQ446" s="472"/>
      <c r="DR446" s="472"/>
      <c r="DS446" s="472"/>
      <c r="DT446" s="472"/>
      <c r="DU446" s="472"/>
      <c r="DV446" s="472"/>
      <c r="DW446" s="472"/>
      <c r="DX446" s="472"/>
      <c r="DY446" s="472"/>
      <c r="DZ446" s="472"/>
      <c r="EA446" s="472"/>
      <c r="EB446" s="472"/>
      <c r="EC446" s="472"/>
      <c r="ED446" s="472"/>
      <c r="EE446" s="472"/>
      <c r="EF446" s="472"/>
      <c r="EG446" s="472"/>
      <c r="EH446" s="472"/>
      <c r="EI446" s="472"/>
      <c r="EJ446" s="472"/>
      <c r="EK446" s="472"/>
      <c r="EL446" s="472"/>
      <c r="EM446" s="472"/>
      <c r="EN446" s="472"/>
      <c r="EO446" s="472"/>
      <c r="EP446" s="472"/>
      <c r="EQ446" s="472"/>
      <c r="ER446" s="472"/>
      <c r="ES446" s="472"/>
      <c r="ET446" s="472"/>
      <c r="EU446" s="472"/>
      <c r="EV446" s="472"/>
      <c r="EW446" s="472"/>
      <c r="EX446" s="472"/>
      <c r="EY446" s="472"/>
      <c r="EZ446" s="472"/>
      <c r="FA446" s="472"/>
      <c r="FB446" s="472"/>
      <c r="FC446" s="472"/>
      <c r="FD446" s="472"/>
      <c r="FE446" s="472"/>
      <c r="FF446" s="472"/>
      <c r="FG446" s="472"/>
      <c r="FH446" s="472"/>
      <c r="FI446" s="472"/>
      <c r="FJ446" s="472"/>
      <c r="FK446" s="472"/>
      <c r="FL446" s="472"/>
      <c r="FM446" s="472"/>
      <c r="FN446" s="472"/>
      <c r="FO446" s="472"/>
      <c r="FP446" s="472"/>
      <c r="FQ446" s="472"/>
      <c r="FR446" s="472"/>
      <c r="FS446" s="472"/>
      <c r="FT446" s="472"/>
      <c r="FU446" s="472"/>
      <c r="FV446" s="472"/>
      <c r="FW446" s="472"/>
      <c r="FX446" s="472"/>
      <c r="FY446" s="472"/>
      <c r="FZ446" s="472"/>
      <c r="GA446" s="472"/>
      <c r="GB446" s="472"/>
      <c r="GC446" s="472"/>
      <c r="GD446" s="472"/>
    </row>
    <row r="447" spans="1:186" s="500" customFormat="1" ht="21.75" customHeight="1">
      <c r="A447" s="475"/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  <c r="AA447" s="474"/>
      <c r="AB447" s="474"/>
      <c r="AC447" s="474"/>
      <c r="AD447" s="474"/>
      <c r="AE447" s="474"/>
      <c r="AF447" s="474"/>
      <c r="AG447" s="474"/>
      <c r="AH447" s="474"/>
      <c r="AI447" s="474"/>
      <c r="AJ447" s="474"/>
      <c r="AK447" s="474"/>
      <c r="AL447" s="474"/>
      <c r="AM447" s="474"/>
      <c r="AN447" s="474"/>
      <c r="AO447" s="474"/>
      <c r="AP447" s="474"/>
      <c r="AQ447" s="474"/>
      <c r="AR447" s="474"/>
      <c r="AS447" s="474"/>
      <c r="AT447" s="474"/>
      <c r="AU447" s="474"/>
      <c r="AV447" s="474"/>
      <c r="AW447" s="474"/>
      <c r="AX447" s="474"/>
      <c r="AY447" s="474"/>
      <c r="AZ447" s="474"/>
      <c r="BA447" s="474"/>
      <c r="BB447" s="474"/>
      <c r="BC447" s="474"/>
      <c r="BD447" s="474"/>
      <c r="BE447" s="474"/>
      <c r="BF447" s="474"/>
      <c r="BG447" s="474"/>
      <c r="BH447" s="474"/>
      <c r="BI447" s="474"/>
      <c r="BJ447" s="474"/>
      <c r="BK447" s="474"/>
      <c r="BL447" s="474"/>
      <c r="BM447" s="474"/>
      <c r="BN447" s="474"/>
      <c r="BO447" s="474"/>
      <c r="BP447" s="474"/>
      <c r="BQ447" s="474"/>
      <c r="BR447" s="474"/>
      <c r="BS447" s="474"/>
      <c r="BT447" s="474"/>
      <c r="BU447" s="474"/>
      <c r="BV447" s="474"/>
      <c r="BW447" s="474"/>
      <c r="BX447" s="474"/>
      <c r="BY447" s="474"/>
      <c r="BZ447" s="474"/>
      <c r="CA447" s="474"/>
      <c r="CB447" s="474"/>
      <c r="CC447" s="474"/>
      <c r="CD447" s="474"/>
      <c r="CE447" s="474"/>
      <c r="CF447" s="474"/>
      <c r="CG447" s="474"/>
      <c r="CH447" s="474"/>
      <c r="CI447" s="474"/>
      <c r="CJ447" s="474"/>
      <c r="CK447" s="474"/>
      <c r="CL447" s="474"/>
      <c r="CM447" s="474"/>
      <c r="CN447" s="474"/>
      <c r="CO447" s="474"/>
      <c r="CP447" s="474"/>
      <c r="CQ447" s="474"/>
      <c r="CR447" s="474"/>
      <c r="CS447" s="474"/>
      <c r="CT447" s="474"/>
      <c r="CU447" s="474"/>
      <c r="CV447" s="474"/>
      <c r="CW447" s="474"/>
      <c r="CX447" s="474"/>
      <c r="CY447" s="474"/>
      <c r="CZ447" s="474"/>
      <c r="DA447" s="474"/>
      <c r="DB447" s="474"/>
      <c r="DC447" s="474"/>
      <c r="DD447" s="474"/>
      <c r="DE447" s="474"/>
      <c r="DF447" s="474"/>
      <c r="DG447" s="474"/>
      <c r="DH447" s="474"/>
      <c r="DI447" s="474"/>
      <c r="DJ447" s="474"/>
      <c r="DK447" s="474"/>
      <c r="DL447" s="474"/>
      <c r="DM447" s="474"/>
      <c r="DN447" s="474"/>
      <c r="DO447" s="474"/>
      <c r="DP447" s="474"/>
      <c r="DQ447" s="474"/>
      <c r="DR447" s="474"/>
      <c r="DS447" s="474"/>
      <c r="DT447" s="474"/>
      <c r="DU447" s="474"/>
      <c r="DV447" s="474"/>
      <c r="DW447" s="474"/>
      <c r="DX447" s="474"/>
      <c r="DY447" s="474"/>
      <c r="DZ447" s="474"/>
      <c r="EA447" s="474"/>
      <c r="EB447" s="474"/>
      <c r="EC447" s="474"/>
      <c r="ED447" s="474"/>
      <c r="EE447" s="474"/>
      <c r="EF447" s="474"/>
      <c r="EG447" s="474"/>
      <c r="EH447" s="474"/>
      <c r="EI447" s="474"/>
      <c r="EJ447" s="474"/>
      <c r="EK447" s="474"/>
      <c r="EL447" s="474"/>
      <c r="EM447" s="474"/>
      <c r="EN447" s="474"/>
      <c r="EO447" s="474"/>
      <c r="EP447" s="474"/>
      <c r="EQ447" s="474"/>
      <c r="ER447" s="474"/>
      <c r="ES447" s="474"/>
      <c r="ET447" s="474"/>
      <c r="EU447" s="474"/>
      <c r="EV447" s="474"/>
      <c r="EW447" s="474"/>
      <c r="EX447" s="474"/>
      <c r="EY447" s="474"/>
      <c r="EZ447" s="474"/>
      <c r="FA447" s="474"/>
      <c r="FB447" s="474"/>
      <c r="FC447" s="474"/>
      <c r="FD447" s="474"/>
      <c r="FE447" s="474"/>
      <c r="FF447" s="474"/>
      <c r="FG447" s="474"/>
      <c r="FH447" s="474"/>
      <c r="FI447" s="474"/>
      <c r="FJ447" s="474"/>
      <c r="FK447" s="474"/>
      <c r="FL447" s="474"/>
      <c r="FM447" s="474"/>
      <c r="FN447" s="474"/>
      <c r="FO447" s="474"/>
      <c r="FP447" s="474"/>
      <c r="FQ447" s="474"/>
      <c r="FR447" s="474"/>
      <c r="FS447" s="474"/>
      <c r="FT447" s="474"/>
      <c r="FU447" s="474"/>
      <c r="FV447" s="474"/>
      <c r="FW447" s="474"/>
      <c r="FX447" s="474"/>
      <c r="FY447" s="474"/>
      <c r="FZ447" s="474"/>
      <c r="GA447" s="474"/>
      <c r="GB447" s="474"/>
      <c r="GC447" s="474"/>
      <c r="GD447" s="474"/>
    </row>
    <row r="448" spans="1:186" s="496" customFormat="1" ht="21.75" customHeight="1">
      <c r="A448" s="535"/>
    </row>
    <row r="449" spans="1:186" s="496" customFormat="1" ht="21.75" customHeight="1">
      <c r="A449" s="535"/>
    </row>
    <row r="450" spans="1:186" s="496" customFormat="1" ht="21.75" customHeight="1">
      <c r="A450" s="194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</row>
    <row r="451" spans="1:186" s="501" customFormat="1" ht="21.75" customHeight="1">
      <c r="A451" s="534"/>
    </row>
    <row r="452" spans="1:186" s="495" customFormat="1" ht="21.75" customHeight="1">
      <c r="A452" s="539"/>
    </row>
    <row r="453" spans="1:186" s="496" customFormat="1" ht="21.75" customHeight="1">
      <c r="A453" s="194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</row>
    <row r="454" spans="1:186" s="497" customFormat="1" ht="21.75" customHeight="1">
      <c r="A454" s="533"/>
    </row>
    <row r="455" spans="1:186" s="495" customFormat="1" ht="21.75" customHeight="1">
      <c r="A455" s="449"/>
      <c r="B455" s="448"/>
      <c r="C455" s="448"/>
      <c r="D455" s="448"/>
      <c r="E455" s="448"/>
      <c r="F455" s="448"/>
      <c r="G455" s="448"/>
      <c r="H455" s="448"/>
      <c r="I455" s="448"/>
      <c r="J455" s="448"/>
      <c r="K455" s="448"/>
      <c r="L455" s="448"/>
      <c r="M455" s="448"/>
      <c r="N455" s="448"/>
      <c r="O455" s="448"/>
      <c r="P455" s="448"/>
      <c r="Q455" s="448"/>
      <c r="R455" s="448"/>
      <c r="S455" s="448"/>
      <c r="T455" s="448"/>
      <c r="U455" s="448"/>
      <c r="V455" s="448"/>
      <c r="W455" s="448"/>
      <c r="X455" s="448"/>
      <c r="Y455" s="448"/>
      <c r="Z455" s="448"/>
      <c r="AA455" s="448"/>
      <c r="AB455" s="448"/>
      <c r="AC455" s="448"/>
      <c r="AD455" s="448"/>
      <c r="AE455" s="448"/>
      <c r="AF455" s="448"/>
      <c r="AG455" s="448"/>
      <c r="AH455" s="448"/>
      <c r="AI455" s="448"/>
      <c r="AJ455" s="448"/>
      <c r="AK455" s="448"/>
      <c r="AL455" s="448"/>
      <c r="AM455" s="448"/>
      <c r="AN455" s="448"/>
      <c r="AO455" s="448"/>
      <c r="AP455" s="448"/>
      <c r="AQ455" s="448"/>
      <c r="AR455" s="448"/>
      <c r="AS455" s="448"/>
      <c r="AT455" s="448"/>
      <c r="AU455" s="448"/>
      <c r="AV455" s="448"/>
      <c r="AW455" s="448"/>
      <c r="AX455" s="448"/>
      <c r="AY455" s="448"/>
      <c r="AZ455" s="448"/>
      <c r="BA455" s="448"/>
      <c r="BB455" s="448"/>
      <c r="BC455" s="448"/>
      <c r="BD455" s="448"/>
      <c r="BE455" s="448"/>
      <c r="BF455" s="448"/>
      <c r="BG455" s="448"/>
      <c r="BH455" s="448"/>
      <c r="BI455" s="448"/>
      <c r="BJ455" s="448"/>
      <c r="BK455" s="448"/>
      <c r="BL455" s="448"/>
      <c r="BM455" s="448"/>
      <c r="BN455" s="448"/>
      <c r="BO455" s="448"/>
      <c r="BP455" s="448"/>
      <c r="BQ455" s="448"/>
      <c r="BR455" s="448"/>
      <c r="BS455" s="448"/>
      <c r="BT455" s="448"/>
      <c r="BU455" s="448"/>
      <c r="BV455" s="448"/>
      <c r="BW455" s="448"/>
      <c r="BX455" s="448"/>
      <c r="BY455" s="448"/>
      <c r="BZ455" s="448"/>
      <c r="CA455" s="448"/>
      <c r="CB455" s="448"/>
      <c r="CC455" s="448"/>
      <c r="CD455" s="448"/>
      <c r="CE455" s="448"/>
      <c r="CF455" s="448"/>
      <c r="CG455" s="448"/>
      <c r="CH455" s="448"/>
      <c r="CI455" s="448"/>
      <c r="CJ455" s="448"/>
      <c r="CK455" s="448"/>
      <c r="CL455" s="448"/>
      <c r="CM455" s="448"/>
      <c r="CN455" s="448"/>
      <c r="CO455" s="448"/>
      <c r="CP455" s="448"/>
      <c r="CQ455" s="448"/>
      <c r="CR455" s="448"/>
      <c r="CS455" s="448"/>
      <c r="CT455" s="448"/>
      <c r="CU455" s="448"/>
      <c r="CV455" s="448"/>
      <c r="CW455" s="448"/>
      <c r="CX455" s="448"/>
      <c r="CY455" s="448"/>
      <c r="CZ455" s="448"/>
      <c r="DA455" s="448"/>
      <c r="DB455" s="448"/>
      <c r="DC455" s="448"/>
      <c r="DD455" s="448"/>
      <c r="DE455" s="448"/>
      <c r="DF455" s="448"/>
      <c r="DG455" s="448"/>
      <c r="DH455" s="448"/>
      <c r="DI455" s="448"/>
      <c r="DJ455" s="448"/>
      <c r="DK455" s="448"/>
      <c r="DL455" s="448"/>
      <c r="DM455" s="448"/>
      <c r="DN455" s="448"/>
      <c r="DO455" s="448"/>
      <c r="DP455" s="448"/>
      <c r="DQ455" s="448"/>
      <c r="DR455" s="448"/>
      <c r="DS455" s="448"/>
      <c r="DT455" s="448"/>
      <c r="DU455" s="448"/>
      <c r="DV455" s="448"/>
      <c r="DW455" s="448"/>
      <c r="DX455" s="448"/>
      <c r="DY455" s="448"/>
      <c r="DZ455" s="448"/>
      <c r="EA455" s="448"/>
      <c r="EB455" s="448"/>
      <c r="EC455" s="448"/>
      <c r="ED455" s="448"/>
      <c r="EE455" s="448"/>
      <c r="EF455" s="448"/>
      <c r="EG455" s="448"/>
      <c r="EH455" s="448"/>
      <c r="EI455" s="448"/>
      <c r="EJ455" s="448"/>
      <c r="EK455" s="448"/>
      <c r="EL455" s="448"/>
      <c r="EM455" s="448"/>
      <c r="EN455" s="448"/>
      <c r="EO455" s="448"/>
      <c r="EP455" s="448"/>
      <c r="EQ455" s="448"/>
      <c r="ER455" s="448"/>
      <c r="ES455" s="448"/>
      <c r="ET455" s="448"/>
      <c r="EU455" s="448"/>
      <c r="EV455" s="448"/>
      <c r="EW455" s="448"/>
      <c r="EX455" s="448"/>
      <c r="EY455" s="448"/>
      <c r="EZ455" s="448"/>
      <c r="FA455" s="448"/>
      <c r="FB455" s="448"/>
      <c r="FC455" s="448"/>
      <c r="FD455" s="448"/>
      <c r="FE455" s="448"/>
      <c r="FF455" s="448"/>
      <c r="FG455" s="448"/>
      <c r="FH455" s="448"/>
      <c r="FI455" s="448"/>
      <c r="FJ455" s="448"/>
      <c r="FK455" s="448"/>
      <c r="FL455" s="448"/>
      <c r="FM455" s="448"/>
      <c r="FN455" s="448"/>
      <c r="FO455" s="448"/>
      <c r="FP455" s="448"/>
      <c r="FQ455" s="448"/>
      <c r="FR455" s="448"/>
      <c r="FS455" s="448"/>
      <c r="FT455" s="448"/>
      <c r="FU455" s="448"/>
      <c r="FV455" s="448"/>
      <c r="FW455" s="448"/>
      <c r="FX455" s="448"/>
      <c r="FY455" s="448"/>
      <c r="FZ455" s="448"/>
      <c r="GA455" s="448"/>
      <c r="GB455" s="448"/>
      <c r="GC455" s="448"/>
      <c r="GD455" s="448"/>
    </row>
    <row r="456" spans="1:186" s="496" customFormat="1" ht="21.75" customHeight="1">
      <c r="A456" s="535"/>
    </row>
    <row r="457" spans="1:186" s="496" customFormat="1" ht="21.75" customHeight="1">
      <c r="A457" s="535"/>
    </row>
    <row r="458" spans="1:186" s="450" customFormat="1" ht="21.75" customHeight="1">
      <c r="A458" s="451"/>
    </row>
    <row r="459" spans="1:186" s="495" customFormat="1" ht="21.75" customHeight="1">
      <c r="A459" s="539"/>
    </row>
    <row r="460" spans="1:186" s="496" customFormat="1" ht="21.75" customHeight="1">
      <c r="A460" s="535"/>
    </row>
    <row r="461" spans="1:186" s="500" customFormat="1" ht="21.75" customHeight="1">
      <c r="A461" s="552"/>
    </row>
    <row r="462" spans="1:186" s="496" customFormat="1" ht="21.75" customHeight="1">
      <c r="A462" s="535"/>
    </row>
    <row r="463" spans="1:186" s="496" customFormat="1" ht="21.75" customHeight="1">
      <c r="A463" s="535"/>
    </row>
    <row r="464" spans="1:186" s="499" customFormat="1" ht="21.75" customHeight="1">
      <c r="A464" s="543"/>
    </row>
    <row r="465" spans="1:186" s="496" customFormat="1" ht="21.75" customHeight="1">
      <c r="A465" s="535"/>
    </row>
    <row r="466" spans="1:186" ht="21.75" customHeight="1">
      <c r="A466" s="194"/>
      <c r="B466" s="6"/>
      <c r="C466" s="6"/>
      <c r="D466" s="6"/>
      <c r="E466" s="6"/>
      <c r="F466" s="6"/>
      <c r="G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O466" s="6"/>
      <c r="AP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</row>
    <row r="467" spans="1:186" s="496" customFormat="1" ht="21.75" customHeight="1">
      <c r="A467" s="535"/>
    </row>
    <row r="468" spans="1:186" s="503" customFormat="1" ht="21.75" customHeight="1">
      <c r="A468" s="462"/>
      <c r="B468" s="461"/>
      <c r="C468" s="461"/>
      <c r="D468" s="461"/>
      <c r="E468" s="461"/>
      <c r="F468" s="461"/>
      <c r="G468" s="461"/>
      <c r="H468" s="461"/>
      <c r="I468" s="461"/>
      <c r="J468" s="461"/>
      <c r="K468" s="461"/>
      <c r="L468" s="461"/>
      <c r="M468" s="461"/>
      <c r="N468" s="461"/>
      <c r="O468" s="461"/>
      <c r="P468" s="461"/>
      <c r="Q468" s="461"/>
      <c r="R468" s="461"/>
      <c r="S468" s="461"/>
      <c r="T468" s="461"/>
      <c r="U468" s="461"/>
      <c r="V468" s="461"/>
      <c r="W468" s="461"/>
      <c r="X468" s="461"/>
      <c r="Y468" s="461"/>
      <c r="Z468" s="461"/>
      <c r="AA468" s="461"/>
      <c r="AB468" s="461"/>
      <c r="AC468" s="461"/>
      <c r="AD468" s="461"/>
      <c r="AE468" s="461"/>
      <c r="AF468" s="461"/>
      <c r="AG468" s="461"/>
      <c r="AH468" s="461"/>
      <c r="AI468" s="461"/>
      <c r="AJ468" s="461"/>
      <c r="AK468" s="461"/>
      <c r="AL468" s="461"/>
      <c r="AM468" s="461"/>
      <c r="AN468" s="461"/>
      <c r="AO468" s="461"/>
      <c r="AP468" s="461"/>
      <c r="AQ468" s="461"/>
      <c r="AR468" s="461"/>
      <c r="AS468" s="461"/>
      <c r="AT468" s="461"/>
      <c r="AU468" s="461"/>
      <c r="AV468" s="461"/>
      <c r="AW468" s="461"/>
      <c r="AX468" s="461"/>
      <c r="AY468" s="461"/>
      <c r="AZ468" s="461"/>
      <c r="BA468" s="461"/>
      <c r="BB468" s="461"/>
      <c r="BC468" s="461"/>
      <c r="BD468" s="461"/>
      <c r="BE468" s="461"/>
      <c r="BF468" s="461"/>
      <c r="BG468" s="461"/>
      <c r="BH468" s="461"/>
      <c r="BI468" s="461"/>
      <c r="BJ468" s="461"/>
      <c r="BK468" s="461"/>
      <c r="BL468" s="461"/>
      <c r="BM468" s="461"/>
      <c r="BN468" s="461"/>
      <c r="BO468" s="461"/>
      <c r="BP468" s="461"/>
      <c r="BQ468" s="461"/>
      <c r="BR468" s="461"/>
      <c r="BS468" s="461"/>
      <c r="BT468" s="461"/>
      <c r="BU468" s="461"/>
      <c r="BV468" s="461"/>
      <c r="BW468" s="461"/>
      <c r="BX468" s="461"/>
      <c r="BY468" s="461"/>
      <c r="BZ468" s="461"/>
      <c r="CA468" s="461"/>
      <c r="CB468" s="461"/>
      <c r="CC468" s="461"/>
      <c r="CD468" s="461"/>
      <c r="CE468" s="461"/>
      <c r="CF468" s="461"/>
      <c r="CG468" s="461"/>
      <c r="CH468" s="461"/>
      <c r="CI468" s="461"/>
      <c r="CJ468" s="461"/>
      <c r="CK468" s="461"/>
      <c r="CL468" s="461"/>
      <c r="CM468" s="461"/>
      <c r="CN468" s="461"/>
      <c r="CO468" s="461"/>
      <c r="CP468" s="461"/>
      <c r="CQ468" s="461"/>
      <c r="CR468" s="461"/>
      <c r="CS468" s="461"/>
      <c r="CT468" s="461"/>
      <c r="CU468" s="461"/>
      <c r="CV468" s="461"/>
      <c r="CW468" s="461"/>
      <c r="CX468" s="461"/>
      <c r="CY468" s="461"/>
      <c r="CZ468" s="461"/>
      <c r="DA468" s="461"/>
      <c r="DB468" s="461"/>
      <c r="DC468" s="461"/>
      <c r="DD468" s="461"/>
      <c r="DE468" s="461"/>
      <c r="DF468" s="461"/>
      <c r="DG468" s="461"/>
      <c r="DH468" s="461"/>
      <c r="DI468" s="461"/>
      <c r="DJ468" s="461"/>
      <c r="DK468" s="461"/>
      <c r="DL468" s="461"/>
      <c r="DM468" s="461"/>
      <c r="DN468" s="461"/>
      <c r="DO468" s="461"/>
      <c r="DP468" s="461"/>
      <c r="DQ468" s="461"/>
      <c r="DR468" s="461"/>
      <c r="DS468" s="461"/>
      <c r="DT468" s="461"/>
      <c r="DU468" s="461"/>
      <c r="DV468" s="461"/>
      <c r="DW468" s="461"/>
      <c r="DX468" s="461"/>
      <c r="DY468" s="461"/>
      <c r="DZ468" s="461"/>
      <c r="EA468" s="461"/>
      <c r="EB468" s="461"/>
      <c r="EC468" s="461"/>
      <c r="ED468" s="461"/>
      <c r="EE468" s="461"/>
      <c r="EF468" s="461"/>
      <c r="EG468" s="461"/>
      <c r="EH468" s="461"/>
      <c r="EI468" s="461"/>
      <c r="EJ468" s="461"/>
      <c r="EK468" s="461"/>
      <c r="EL468" s="461"/>
      <c r="EM468" s="461"/>
      <c r="EN468" s="461"/>
      <c r="EO468" s="461"/>
      <c r="EP468" s="461"/>
      <c r="EQ468" s="461"/>
      <c r="ER468" s="461"/>
      <c r="ES468" s="461"/>
      <c r="ET468" s="461"/>
      <c r="EU468" s="461"/>
      <c r="EV468" s="461"/>
      <c r="EW468" s="461"/>
      <c r="EX468" s="461"/>
      <c r="EY468" s="461"/>
      <c r="EZ468" s="461"/>
      <c r="FA468" s="461"/>
      <c r="FB468" s="461"/>
      <c r="FC468" s="461"/>
      <c r="FD468" s="461"/>
      <c r="FE468" s="461"/>
      <c r="FF468" s="461"/>
      <c r="FG468" s="461"/>
      <c r="FH468" s="461"/>
      <c r="FI468" s="461"/>
      <c r="FJ468" s="461"/>
      <c r="FK468" s="461"/>
      <c r="FL468" s="461"/>
      <c r="FM468" s="461"/>
      <c r="FN468" s="461"/>
      <c r="FO468" s="461"/>
      <c r="FP468" s="461"/>
      <c r="FQ468" s="461"/>
      <c r="FR468" s="461"/>
      <c r="FS468" s="461"/>
      <c r="FT468" s="461"/>
      <c r="FU468" s="461"/>
      <c r="FV468" s="461"/>
      <c r="FW468" s="461"/>
      <c r="FX468" s="461"/>
      <c r="FY468" s="461"/>
      <c r="FZ468" s="461"/>
      <c r="GA468" s="461"/>
      <c r="GB468" s="461"/>
      <c r="GC468" s="461"/>
      <c r="GD468" s="461"/>
    </row>
    <row r="469" spans="1:186" s="504" customFormat="1" ht="21.75" customHeight="1">
      <c r="A469" s="477"/>
      <c r="B469" s="476"/>
      <c r="C469" s="476"/>
      <c r="D469" s="476"/>
      <c r="E469" s="476"/>
      <c r="F469" s="476"/>
      <c r="G469" s="476"/>
      <c r="H469" s="476"/>
      <c r="I469" s="476"/>
      <c r="J469" s="476"/>
      <c r="K469" s="476"/>
      <c r="L469" s="476"/>
      <c r="M469" s="476"/>
      <c r="N469" s="476"/>
      <c r="O469" s="476"/>
      <c r="P469" s="476"/>
      <c r="Q469" s="476"/>
      <c r="R469" s="476"/>
      <c r="S469" s="476"/>
      <c r="T469" s="476"/>
      <c r="U469" s="476"/>
      <c r="V469" s="476"/>
      <c r="W469" s="476"/>
      <c r="X469" s="476"/>
      <c r="Y469" s="476"/>
      <c r="Z469" s="476"/>
      <c r="AA469" s="476"/>
      <c r="AB469" s="476"/>
      <c r="AC469" s="476"/>
      <c r="AD469" s="476"/>
      <c r="AE469" s="476"/>
      <c r="AF469" s="476"/>
      <c r="AG469" s="476"/>
      <c r="AH469" s="476"/>
      <c r="AI469" s="476"/>
      <c r="AJ469" s="476"/>
      <c r="AK469" s="476"/>
      <c r="AL469" s="476"/>
      <c r="AM469" s="476"/>
      <c r="AN469" s="476"/>
      <c r="AO469" s="476"/>
      <c r="AP469" s="476"/>
      <c r="AQ469" s="476"/>
      <c r="AR469" s="476"/>
      <c r="AS469" s="476"/>
      <c r="AT469" s="476"/>
      <c r="AU469" s="476"/>
      <c r="AV469" s="476"/>
      <c r="AW469" s="476"/>
      <c r="AX469" s="476"/>
      <c r="AY469" s="476"/>
      <c r="AZ469" s="476"/>
      <c r="BA469" s="476"/>
      <c r="BB469" s="476"/>
      <c r="BC469" s="476"/>
      <c r="BD469" s="476"/>
      <c r="BE469" s="476"/>
      <c r="BF469" s="476"/>
      <c r="BG469" s="476"/>
      <c r="BH469" s="476"/>
      <c r="BI469" s="476"/>
      <c r="BJ469" s="476"/>
      <c r="BK469" s="476"/>
      <c r="BL469" s="476"/>
      <c r="BM469" s="476"/>
      <c r="BN469" s="476"/>
      <c r="BO469" s="476"/>
      <c r="BP469" s="476"/>
      <c r="BQ469" s="476"/>
      <c r="BR469" s="476"/>
      <c r="BS469" s="476"/>
      <c r="BT469" s="476"/>
      <c r="BU469" s="476"/>
      <c r="BV469" s="476"/>
      <c r="BW469" s="476"/>
      <c r="BX469" s="476"/>
      <c r="BY469" s="476"/>
      <c r="BZ469" s="476"/>
      <c r="CA469" s="476"/>
      <c r="CB469" s="476"/>
      <c r="CC469" s="476"/>
      <c r="CD469" s="476"/>
      <c r="CE469" s="476"/>
      <c r="CF469" s="476"/>
      <c r="CG469" s="476"/>
      <c r="CH469" s="476"/>
      <c r="CI469" s="476"/>
      <c r="CJ469" s="476"/>
      <c r="CK469" s="476"/>
      <c r="CL469" s="476"/>
      <c r="CM469" s="476"/>
      <c r="CN469" s="476"/>
      <c r="CO469" s="476"/>
      <c r="CP469" s="476"/>
      <c r="CQ469" s="476"/>
      <c r="CR469" s="476"/>
      <c r="CS469" s="476"/>
      <c r="CT469" s="476"/>
      <c r="CU469" s="476"/>
      <c r="CV469" s="476"/>
      <c r="CW469" s="476"/>
      <c r="CX469" s="476"/>
      <c r="CY469" s="476"/>
      <c r="CZ469" s="476"/>
      <c r="DA469" s="476"/>
      <c r="DB469" s="476"/>
      <c r="DC469" s="476"/>
      <c r="DD469" s="476"/>
      <c r="DE469" s="476"/>
      <c r="DF469" s="476"/>
      <c r="DG469" s="476"/>
      <c r="DH469" s="476"/>
      <c r="DI469" s="476"/>
      <c r="DJ469" s="476"/>
      <c r="DK469" s="476"/>
      <c r="DL469" s="476"/>
      <c r="DM469" s="476"/>
      <c r="DN469" s="476"/>
      <c r="DO469" s="476"/>
      <c r="DP469" s="476"/>
      <c r="DQ469" s="476"/>
      <c r="DR469" s="476"/>
      <c r="DS469" s="476"/>
      <c r="DT469" s="476"/>
      <c r="DU469" s="476"/>
      <c r="DV469" s="476"/>
      <c r="DW469" s="476"/>
      <c r="DX469" s="476"/>
      <c r="DY469" s="476"/>
      <c r="DZ469" s="476"/>
      <c r="EA469" s="476"/>
      <c r="EB469" s="476"/>
      <c r="EC469" s="476"/>
      <c r="ED469" s="476"/>
      <c r="EE469" s="476"/>
      <c r="EF469" s="476"/>
      <c r="EG469" s="476"/>
      <c r="EH469" s="476"/>
      <c r="EI469" s="476"/>
      <c r="EJ469" s="476"/>
      <c r="EK469" s="476"/>
      <c r="EL469" s="476"/>
      <c r="EM469" s="476"/>
      <c r="EN469" s="476"/>
      <c r="EO469" s="476"/>
      <c r="EP469" s="476"/>
      <c r="EQ469" s="476"/>
      <c r="ER469" s="476"/>
      <c r="ES469" s="476"/>
      <c r="ET469" s="476"/>
      <c r="EU469" s="476"/>
      <c r="EV469" s="476"/>
      <c r="EW469" s="476"/>
      <c r="EX469" s="476"/>
      <c r="EY469" s="476"/>
      <c r="EZ469" s="476"/>
      <c r="FA469" s="476"/>
      <c r="FB469" s="476"/>
      <c r="FC469" s="476"/>
      <c r="FD469" s="476"/>
      <c r="FE469" s="476"/>
      <c r="FF469" s="476"/>
      <c r="FG469" s="476"/>
      <c r="FH469" s="476"/>
      <c r="FI469" s="476"/>
      <c r="FJ469" s="476"/>
      <c r="FK469" s="476"/>
      <c r="FL469" s="476"/>
      <c r="FM469" s="476"/>
      <c r="FN469" s="476"/>
      <c r="FO469" s="476"/>
      <c r="FP469" s="476"/>
      <c r="FQ469" s="476"/>
      <c r="FR469" s="476"/>
      <c r="FS469" s="476"/>
      <c r="FT469" s="476"/>
      <c r="FU469" s="476"/>
      <c r="FV469" s="476"/>
      <c r="FW469" s="476"/>
      <c r="FX469" s="476"/>
      <c r="FY469" s="476"/>
      <c r="FZ469" s="476"/>
      <c r="GA469" s="476"/>
      <c r="GB469" s="476"/>
      <c r="GC469" s="476"/>
      <c r="GD469" s="476"/>
    </row>
    <row r="470" spans="1:186" ht="21.75" customHeight="1">
      <c r="A470" s="194"/>
      <c r="B470" s="6"/>
      <c r="C470" s="6"/>
      <c r="D470" s="6"/>
      <c r="E470" s="6"/>
      <c r="F470" s="6"/>
      <c r="G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O470" s="6"/>
      <c r="AP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</row>
    <row r="471" spans="1:186" s="568" customFormat="1" ht="21.75" customHeight="1">
      <c r="A471" s="569"/>
    </row>
    <row r="472" spans="1:186" s="497" customFormat="1" ht="21.75" customHeight="1">
      <c r="A472" s="533"/>
    </row>
    <row r="473" spans="1:186" s="571" customFormat="1" ht="21.75" customHeight="1">
      <c r="A473" s="570"/>
    </row>
    <row r="474" spans="1:186" s="496" customFormat="1" ht="21.75" customHeight="1">
      <c r="A474" s="535"/>
    </row>
    <row r="475" spans="1:186" s="495" customFormat="1" ht="21.75" customHeight="1">
      <c r="A475" s="539"/>
    </row>
    <row r="476" spans="1:186" s="496" customFormat="1" ht="21.75" customHeight="1">
      <c r="A476" s="535"/>
    </row>
    <row r="477" spans="1:186" s="496" customFormat="1" ht="21.75" customHeight="1">
      <c r="A477" s="535"/>
    </row>
    <row r="478" spans="1:186" s="496" customFormat="1" ht="21.75" customHeight="1">
      <c r="A478" s="535"/>
    </row>
    <row r="479" spans="1:186" s="496" customFormat="1" ht="21.75" customHeight="1">
      <c r="A479" s="535"/>
    </row>
    <row r="480" spans="1:186" s="501" customFormat="1" ht="21.75" customHeight="1">
      <c r="A480" s="534"/>
    </row>
    <row r="481" spans="1:1" s="495" customFormat="1" ht="21.75" customHeight="1">
      <c r="A481" s="539"/>
    </row>
    <row r="482" spans="1:1" s="505" customFormat="1" ht="21.75" customHeight="1">
      <c r="A482" s="546"/>
    </row>
    <row r="483" spans="1:1" s="496" customFormat="1" ht="21.75" customHeight="1">
      <c r="A483" s="535"/>
    </row>
    <row r="484" spans="1:1" s="501" customFormat="1" ht="21.75" customHeight="1">
      <c r="A484" s="534"/>
    </row>
    <row r="485" spans="1:1" s="495" customFormat="1" ht="21.75" customHeight="1">
      <c r="A485" s="539"/>
    </row>
    <row r="486" spans="1:1" s="496" customFormat="1" ht="21.75" customHeight="1">
      <c r="A486" s="535"/>
    </row>
    <row r="487" spans="1:1" s="496" customFormat="1" ht="21.75" customHeight="1">
      <c r="A487" s="535"/>
    </row>
    <row r="488" spans="1:1" s="496" customFormat="1" ht="21.75" customHeight="1">
      <c r="A488" s="535"/>
    </row>
    <row r="489" spans="1:1" s="555" customFormat="1" ht="21.75" customHeight="1">
      <c r="A489" s="561"/>
    </row>
    <row r="490" spans="1:1" s="504" customFormat="1" ht="21.75" customHeight="1">
      <c r="A490" s="553"/>
    </row>
    <row r="491" spans="1:1" s="496" customFormat="1" ht="21.75" customHeight="1">
      <c r="A491" s="535"/>
    </row>
    <row r="492" spans="1:1" s="497" customFormat="1" ht="21.75" customHeight="1">
      <c r="A492" s="533"/>
    </row>
    <row r="493" spans="1:1" s="495" customFormat="1" ht="21.75" customHeight="1">
      <c r="A493" s="539"/>
    </row>
    <row r="494" spans="1:1" s="505" customFormat="1" ht="21.75" customHeight="1">
      <c r="A494" s="546"/>
    </row>
    <row r="495" spans="1:1" s="496" customFormat="1" ht="21.75" customHeight="1">
      <c r="A495" s="535"/>
    </row>
    <row r="496" spans="1:1" s="496" customFormat="1" ht="21.75" customHeight="1">
      <c r="A496" s="535"/>
    </row>
    <row r="497" spans="1:186" s="505" customFormat="1" ht="21.75" customHeight="1">
      <c r="A497" s="546"/>
    </row>
    <row r="498" spans="1:186" s="497" customFormat="1" ht="21.75" customHeight="1">
      <c r="A498" s="533"/>
    </row>
    <row r="499" spans="1:186" s="504" customFormat="1" ht="21.75" customHeight="1">
      <c r="A499" s="553"/>
    </row>
    <row r="500" spans="1:186" s="524" customFormat="1" ht="21.75" customHeight="1">
      <c r="A500" s="558"/>
    </row>
    <row r="501" spans="1:186" s="568" customFormat="1" ht="21.75" customHeight="1">
      <c r="A501" s="569"/>
    </row>
    <row r="502" spans="1:186" s="495" customFormat="1" ht="21.75" customHeight="1">
      <c r="A502" s="539"/>
    </row>
    <row r="503" spans="1:186" s="505" customFormat="1" ht="21.75" customHeight="1">
      <c r="A503" s="546"/>
    </row>
    <row r="504" spans="1:186" s="505" customFormat="1" ht="21.75" customHeight="1">
      <c r="A504" s="546"/>
    </row>
    <row r="505" spans="1:186" s="497" customFormat="1" ht="21.75" customHeight="1">
      <c r="A505" s="533"/>
    </row>
    <row r="506" spans="1:186" s="495" customFormat="1" ht="21.75" customHeight="1">
      <c r="A506" s="449"/>
      <c r="B506" s="448"/>
      <c r="C506" s="448"/>
      <c r="D506" s="448"/>
      <c r="E506" s="448"/>
      <c r="F506" s="448"/>
      <c r="G506" s="448"/>
      <c r="H506" s="448"/>
      <c r="I506" s="448"/>
      <c r="J506" s="448"/>
      <c r="K506" s="448"/>
      <c r="L506" s="448"/>
      <c r="M506" s="448"/>
      <c r="N506" s="448"/>
      <c r="O506" s="448"/>
      <c r="P506" s="448"/>
      <c r="Q506" s="448"/>
      <c r="R506" s="448"/>
      <c r="S506" s="448"/>
      <c r="T506" s="448"/>
      <c r="U506" s="448"/>
      <c r="V506" s="448"/>
      <c r="W506" s="448"/>
      <c r="X506" s="448"/>
      <c r="Y506" s="448"/>
      <c r="Z506" s="448"/>
      <c r="AA506" s="448"/>
      <c r="AB506" s="448"/>
      <c r="AC506" s="448"/>
      <c r="AD506" s="448"/>
      <c r="AE506" s="448"/>
      <c r="AF506" s="448"/>
      <c r="AG506" s="448"/>
      <c r="AH506" s="448"/>
      <c r="AI506" s="448"/>
      <c r="AJ506" s="448"/>
      <c r="AK506" s="448"/>
      <c r="AL506" s="448"/>
      <c r="AM506" s="448"/>
      <c r="AN506" s="448"/>
      <c r="AO506" s="448"/>
      <c r="AP506" s="448"/>
      <c r="AQ506" s="448"/>
      <c r="AR506" s="448"/>
      <c r="AS506" s="448"/>
      <c r="AT506" s="448"/>
      <c r="AU506" s="448"/>
      <c r="AV506" s="448"/>
      <c r="AW506" s="448"/>
      <c r="AX506" s="448"/>
      <c r="AY506" s="448"/>
      <c r="AZ506" s="448"/>
      <c r="BA506" s="448"/>
      <c r="BB506" s="448"/>
      <c r="BC506" s="448"/>
      <c r="BD506" s="448"/>
      <c r="BE506" s="448"/>
      <c r="BF506" s="448"/>
      <c r="BG506" s="448"/>
      <c r="BH506" s="448"/>
      <c r="BI506" s="448"/>
      <c r="BJ506" s="448"/>
      <c r="BK506" s="448"/>
      <c r="BL506" s="448"/>
      <c r="BM506" s="448"/>
      <c r="BN506" s="448"/>
      <c r="BO506" s="448"/>
      <c r="BP506" s="448"/>
      <c r="BQ506" s="448"/>
      <c r="BR506" s="448"/>
      <c r="BS506" s="448"/>
      <c r="BT506" s="448"/>
      <c r="BU506" s="448"/>
      <c r="BV506" s="448"/>
      <c r="BW506" s="448"/>
      <c r="BX506" s="448"/>
      <c r="BY506" s="448"/>
      <c r="BZ506" s="448"/>
      <c r="CA506" s="448"/>
      <c r="CB506" s="448"/>
      <c r="CC506" s="448"/>
      <c r="CD506" s="448"/>
      <c r="CE506" s="448"/>
      <c r="CF506" s="448"/>
      <c r="CG506" s="448"/>
      <c r="CH506" s="448"/>
      <c r="CI506" s="448"/>
      <c r="CJ506" s="448"/>
      <c r="CK506" s="448"/>
      <c r="CL506" s="448"/>
      <c r="CM506" s="448"/>
      <c r="CN506" s="448"/>
      <c r="CO506" s="448"/>
      <c r="CP506" s="448"/>
      <c r="CQ506" s="448"/>
      <c r="CR506" s="448"/>
      <c r="CS506" s="448"/>
      <c r="CT506" s="448"/>
      <c r="CU506" s="448"/>
      <c r="CV506" s="448"/>
      <c r="CW506" s="448"/>
      <c r="CX506" s="448"/>
      <c r="CY506" s="448"/>
      <c r="CZ506" s="448"/>
      <c r="DA506" s="448"/>
      <c r="DB506" s="448"/>
      <c r="DC506" s="448"/>
      <c r="DD506" s="448"/>
      <c r="DE506" s="448"/>
      <c r="DF506" s="448"/>
      <c r="DG506" s="448"/>
      <c r="DH506" s="448"/>
      <c r="DI506" s="448"/>
      <c r="DJ506" s="448"/>
      <c r="DK506" s="448"/>
      <c r="DL506" s="448"/>
      <c r="DM506" s="448"/>
      <c r="DN506" s="448"/>
      <c r="DO506" s="448"/>
      <c r="DP506" s="448"/>
      <c r="DQ506" s="448"/>
      <c r="DR506" s="448"/>
      <c r="DS506" s="448"/>
      <c r="DT506" s="448"/>
      <c r="DU506" s="448"/>
      <c r="DV506" s="448"/>
      <c r="DW506" s="448"/>
      <c r="DX506" s="448"/>
      <c r="DY506" s="448"/>
      <c r="DZ506" s="448"/>
      <c r="EA506" s="448"/>
      <c r="EB506" s="448"/>
      <c r="EC506" s="448"/>
      <c r="ED506" s="448"/>
      <c r="EE506" s="448"/>
      <c r="EF506" s="448"/>
      <c r="EG506" s="448"/>
      <c r="EH506" s="448"/>
      <c r="EI506" s="448"/>
      <c r="EJ506" s="448"/>
      <c r="EK506" s="448"/>
      <c r="EL506" s="448"/>
      <c r="EM506" s="448"/>
      <c r="EN506" s="448"/>
      <c r="EO506" s="448"/>
      <c r="EP506" s="448"/>
      <c r="EQ506" s="448"/>
      <c r="ER506" s="448"/>
      <c r="ES506" s="448"/>
      <c r="ET506" s="448"/>
      <c r="EU506" s="448"/>
      <c r="EV506" s="448"/>
      <c r="EW506" s="448"/>
      <c r="EX506" s="448"/>
      <c r="EY506" s="448"/>
      <c r="EZ506" s="448"/>
      <c r="FA506" s="448"/>
      <c r="FB506" s="448"/>
      <c r="FC506" s="448"/>
      <c r="FD506" s="448"/>
      <c r="FE506" s="448"/>
      <c r="FF506" s="448"/>
      <c r="FG506" s="448"/>
      <c r="FH506" s="448"/>
      <c r="FI506" s="448"/>
      <c r="FJ506" s="448"/>
      <c r="FK506" s="448"/>
      <c r="FL506" s="448"/>
      <c r="FM506" s="448"/>
      <c r="FN506" s="448"/>
      <c r="FO506" s="448"/>
      <c r="FP506" s="448"/>
      <c r="FQ506" s="448"/>
      <c r="FR506" s="448"/>
      <c r="FS506" s="448"/>
      <c r="FT506" s="448"/>
      <c r="FU506" s="448"/>
      <c r="FV506" s="448"/>
      <c r="FW506" s="448"/>
      <c r="FX506" s="448"/>
      <c r="FY506" s="448"/>
      <c r="FZ506" s="448"/>
      <c r="GA506" s="448"/>
      <c r="GB506" s="448"/>
      <c r="GC506" s="448"/>
      <c r="GD506" s="448"/>
    </row>
    <row r="507" spans="1:186" s="496" customFormat="1" ht="21.75" customHeight="1">
      <c r="A507" s="535"/>
    </row>
    <row r="508" spans="1:186" s="496" customFormat="1" ht="21.75" customHeight="1">
      <c r="A508" s="535"/>
    </row>
    <row r="509" spans="1:186" s="496" customFormat="1" ht="21.75" customHeight="1">
      <c r="A509" s="535"/>
    </row>
    <row r="510" spans="1:186" s="572" customFormat="1" ht="21.75" customHeight="1">
      <c r="A510" s="573"/>
    </row>
    <row r="511" spans="1:186" s="501" customFormat="1" ht="21.75" customHeight="1">
      <c r="A511" s="534"/>
    </row>
    <row r="512" spans="1:186" s="495" customFormat="1" ht="21.75" customHeight="1">
      <c r="A512" s="539"/>
    </row>
    <row r="513" spans="1:1" s="496" customFormat="1" ht="21.75" customHeight="1">
      <c r="A513" s="535"/>
    </row>
    <row r="514" spans="1:1" s="496" customFormat="1" ht="21.75" customHeight="1">
      <c r="A514" s="535"/>
    </row>
    <row r="515" spans="1:1" s="496" customFormat="1" ht="21.75" customHeight="1">
      <c r="A515" s="535"/>
    </row>
    <row r="516" spans="1:1" s="496" customFormat="1" ht="21.75" customHeight="1">
      <c r="A516" s="535"/>
    </row>
    <row r="517" spans="1:1" s="496" customFormat="1" ht="21.75" customHeight="1">
      <c r="A517" s="535"/>
    </row>
    <row r="518" spans="1:1" s="450" customFormat="1" ht="21.75" customHeight="1">
      <c r="A518" s="451"/>
    </row>
    <row r="519" spans="1:1" s="448" customFormat="1" ht="21.75" customHeight="1">
      <c r="A519" s="449"/>
    </row>
    <row r="520" spans="1:1" s="495" customFormat="1" ht="21.75" customHeight="1">
      <c r="A520" s="539"/>
    </row>
    <row r="521" spans="1:1" s="497" customFormat="1" ht="21.75" customHeight="1">
      <c r="A521" s="533"/>
    </row>
    <row r="522" spans="1:1" s="495" customFormat="1" ht="21.75" customHeight="1">
      <c r="A522" s="539"/>
    </row>
    <row r="523" spans="1:1" s="496" customFormat="1" ht="21.75" customHeight="1">
      <c r="A523" s="535"/>
    </row>
    <row r="524" spans="1:1" s="501" customFormat="1" ht="21.75" customHeight="1">
      <c r="A524" s="534"/>
    </row>
    <row r="525" spans="1:1" s="495" customFormat="1" ht="21.75" customHeight="1">
      <c r="A525" s="539"/>
    </row>
    <row r="526" spans="1:1" s="497" customFormat="1" ht="21.75" customHeight="1">
      <c r="A526" s="533"/>
    </row>
    <row r="527" spans="1:1" s="495" customFormat="1" ht="21.75" customHeight="1">
      <c r="A527" s="539"/>
    </row>
    <row r="528" spans="1:1" s="495" customFormat="1" ht="21.75" customHeight="1">
      <c r="A528" s="539"/>
    </row>
    <row r="529" spans="1:186" s="505" customFormat="1" ht="21.75" customHeight="1">
      <c r="A529" s="546"/>
    </row>
    <row r="530" spans="1:186" s="496" customFormat="1" ht="21.75" customHeight="1">
      <c r="A530" s="535"/>
    </row>
    <row r="531" spans="1:186" s="496" customFormat="1" ht="21.75" customHeight="1">
      <c r="A531" s="535"/>
    </row>
    <row r="532" spans="1:186" s="496" customFormat="1" ht="21.75" customHeight="1">
      <c r="A532" s="535"/>
    </row>
    <row r="533" spans="1:186" s="496" customFormat="1" ht="21.75" customHeight="1">
      <c r="A533" s="535"/>
    </row>
    <row r="534" spans="1:186" s="496" customFormat="1" ht="21.75" customHeight="1">
      <c r="A534" s="535"/>
    </row>
    <row r="535" spans="1:186" s="496" customFormat="1" ht="21.75" customHeight="1">
      <c r="A535" s="535"/>
    </row>
    <row r="536" spans="1:186" ht="21.75" customHeight="1">
      <c r="A536" s="194"/>
      <c r="B536" s="6"/>
      <c r="C536" s="6"/>
      <c r="D536" s="6"/>
      <c r="E536" s="6"/>
      <c r="F536" s="6"/>
      <c r="G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O536" s="6"/>
      <c r="AP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</row>
    <row r="537" spans="1:186" ht="21.75" customHeight="1">
      <c r="A537" s="194"/>
      <c r="B537" s="6"/>
      <c r="C537" s="6"/>
      <c r="D537" s="6"/>
      <c r="E537" s="6"/>
      <c r="F537" s="6"/>
      <c r="G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O537" s="6"/>
      <c r="AP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</row>
    <row r="538" spans="1:186" s="527" customFormat="1" ht="21.75" customHeight="1">
      <c r="A538" s="470"/>
      <c r="B538" s="465"/>
      <c r="C538" s="465"/>
      <c r="D538" s="465"/>
      <c r="E538" s="465"/>
      <c r="F538" s="465"/>
      <c r="G538" s="465"/>
      <c r="H538" s="465"/>
      <c r="I538" s="465"/>
      <c r="J538" s="465"/>
      <c r="K538" s="465"/>
      <c r="L538" s="465"/>
      <c r="M538" s="465"/>
      <c r="N538" s="465"/>
      <c r="O538" s="465"/>
      <c r="P538" s="465"/>
      <c r="Q538" s="465"/>
      <c r="R538" s="465"/>
      <c r="S538" s="465"/>
      <c r="T538" s="465"/>
      <c r="U538" s="465"/>
      <c r="V538" s="465"/>
      <c r="W538" s="465"/>
      <c r="X538" s="465"/>
      <c r="Y538" s="465"/>
      <c r="Z538" s="465"/>
      <c r="AA538" s="465"/>
      <c r="AB538" s="465"/>
      <c r="AC538" s="465"/>
      <c r="AD538" s="465"/>
      <c r="AE538" s="465"/>
      <c r="AF538" s="465"/>
      <c r="AG538" s="465"/>
      <c r="AH538" s="465"/>
      <c r="AI538" s="465"/>
      <c r="AJ538" s="465"/>
      <c r="AK538" s="465"/>
      <c r="AL538" s="465"/>
      <c r="AM538" s="465"/>
      <c r="AN538" s="465"/>
      <c r="AO538" s="465"/>
      <c r="AP538" s="465"/>
      <c r="AQ538" s="465"/>
      <c r="AR538" s="465"/>
      <c r="AS538" s="465"/>
      <c r="AT538" s="465"/>
      <c r="AU538" s="465"/>
      <c r="AV538" s="465"/>
      <c r="AW538" s="465"/>
      <c r="AX538" s="465"/>
      <c r="AY538" s="465"/>
      <c r="AZ538" s="465"/>
      <c r="BA538" s="465"/>
      <c r="BB538" s="465"/>
      <c r="BC538" s="465"/>
      <c r="BD538" s="465"/>
      <c r="BE538" s="465"/>
      <c r="BF538" s="465"/>
      <c r="BG538" s="465"/>
      <c r="BH538" s="465"/>
      <c r="BI538" s="465"/>
      <c r="BJ538" s="465"/>
      <c r="BK538" s="465"/>
      <c r="BL538" s="465"/>
      <c r="BM538" s="465"/>
      <c r="BN538" s="465"/>
      <c r="BO538" s="465"/>
      <c r="BP538" s="465"/>
      <c r="BQ538" s="465"/>
      <c r="BR538" s="465"/>
      <c r="BS538" s="465"/>
      <c r="BT538" s="465"/>
      <c r="BU538" s="465"/>
      <c r="BV538" s="465"/>
      <c r="BW538" s="465"/>
      <c r="BX538" s="465"/>
      <c r="BY538" s="465"/>
      <c r="BZ538" s="465"/>
      <c r="CA538" s="465"/>
      <c r="CB538" s="465"/>
      <c r="CC538" s="465"/>
      <c r="CD538" s="465"/>
      <c r="CE538" s="465"/>
      <c r="CF538" s="465"/>
      <c r="CG538" s="465"/>
      <c r="CH538" s="465"/>
      <c r="CI538" s="465"/>
      <c r="CJ538" s="465"/>
      <c r="CK538" s="465"/>
      <c r="CL538" s="465"/>
      <c r="CM538" s="465"/>
      <c r="CN538" s="465"/>
      <c r="CO538" s="465"/>
      <c r="CP538" s="465"/>
      <c r="CQ538" s="465"/>
      <c r="CR538" s="465"/>
      <c r="CS538" s="465"/>
      <c r="CT538" s="465"/>
      <c r="CU538" s="465"/>
      <c r="CV538" s="465"/>
      <c r="CW538" s="465"/>
      <c r="CX538" s="465"/>
      <c r="CY538" s="465"/>
      <c r="CZ538" s="465"/>
      <c r="DA538" s="465"/>
      <c r="DB538" s="465"/>
      <c r="DC538" s="465"/>
      <c r="DD538" s="465"/>
      <c r="DE538" s="465"/>
      <c r="DF538" s="465"/>
      <c r="DG538" s="465"/>
      <c r="DH538" s="465"/>
      <c r="DI538" s="465"/>
      <c r="DJ538" s="465"/>
      <c r="DK538" s="465"/>
      <c r="DL538" s="465"/>
      <c r="DM538" s="465"/>
      <c r="DN538" s="465"/>
      <c r="DO538" s="465"/>
      <c r="DP538" s="465"/>
      <c r="DQ538" s="465"/>
      <c r="DR538" s="465"/>
      <c r="DS538" s="465"/>
      <c r="DT538" s="465"/>
      <c r="DU538" s="465"/>
      <c r="DV538" s="465"/>
      <c r="DW538" s="465"/>
      <c r="DX538" s="465"/>
      <c r="DY538" s="465"/>
      <c r="DZ538" s="465"/>
      <c r="EA538" s="465"/>
      <c r="EB538" s="465"/>
      <c r="EC538" s="465"/>
      <c r="ED538" s="465"/>
      <c r="EE538" s="465"/>
      <c r="EF538" s="465"/>
      <c r="EG538" s="465"/>
      <c r="EH538" s="465"/>
      <c r="EI538" s="465"/>
      <c r="EJ538" s="465"/>
      <c r="EK538" s="465"/>
      <c r="EL538" s="465"/>
      <c r="EM538" s="465"/>
      <c r="EN538" s="465"/>
      <c r="EO538" s="465"/>
      <c r="EP538" s="465"/>
      <c r="EQ538" s="465"/>
      <c r="ER538" s="465"/>
      <c r="ES538" s="465"/>
      <c r="ET538" s="465"/>
      <c r="EU538" s="465"/>
      <c r="EV538" s="465"/>
      <c r="EW538" s="465"/>
      <c r="EX538" s="465"/>
      <c r="EY538" s="465"/>
      <c r="EZ538" s="465"/>
      <c r="FA538" s="465"/>
      <c r="FB538" s="465"/>
      <c r="FC538" s="465"/>
      <c r="FD538" s="465"/>
      <c r="FE538" s="465"/>
      <c r="FF538" s="465"/>
      <c r="FG538" s="465"/>
      <c r="FH538" s="465"/>
      <c r="FI538" s="465"/>
      <c r="FJ538" s="465"/>
      <c r="FK538" s="465"/>
      <c r="FL538" s="465"/>
      <c r="FM538" s="465"/>
      <c r="FN538" s="465"/>
      <c r="FO538" s="465"/>
      <c r="FP538" s="465"/>
      <c r="FQ538" s="465"/>
      <c r="FR538" s="465"/>
      <c r="FS538" s="465"/>
      <c r="FT538" s="465"/>
      <c r="FU538" s="465"/>
      <c r="FV538" s="465"/>
      <c r="FW538" s="465"/>
      <c r="FX538" s="465"/>
      <c r="FY538" s="465"/>
      <c r="FZ538" s="465"/>
      <c r="GA538" s="465"/>
      <c r="GB538" s="465"/>
      <c r="GC538" s="465"/>
      <c r="GD538" s="465"/>
    </row>
    <row r="539" spans="1:186" s="495" customFormat="1" ht="21.75" customHeight="1">
      <c r="A539" s="539"/>
    </row>
    <row r="540" spans="1:186" s="496" customFormat="1" ht="21.75" customHeight="1">
      <c r="A540" s="535"/>
    </row>
    <row r="541" spans="1:186" s="501" customFormat="1" ht="21.75" customHeight="1">
      <c r="A541" s="534"/>
    </row>
    <row r="542" spans="1:186" s="495" customFormat="1" ht="21.75" customHeight="1">
      <c r="A542" s="539"/>
    </row>
    <row r="543" spans="1:186" s="496" customFormat="1" ht="21.75" customHeight="1">
      <c r="A543" s="535"/>
    </row>
    <row r="544" spans="1:186" s="497" customFormat="1" ht="21.75" customHeight="1">
      <c r="A544" s="533"/>
    </row>
    <row r="545" spans="1:186" s="495" customFormat="1" ht="21.75" customHeight="1">
      <c r="A545" s="539"/>
    </row>
    <row r="546" spans="1:186" s="496" customFormat="1" ht="21.75" customHeight="1">
      <c r="A546" s="535"/>
    </row>
    <row r="547" spans="1:186" s="501" customFormat="1" ht="21.75" customHeight="1">
      <c r="A547" s="534"/>
    </row>
    <row r="548" spans="1:186" s="497" customFormat="1" ht="21.75" customHeight="1">
      <c r="A548" s="533"/>
    </row>
    <row r="549" spans="1:186" s="501" customFormat="1" ht="21.75" customHeight="1">
      <c r="A549" s="534"/>
    </row>
    <row r="550" spans="1:186" s="495" customFormat="1" ht="21.75" customHeight="1">
      <c r="A550" s="539"/>
    </row>
    <row r="551" spans="1:186" s="497" customFormat="1" ht="21.75" customHeight="1">
      <c r="A551" s="533"/>
    </row>
    <row r="552" spans="1:186" s="504" customFormat="1" ht="21.75" customHeight="1">
      <c r="A552" s="553"/>
    </row>
    <row r="553" spans="1:186" s="499" customFormat="1" ht="21.75" customHeight="1">
      <c r="A553" s="543"/>
    </row>
    <row r="554" spans="1:186" s="496" customFormat="1" ht="21.75" customHeight="1">
      <c r="A554" s="535"/>
    </row>
    <row r="555" spans="1:186" s="524" customFormat="1" ht="21.75" customHeight="1">
      <c r="A555" s="558"/>
    </row>
    <row r="556" spans="1:186" s="495" customFormat="1" ht="21.75" customHeight="1">
      <c r="A556" s="539"/>
    </row>
    <row r="557" spans="1:186" s="496" customFormat="1" ht="21.75" customHeight="1">
      <c r="A557" s="535"/>
    </row>
    <row r="558" spans="1:186" s="502" customFormat="1" ht="21.75" customHeight="1">
      <c r="A558" s="540"/>
    </row>
    <row r="559" spans="1:186" s="495" customFormat="1" ht="21.75" customHeight="1">
      <c r="A559" s="449"/>
      <c r="B559" s="448"/>
      <c r="C559" s="448"/>
      <c r="D559" s="448"/>
      <c r="E559" s="448"/>
      <c r="F559" s="448"/>
      <c r="G559" s="448"/>
      <c r="H559" s="448"/>
      <c r="I559" s="448"/>
      <c r="J559" s="448"/>
      <c r="K559" s="448"/>
      <c r="L559" s="448"/>
      <c r="M559" s="448"/>
      <c r="N559" s="448"/>
      <c r="O559" s="448"/>
      <c r="P559" s="448"/>
      <c r="Q559" s="448"/>
      <c r="R559" s="448"/>
      <c r="S559" s="448"/>
      <c r="T559" s="448"/>
      <c r="U559" s="448"/>
      <c r="V559" s="448"/>
      <c r="W559" s="448"/>
      <c r="X559" s="448"/>
      <c r="Y559" s="448"/>
      <c r="Z559" s="448"/>
      <c r="AA559" s="448"/>
      <c r="AB559" s="448"/>
      <c r="AC559" s="448"/>
      <c r="AD559" s="448"/>
      <c r="AE559" s="448"/>
      <c r="AF559" s="448"/>
      <c r="AG559" s="448"/>
      <c r="AH559" s="448"/>
      <c r="AI559" s="448"/>
      <c r="AJ559" s="448"/>
      <c r="AK559" s="448"/>
      <c r="AL559" s="448"/>
      <c r="AM559" s="448"/>
      <c r="AN559" s="448"/>
      <c r="AO559" s="448"/>
      <c r="AP559" s="448"/>
      <c r="AQ559" s="448"/>
      <c r="AR559" s="448"/>
      <c r="AS559" s="448"/>
      <c r="AT559" s="448"/>
      <c r="AU559" s="448"/>
      <c r="AV559" s="448"/>
      <c r="AW559" s="448"/>
      <c r="AX559" s="448"/>
      <c r="AY559" s="448"/>
      <c r="AZ559" s="448"/>
      <c r="BA559" s="448"/>
      <c r="BB559" s="448"/>
      <c r="BC559" s="448"/>
      <c r="BD559" s="448"/>
      <c r="BE559" s="448"/>
      <c r="BF559" s="448"/>
      <c r="BG559" s="448"/>
      <c r="BH559" s="448"/>
      <c r="BI559" s="448"/>
      <c r="BJ559" s="448"/>
      <c r="BK559" s="448"/>
      <c r="BL559" s="448"/>
      <c r="BM559" s="448"/>
      <c r="BN559" s="448"/>
      <c r="BO559" s="448"/>
      <c r="BP559" s="448"/>
      <c r="BQ559" s="448"/>
      <c r="BR559" s="448"/>
      <c r="BS559" s="448"/>
      <c r="BT559" s="448"/>
      <c r="BU559" s="448"/>
      <c r="BV559" s="448"/>
      <c r="BW559" s="448"/>
      <c r="BX559" s="448"/>
      <c r="BY559" s="448"/>
      <c r="BZ559" s="448"/>
      <c r="CA559" s="448"/>
      <c r="CB559" s="448"/>
      <c r="CC559" s="448"/>
      <c r="CD559" s="448"/>
      <c r="CE559" s="448"/>
      <c r="CF559" s="448"/>
      <c r="CG559" s="448"/>
      <c r="CH559" s="448"/>
      <c r="CI559" s="448"/>
      <c r="CJ559" s="448"/>
      <c r="CK559" s="448"/>
      <c r="CL559" s="448"/>
      <c r="CM559" s="448"/>
      <c r="CN559" s="448"/>
      <c r="CO559" s="448"/>
      <c r="CP559" s="448"/>
      <c r="CQ559" s="448"/>
      <c r="CR559" s="448"/>
      <c r="CS559" s="448"/>
      <c r="CT559" s="448"/>
      <c r="CU559" s="448"/>
      <c r="CV559" s="448"/>
      <c r="CW559" s="448"/>
      <c r="CX559" s="448"/>
      <c r="CY559" s="448"/>
      <c r="CZ559" s="448"/>
      <c r="DA559" s="448"/>
      <c r="DB559" s="448"/>
      <c r="DC559" s="448"/>
      <c r="DD559" s="448"/>
      <c r="DE559" s="448"/>
      <c r="DF559" s="448"/>
      <c r="DG559" s="448"/>
      <c r="DH559" s="448"/>
      <c r="DI559" s="448"/>
      <c r="DJ559" s="448"/>
      <c r="DK559" s="448"/>
      <c r="DL559" s="448"/>
      <c r="DM559" s="448"/>
      <c r="DN559" s="448"/>
      <c r="DO559" s="448"/>
      <c r="DP559" s="448"/>
      <c r="DQ559" s="448"/>
      <c r="DR559" s="448"/>
      <c r="DS559" s="448"/>
      <c r="DT559" s="448"/>
      <c r="DU559" s="448"/>
      <c r="DV559" s="448"/>
      <c r="DW559" s="448"/>
      <c r="DX559" s="448"/>
      <c r="DY559" s="448"/>
      <c r="DZ559" s="448"/>
      <c r="EA559" s="448"/>
      <c r="EB559" s="448"/>
      <c r="EC559" s="448"/>
      <c r="ED559" s="448"/>
      <c r="EE559" s="448"/>
      <c r="EF559" s="448"/>
      <c r="EG559" s="448"/>
      <c r="EH559" s="448"/>
      <c r="EI559" s="448"/>
      <c r="EJ559" s="448"/>
      <c r="EK559" s="448"/>
      <c r="EL559" s="448"/>
      <c r="EM559" s="448"/>
      <c r="EN559" s="448"/>
      <c r="EO559" s="448"/>
      <c r="EP559" s="448"/>
      <c r="EQ559" s="448"/>
      <c r="ER559" s="448"/>
      <c r="ES559" s="448"/>
      <c r="ET559" s="448"/>
      <c r="EU559" s="448"/>
      <c r="EV559" s="448"/>
      <c r="EW559" s="448"/>
      <c r="EX559" s="448"/>
      <c r="EY559" s="448"/>
      <c r="EZ559" s="448"/>
      <c r="FA559" s="448"/>
      <c r="FB559" s="448"/>
      <c r="FC559" s="448"/>
      <c r="FD559" s="448"/>
      <c r="FE559" s="448"/>
      <c r="FF559" s="448"/>
      <c r="FG559" s="448"/>
      <c r="FH559" s="448"/>
      <c r="FI559" s="448"/>
      <c r="FJ559" s="448"/>
      <c r="FK559" s="448"/>
      <c r="FL559" s="448"/>
      <c r="FM559" s="448"/>
      <c r="FN559" s="448"/>
      <c r="FO559" s="448"/>
      <c r="FP559" s="448"/>
      <c r="FQ559" s="448"/>
      <c r="FR559" s="448"/>
      <c r="FS559" s="448"/>
      <c r="FT559" s="448"/>
      <c r="FU559" s="448"/>
      <c r="FV559" s="448"/>
      <c r="FW559" s="448"/>
      <c r="FX559" s="448"/>
      <c r="FY559" s="448"/>
      <c r="FZ559" s="448"/>
      <c r="GA559" s="448"/>
      <c r="GB559" s="448"/>
      <c r="GC559" s="448"/>
      <c r="GD559" s="448"/>
    </row>
    <row r="560" spans="1:186" s="496" customFormat="1" ht="21.75" customHeight="1">
      <c r="A560" s="535"/>
    </row>
    <row r="561" spans="1:186" s="497" customFormat="1" ht="21.75" customHeight="1">
      <c r="A561" s="533"/>
    </row>
    <row r="562" spans="1:186" s="501" customFormat="1" ht="21.75" customHeight="1">
      <c r="A562" s="534"/>
    </row>
    <row r="563" spans="1:186" s="495" customFormat="1" ht="21.75" customHeight="1">
      <c r="A563" s="539"/>
    </row>
    <row r="564" spans="1:186" s="501" customFormat="1" ht="21.75" customHeight="1">
      <c r="A564" s="534"/>
    </row>
    <row r="565" spans="1:186" s="505" customFormat="1" ht="21.75" customHeight="1">
      <c r="A565" s="546"/>
    </row>
    <row r="566" spans="1:186" s="496" customFormat="1" ht="21.75" customHeight="1">
      <c r="A566" s="535"/>
    </row>
    <row r="567" spans="1:186" s="496" customFormat="1" ht="21.75" customHeight="1">
      <c r="A567" s="535"/>
    </row>
    <row r="568" spans="1:186" s="495" customFormat="1" ht="21.75" customHeight="1">
      <c r="A568" s="539"/>
    </row>
    <row r="569" spans="1:186" s="497" customFormat="1" ht="21.75" customHeight="1">
      <c r="A569" s="533"/>
    </row>
    <row r="570" spans="1:186" s="495" customFormat="1" ht="21.75" customHeight="1">
      <c r="A570" s="449"/>
      <c r="B570" s="448"/>
      <c r="C570" s="448"/>
      <c r="D570" s="448"/>
      <c r="E570" s="448"/>
      <c r="F570" s="448"/>
      <c r="G570" s="448"/>
      <c r="H570" s="448"/>
      <c r="I570" s="448"/>
      <c r="J570" s="448"/>
      <c r="K570" s="448"/>
      <c r="L570" s="448"/>
      <c r="M570" s="448"/>
      <c r="N570" s="448"/>
      <c r="O570" s="448"/>
      <c r="P570" s="448"/>
      <c r="Q570" s="448"/>
      <c r="R570" s="448"/>
      <c r="S570" s="448"/>
      <c r="T570" s="448"/>
      <c r="U570" s="448"/>
      <c r="V570" s="448"/>
      <c r="W570" s="448"/>
      <c r="X570" s="448"/>
      <c r="Y570" s="448"/>
      <c r="Z570" s="448"/>
      <c r="AA570" s="448"/>
      <c r="AB570" s="448"/>
      <c r="AC570" s="448"/>
      <c r="AD570" s="448"/>
      <c r="AE570" s="448"/>
      <c r="AF570" s="448"/>
      <c r="AG570" s="448"/>
      <c r="AH570" s="448"/>
      <c r="AI570" s="448"/>
      <c r="AJ570" s="448"/>
      <c r="AK570" s="448"/>
      <c r="AL570" s="448"/>
      <c r="AM570" s="448"/>
      <c r="AN570" s="448"/>
      <c r="AO570" s="448"/>
      <c r="AP570" s="448"/>
      <c r="AQ570" s="448"/>
      <c r="AR570" s="448"/>
      <c r="AS570" s="448"/>
      <c r="AT570" s="448"/>
      <c r="AU570" s="448"/>
      <c r="AV570" s="448"/>
      <c r="AW570" s="448"/>
      <c r="AX570" s="448"/>
      <c r="AY570" s="448"/>
      <c r="AZ570" s="448"/>
      <c r="BA570" s="448"/>
      <c r="BB570" s="448"/>
      <c r="BC570" s="448"/>
      <c r="BD570" s="448"/>
      <c r="BE570" s="448"/>
      <c r="BF570" s="448"/>
      <c r="BG570" s="448"/>
      <c r="BH570" s="448"/>
      <c r="BI570" s="448"/>
      <c r="BJ570" s="448"/>
      <c r="BK570" s="448"/>
      <c r="BL570" s="448"/>
      <c r="BM570" s="448"/>
      <c r="BN570" s="448"/>
      <c r="BO570" s="448"/>
      <c r="BP570" s="448"/>
      <c r="BQ570" s="448"/>
      <c r="BR570" s="448"/>
      <c r="BS570" s="448"/>
      <c r="BT570" s="448"/>
      <c r="BU570" s="448"/>
      <c r="BV570" s="448"/>
      <c r="BW570" s="448"/>
      <c r="BX570" s="448"/>
      <c r="BY570" s="448"/>
      <c r="BZ570" s="448"/>
      <c r="CA570" s="448"/>
      <c r="CB570" s="448"/>
      <c r="CC570" s="448"/>
      <c r="CD570" s="448"/>
      <c r="CE570" s="448"/>
      <c r="CF570" s="448"/>
      <c r="CG570" s="448"/>
      <c r="CH570" s="448"/>
      <c r="CI570" s="448"/>
      <c r="CJ570" s="448"/>
      <c r="CK570" s="448"/>
      <c r="CL570" s="448"/>
      <c r="CM570" s="448"/>
      <c r="CN570" s="448"/>
      <c r="CO570" s="448"/>
      <c r="CP570" s="448"/>
      <c r="CQ570" s="448"/>
      <c r="CR570" s="448"/>
      <c r="CS570" s="448"/>
      <c r="CT570" s="448"/>
      <c r="CU570" s="448"/>
      <c r="CV570" s="448"/>
      <c r="CW570" s="448"/>
      <c r="CX570" s="448"/>
      <c r="CY570" s="448"/>
      <c r="CZ570" s="448"/>
      <c r="DA570" s="448"/>
      <c r="DB570" s="448"/>
      <c r="DC570" s="448"/>
      <c r="DD570" s="448"/>
      <c r="DE570" s="448"/>
      <c r="DF570" s="448"/>
      <c r="DG570" s="448"/>
      <c r="DH570" s="448"/>
      <c r="DI570" s="448"/>
      <c r="DJ570" s="448"/>
      <c r="DK570" s="448"/>
      <c r="DL570" s="448"/>
      <c r="DM570" s="448"/>
      <c r="DN570" s="448"/>
      <c r="DO570" s="448"/>
      <c r="DP570" s="448"/>
      <c r="DQ570" s="448"/>
      <c r="DR570" s="448"/>
      <c r="DS570" s="448"/>
      <c r="DT570" s="448"/>
      <c r="DU570" s="448"/>
      <c r="DV570" s="448"/>
      <c r="DW570" s="448"/>
      <c r="DX570" s="448"/>
      <c r="DY570" s="448"/>
      <c r="DZ570" s="448"/>
      <c r="EA570" s="448"/>
      <c r="EB570" s="448"/>
      <c r="EC570" s="448"/>
      <c r="ED570" s="448"/>
      <c r="EE570" s="448"/>
      <c r="EF570" s="448"/>
      <c r="EG570" s="448"/>
      <c r="EH570" s="448"/>
      <c r="EI570" s="448"/>
      <c r="EJ570" s="448"/>
      <c r="EK570" s="448"/>
      <c r="EL570" s="448"/>
      <c r="EM570" s="448"/>
      <c r="EN570" s="448"/>
      <c r="EO570" s="448"/>
      <c r="EP570" s="448"/>
      <c r="EQ570" s="448"/>
      <c r="ER570" s="448"/>
      <c r="ES570" s="448"/>
      <c r="ET570" s="448"/>
      <c r="EU570" s="448"/>
      <c r="EV570" s="448"/>
      <c r="EW570" s="448"/>
      <c r="EX570" s="448"/>
      <c r="EY570" s="448"/>
      <c r="EZ570" s="448"/>
      <c r="FA570" s="448"/>
      <c r="FB570" s="448"/>
      <c r="FC570" s="448"/>
      <c r="FD570" s="448"/>
      <c r="FE570" s="448"/>
      <c r="FF570" s="448"/>
      <c r="FG570" s="448"/>
      <c r="FH570" s="448"/>
      <c r="FI570" s="448"/>
      <c r="FJ570" s="448"/>
      <c r="FK570" s="448"/>
      <c r="FL570" s="448"/>
      <c r="FM570" s="448"/>
      <c r="FN570" s="448"/>
      <c r="FO570" s="448"/>
      <c r="FP570" s="448"/>
      <c r="FQ570" s="448"/>
      <c r="FR570" s="448"/>
      <c r="FS570" s="448"/>
      <c r="FT570" s="448"/>
      <c r="FU570" s="448"/>
      <c r="FV570" s="448"/>
      <c r="FW570" s="448"/>
      <c r="FX570" s="448"/>
      <c r="FY570" s="448"/>
      <c r="FZ570" s="448"/>
      <c r="GA570" s="448"/>
      <c r="GB570" s="448"/>
      <c r="GC570" s="448"/>
      <c r="GD570" s="448"/>
    </row>
    <row r="571" spans="1:186" s="496" customFormat="1" ht="21.75" customHeight="1">
      <c r="A571" s="535"/>
    </row>
    <row r="572" spans="1:186" s="496" customFormat="1" ht="21.75" customHeight="1">
      <c r="A572" s="535"/>
    </row>
    <row r="573" spans="1:186" s="497" customFormat="1" ht="21.75" customHeight="1">
      <c r="A573" s="533"/>
    </row>
    <row r="574" spans="1:186" s="495" customFormat="1" ht="21.75" customHeight="1">
      <c r="A574" s="539"/>
    </row>
    <row r="575" spans="1:186" s="496" customFormat="1" ht="21.75" customHeight="1">
      <c r="A575" s="535"/>
    </row>
    <row r="576" spans="1:186" s="524" customFormat="1" ht="21.75" customHeight="1">
      <c r="A576" s="558"/>
    </row>
    <row r="577" spans="1:186" s="495" customFormat="1" ht="21.75" customHeight="1">
      <c r="A577" s="539"/>
    </row>
    <row r="578" spans="1:186" s="496" customFormat="1" ht="21.75" customHeight="1">
      <c r="A578" s="535"/>
    </row>
    <row r="579" spans="1:186" s="501" customFormat="1" ht="21.75" customHeight="1">
      <c r="A579" s="534"/>
    </row>
    <row r="580" spans="1:186" s="495" customFormat="1" ht="21.75" customHeight="1">
      <c r="A580" s="539"/>
    </row>
    <row r="581" spans="1:186" s="497" customFormat="1" ht="21.75" customHeight="1">
      <c r="A581" s="533"/>
    </row>
    <row r="582" spans="1:186" s="495" customFormat="1" ht="21.75" customHeight="1">
      <c r="A582" s="539"/>
    </row>
    <row r="583" spans="1:186" s="497" customFormat="1" ht="21.75" customHeight="1">
      <c r="A583" s="533"/>
    </row>
    <row r="584" spans="1:186" s="495" customFormat="1" ht="21.75" customHeight="1">
      <c r="A584" s="539"/>
    </row>
    <row r="585" spans="1:186" s="496" customFormat="1" ht="21.75" customHeight="1">
      <c r="A585" s="535"/>
    </row>
    <row r="586" spans="1:186" s="497" customFormat="1" ht="21.75" customHeight="1">
      <c r="A586" s="451"/>
      <c r="B586" s="450"/>
      <c r="C586" s="450"/>
      <c r="D586" s="450"/>
      <c r="E586" s="450"/>
      <c r="F586" s="450"/>
      <c r="G586" s="450"/>
      <c r="H586" s="450"/>
      <c r="I586" s="450"/>
      <c r="J586" s="450"/>
      <c r="K586" s="450"/>
      <c r="L586" s="450"/>
      <c r="M586" s="450"/>
      <c r="N586" s="450"/>
      <c r="O586" s="450"/>
      <c r="P586" s="450"/>
      <c r="Q586" s="450"/>
      <c r="R586" s="450"/>
      <c r="S586" s="450"/>
      <c r="T586" s="450"/>
      <c r="U586" s="450"/>
      <c r="V586" s="450"/>
      <c r="W586" s="450"/>
      <c r="X586" s="450"/>
      <c r="Y586" s="450"/>
      <c r="Z586" s="450"/>
      <c r="AA586" s="450"/>
      <c r="AB586" s="450"/>
      <c r="AC586" s="450"/>
      <c r="AD586" s="450"/>
      <c r="AE586" s="450"/>
      <c r="AF586" s="450"/>
      <c r="AG586" s="450"/>
      <c r="AH586" s="450"/>
      <c r="AI586" s="450"/>
      <c r="AJ586" s="450"/>
      <c r="AK586" s="450"/>
      <c r="AL586" s="450"/>
      <c r="AM586" s="450"/>
      <c r="AN586" s="450"/>
      <c r="AO586" s="450"/>
      <c r="AP586" s="450"/>
      <c r="AQ586" s="450"/>
      <c r="AR586" s="450"/>
      <c r="AS586" s="450"/>
      <c r="AT586" s="450"/>
      <c r="AU586" s="450"/>
      <c r="AV586" s="450"/>
      <c r="AW586" s="450"/>
      <c r="AX586" s="450"/>
      <c r="AY586" s="450"/>
      <c r="AZ586" s="450"/>
      <c r="BA586" s="450"/>
      <c r="BB586" s="450"/>
      <c r="BC586" s="450"/>
      <c r="BD586" s="450"/>
      <c r="BE586" s="450"/>
      <c r="BF586" s="450"/>
      <c r="BG586" s="450"/>
      <c r="BH586" s="450"/>
      <c r="BI586" s="450"/>
      <c r="BJ586" s="450"/>
      <c r="BK586" s="450"/>
      <c r="BL586" s="450"/>
      <c r="BM586" s="450"/>
      <c r="BN586" s="450"/>
      <c r="BO586" s="450"/>
      <c r="BP586" s="450"/>
      <c r="BQ586" s="450"/>
      <c r="BR586" s="450"/>
      <c r="BS586" s="450"/>
      <c r="BT586" s="450"/>
      <c r="BU586" s="450"/>
      <c r="BV586" s="450"/>
      <c r="BW586" s="450"/>
      <c r="BX586" s="450"/>
      <c r="BY586" s="450"/>
      <c r="BZ586" s="450"/>
      <c r="CA586" s="450"/>
      <c r="CB586" s="450"/>
      <c r="CC586" s="450"/>
      <c r="CD586" s="450"/>
      <c r="CE586" s="450"/>
      <c r="CF586" s="450"/>
      <c r="CG586" s="450"/>
      <c r="CH586" s="450"/>
      <c r="CI586" s="450"/>
      <c r="CJ586" s="450"/>
      <c r="CK586" s="450"/>
      <c r="CL586" s="450"/>
      <c r="CM586" s="450"/>
      <c r="CN586" s="450"/>
      <c r="CO586" s="450"/>
      <c r="CP586" s="450"/>
      <c r="CQ586" s="450"/>
      <c r="CR586" s="450"/>
      <c r="CS586" s="450"/>
      <c r="CT586" s="450"/>
      <c r="CU586" s="450"/>
      <c r="CV586" s="450"/>
      <c r="CW586" s="450"/>
      <c r="CX586" s="450"/>
      <c r="CY586" s="450"/>
      <c r="CZ586" s="450"/>
      <c r="DA586" s="450"/>
      <c r="DB586" s="450"/>
      <c r="DC586" s="450"/>
      <c r="DD586" s="450"/>
      <c r="DE586" s="450"/>
      <c r="DF586" s="450"/>
      <c r="DG586" s="450"/>
      <c r="DH586" s="450"/>
      <c r="DI586" s="450"/>
      <c r="DJ586" s="450"/>
      <c r="DK586" s="450"/>
      <c r="DL586" s="450"/>
      <c r="DM586" s="450"/>
      <c r="DN586" s="450"/>
      <c r="DO586" s="450"/>
      <c r="DP586" s="450"/>
      <c r="DQ586" s="450"/>
      <c r="DR586" s="450"/>
      <c r="DS586" s="450"/>
      <c r="DT586" s="450"/>
      <c r="DU586" s="450"/>
      <c r="DV586" s="450"/>
      <c r="DW586" s="450"/>
      <c r="DX586" s="450"/>
      <c r="DY586" s="450"/>
      <c r="DZ586" s="450"/>
      <c r="EA586" s="450"/>
      <c r="EB586" s="450"/>
      <c r="EC586" s="450"/>
      <c r="ED586" s="450"/>
      <c r="EE586" s="450"/>
      <c r="EF586" s="450"/>
      <c r="EG586" s="450"/>
      <c r="EH586" s="450"/>
      <c r="EI586" s="450"/>
      <c r="EJ586" s="450"/>
      <c r="EK586" s="450"/>
      <c r="EL586" s="450"/>
      <c r="EM586" s="450"/>
      <c r="EN586" s="450"/>
      <c r="EO586" s="450"/>
      <c r="EP586" s="450"/>
      <c r="EQ586" s="450"/>
      <c r="ER586" s="450"/>
      <c r="ES586" s="450"/>
      <c r="ET586" s="450"/>
      <c r="EU586" s="450"/>
      <c r="EV586" s="450"/>
      <c r="EW586" s="450"/>
      <c r="EX586" s="450"/>
      <c r="EY586" s="450"/>
      <c r="EZ586" s="450"/>
      <c r="FA586" s="450"/>
      <c r="FB586" s="450"/>
      <c r="FC586" s="450"/>
      <c r="FD586" s="450"/>
      <c r="FE586" s="450"/>
      <c r="FF586" s="450"/>
      <c r="FG586" s="450"/>
      <c r="FH586" s="450"/>
      <c r="FI586" s="450"/>
      <c r="FJ586" s="450"/>
      <c r="FK586" s="450"/>
      <c r="FL586" s="450"/>
      <c r="FM586" s="450"/>
      <c r="FN586" s="450"/>
      <c r="FO586" s="450"/>
      <c r="FP586" s="450"/>
      <c r="FQ586" s="450"/>
      <c r="FR586" s="450"/>
      <c r="FS586" s="450"/>
      <c r="FT586" s="450"/>
      <c r="FU586" s="450"/>
      <c r="FV586" s="450"/>
      <c r="FW586" s="450"/>
      <c r="FX586" s="450"/>
      <c r="FY586" s="450"/>
      <c r="FZ586" s="450"/>
      <c r="GA586" s="450"/>
      <c r="GB586" s="450"/>
      <c r="GC586" s="450"/>
      <c r="GD586" s="450"/>
    </row>
    <row r="587" spans="1:186" s="495" customFormat="1" ht="21.75" customHeight="1">
      <c r="A587" s="539"/>
    </row>
    <row r="588" spans="1:186" s="506" customFormat="1" ht="21.75" customHeight="1">
      <c r="A588" s="554"/>
    </row>
    <row r="589" spans="1:186" s="497" customFormat="1" ht="21.75" customHeight="1">
      <c r="A589" s="533"/>
    </row>
    <row r="590" spans="1:186" s="504" customFormat="1" ht="21.75" customHeight="1">
      <c r="A590" s="553"/>
    </row>
    <row r="591" spans="1:186" s="496" customFormat="1" ht="21.75" customHeight="1">
      <c r="A591" s="535"/>
    </row>
    <row r="592" spans="1:186" s="495" customFormat="1" ht="21.75" customHeight="1">
      <c r="A592" s="539"/>
    </row>
    <row r="593" spans="1:1" s="496" customFormat="1" ht="21.75" customHeight="1">
      <c r="A593" s="535"/>
    </row>
    <row r="594" spans="1:1" s="496" customFormat="1" ht="21.75" customHeight="1">
      <c r="A594" s="535"/>
    </row>
    <row r="595" spans="1:1" s="495" customFormat="1" ht="21.75" customHeight="1">
      <c r="A595" s="539"/>
    </row>
    <row r="596" spans="1:1" s="499" customFormat="1" ht="21.75" customHeight="1">
      <c r="A596" s="543"/>
    </row>
    <row r="597" spans="1:1" s="505" customFormat="1" ht="21.75" customHeight="1">
      <c r="A597" s="546"/>
    </row>
    <row r="598" spans="1:1" s="500" customFormat="1" ht="21.75" customHeight="1">
      <c r="A598" s="552"/>
    </row>
    <row r="599" spans="1:1" s="496" customFormat="1" ht="21.75" customHeight="1">
      <c r="A599" s="535"/>
    </row>
    <row r="600" spans="1:1" s="495" customFormat="1" ht="21.75" customHeight="1">
      <c r="A600" s="539"/>
    </row>
    <row r="601" spans="1:1" s="496" customFormat="1" ht="21.75" customHeight="1">
      <c r="A601" s="535"/>
    </row>
    <row r="602" spans="1:1" s="448" customFormat="1" ht="21.75" customHeight="1">
      <c r="A602" s="449"/>
    </row>
    <row r="603" spans="1:1" s="496" customFormat="1" ht="21.75" customHeight="1">
      <c r="A603" s="535"/>
    </row>
    <row r="604" spans="1:1" s="499" customFormat="1" ht="21.75" customHeight="1">
      <c r="A604" s="543"/>
    </row>
    <row r="605" spans="1:1" s="497" customFormat="1" ht="21.75" customHeight="1">
      <c r="A605" s="533"/>
    </row>
    <row r="606" spans="1:1" s="495" customFormat="1" ht="21.75" customHeight="1">
      <c r="A606" s="539"/>
    </row>
    <row r="607" spans="1:1" s="549" customFormat="1" ht="21.75" customHeight="1">
      <c r="A607" s="550"/>
    </row>
    <row r="608" spans="1:1" s="504" customFormat="1" ht="21.75" customHeight="1">
      <c r="A608" s="553"/>
    </row>
    <row r="609" spans="1:1" s="496" customFormat="1" ht="21.75" customHeight="1">
      <c r="A609" s="535"/>
    </row>
    <row r="610" spans="1:1" s="505" customFormat="1" ht="21.75" customHeight="1">
      <c r="A610" s="546"/>
    </row>
    <row r="611" spans="1:1" s="496" customFormat="1" ht="21.75" customHeight="1">
      <c r="A611" s="535"/>
    </row>
    <row r="612" spans="1:1" s="496" customFormat="1" ht="21.75" customHeight="1">
      <c r="A612" s="535"/>
    </row>
    <row r="613" spans="1:1" s="505" customFormat="1" ht="21.75" customHeight="1">
      <c r="A613" s="546"/>
    </row>
    <row r="614" spans="1:1" s="501" customFormat="1" ht="21.75" customHeight="1">
      <c r="A614" s="534"/>
    </row>
    <row r="615" spans="1:1" s="500" customFormat="1" ht="21.75" customHeight="1">
      <c r="A615" s="552"/>
    </row>
    <row r="616" spans="1:1" s="496" customFormat="1" ht="21.75" customHeight="1">
      <c r="A616" s="535"/>
    </row>
    <row r="617" spans="1:1" s="497" customFormat="1" ht="21.75" customHeight="1">
      <c r="A617" s="533"/>
    </row>
    <row r="618" spans="1:1" s="495" customFormat="1" ht="21.75" customHeight="1">
      <c r="A618" s="539"/>
    </row>
    <row r="619" spans="1:1" s="496" customFormat="1" ht="21.75" customHeight="1">
      <c r="A619" s="535"/>
    </row>
    <row r="620" spans="1:1" s="496" customFormat="1" ht="21.75" customHeight="1">
      <c r="A620" s="535"/>
    </row>
    <row r="621" spans="1:1" s="497" customFormat="1" ht="21.75" customHeight="1">
      <c r="A621" s="533"/>
    </row>
    <row r="622" spans="1:1" s="556" customFormat="1" ht="21.75" customHeight="1">
      <c r="A622" s="557"/>
    </row>
    <row r="623" spans="1:1" s="495" customFormat="1" ht="21.75" customHeight="1">
      <c r="A623" s="539"/>
    </row>
    <row r="624" spans="1:1" s="496" customFormat="1" ht="21.75" customHeight="1">
      <c r="A624" s="535"/>
    </row>
    <row r="625" spans="1:1" s="497" customFormat="1" ht="21.75" customHeight="1">
      <c r="A625" s="533"/>
    </row>
    <row r="626" spans="1:1" s="476" customFormat="1" ht="21.75" customHeight="1">
      <c r="A626" s="477"/>
    </row>
    <row r="627" spans="1:1" s="495" customFormat="1" ht="21.75" customHeight="1">
      <c r="A627" s="539"/>
    </row>
    <row r="628" spans="1:1" s="496" customFormat="1" ht="21.75" customHeight="1">
      <c r="A628" s="535"/>
    </row>
    <row r="629" spans="1:1" s="496" customFormat="1" ht="21.75" customHeight="1">
      <c r="A629" s="535"/>
    </row>
    <row r="630" spans="1:1" s="495" customFormat="1" ht="21.75" customHeight="1">
      <c r="A630" s="539"/>
    </row>
    <row r="631" spans="1:1" s="497" customFormat="1" ht="21.75" customHeight="1">
      <c r="A631" s="533"/>
    </row>
    <row r="632" spans="1:1" s="501" customFormat="1" ht="21.75" customHeight="1">
      <c r="A632" s="534"/>
    </row>
    <row r="633" spans="1:1" s="495" customFormat="1" ht="21.75" customHeight="1">
      <c r="A633" s="539"/>
    </row>
    <row r="634" spans="1:1" s="496" customFormat="1" ht="21.75" customHeight="1">
      <c r="A634" s="535"/>
    </row>
    <row r="635" spans="1:1" s="496" customFormat="1" ht="21.75" customHeight="1">
      <c r="A635" s="535"/>
    </row>
    <row r="636" spans="1:1" s="450" customFormat="1" ht="21.75" customHeight="1">
      <c r="A636" s="451"/>
    </row>
    <row r="637" spans="1:1" s="495" customFormat="1" ht="21.75" customHeight="1">
      <c r="A637" s="539"/>
    </row>
    <row r="638" spans="1:1" s="497" customFormat="1" ht="21.75" customHeight="1">
      <c r="A638" s="533"/>
    </row>
    <row r="639" spans="1:1" s="495" customFormat="1" ht="21.75" customHeight="1">
      <c r="A639" s="539"/>
    </row>
    <row r="640" spans="1:1" s="496" customFormat="1" ht="21.75" customHeight="1">
      <c r="A640" s="535"/>
    </row>
    <row r="641" spans="1:1" s="495" customFormat="1" ht="21.75" customHeight="1">
      <c r="A641" s="539"/>
    </row>
    <row r="642" spans="1:1" s="496" customFormat="1" ht="21.75" customHeight="1">
      <c r="A642" s="535"/>
    </row>
    <row r="643" spans="1:1" s="497" customFormat="1" ht="21.75" customHeight="1">
      <c r="A643" s="533"/>
    </row>
    <row r="644" spans="1:1" s="504" customFormat="1" ht="21.75" customHeight="1">
      <c r="A644" s="553"/>
    </row>
    <row r="645" spans="1:1" s="497" customFormat="1" ht="21.75" customHeight="1">
      <c r="A645" s="533"/>
    </row>
    <row r="646" spans="1:1" s="501" customFormat="1" ht="21.75" customHeight="1">
      <c r="A646" s="534"/>
    </row>
    <row r="647" spans="1:1" s="556" customFormat="1" ht="21.75" customHeight="1">
      <c r="A647" s="557"/>
    </row>
    <row r="648" spans="1:1" s="495" customFormat="1" ht="21.75" customHeight="1">
      <c r="A648" s="539"/>
    </row>
    <row r="649" spans="1:1" s="495" customFormat="1" ht="21.75" customHeight="1">
      <c r="A649" s="539"/>
    </row>
    <row r="650" spans="1:1" s="496" customFormat="1" ht="21.75" customHeight="1">
      <c r="A650" s="535"/>
    </row>
    <row r="651" spans="1:1" s="555" customFormat="1" ht="21.75" customHeight="1">
      <c r="A651" s="561"/>
    </row>
    <row r="652" spans="1:1" s="501" customFormat="1" ht="21.75" customHeight="1">
      <c r="A652" s="534"/>
    </row>
    <row r="653" spans="1:1" s="556" customFormat="1" ht="21.75" customHeight="1">
      <c r="A653" s="557"/>
    </row>
    <row r="654" spans="1:1" s="501" customFormat="1" ht="21.75" customHeight="1">
      <c r="A654" s="534"/>
    </row>
    <row r="655" spans="1:1" s="504" customFormat="1" ht="21.75" customHeight="1">
      <c r="A655" s="553"/>
    </row>
    <row r="656" spans="1:1" s="497" customFormat="1" ht="21.75" customHeight="1">
      <c r="A656" s="533"/>
    </row>
    <row r="657" spans="1:186" s="500" customFormat="1" ht="21.75" customHeight="1">
      <c r="A657" s="552"/>
    </row>
    <row r="658" spans="1:186" s="495" customFormat="1" ht="21.75" customHeight="1">
      <c r="A658" s="539"/>
    </row>
    <row r="659" spans="1:186" s="496" customFormat="1" ht="21.75" customHeight="1">
      <c r="A659" s="535"/>
    </row>
    <row r="660" spans="1:186" s="450" customFormat="1" ht="21.75" customHeight="1">
      <c r="A660" s="451"/>
    </row>
    <row r="661" spans="1:186" s="463" customFormat="1" ht="21.75" customHeight="1">
      <c r="A661" s="464"/>
    </row>
    <row r="662" spans="1:186" s="496" customFormat="1" ht="21.75" customHeight="1">
      <c r="A662" s="535"/>
    </row>
    <row r="663" spans="1:186" s="450" customFormat="1" ht="21.75" customHeight="1">
      <c r="A663" s="451"/>
    </row>
    <row r="664" spans="1:186" s="495" customFormat="1" ht="21.75" customHeight="1">
      <c r="A664" s="539"/>
    </row>
    <row r="665" spans="1:186" s="496" customFormat="1" ht="21.75" customHeight="1">
      <c r="A665" s="535"/>
    </row>
    <row r="666" spans="1:186" s="496" customFormat="1" ht="21.75" customHeight="1">
      <c r="A666" s="535"/>
    </row>
    <row r="667" spans="1:186" s="496" customFormat="1" ht="21.75" customHeight="1">
      <c r="A667" s="535"/>
    </row>
    <row r="668" spans="1:186" s="555" customFormat="1" ht="21.75" customHeight="1">
      <c r="A668" s="561"/>
    </row>
    <row r="669" spans="1:186" s="495" customFormat="1" ht="21.75" customHeight="1">
      <c r="A669" s="539"/>
    </row>
    <row r="670" spans="1:186" s="496" customFormat="1" ht="21.75" customHeight="1">
      <c r="A670" s="535"/>
    </row>
    <row r="671" spans="1:186" s="496" customFormat="1" ht="21.75" customHeight="1">
      <c r="A671" s="535"/>
    </row>
    <row r="672" spans="1:186" s="496" customFormat="1" ht="21.75" customHeight="1">
      <c r="A672" s="194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</row>
    <row r="673" spans="1:1" s="496" customFormat="1" ht="21.75" customHeight="1">
      <c r="A673" s="535"/>
    </row>
    <row r="674" spans="1:1" s="496" customFormat="1" ht="21.75" customHeight="1">
      <c r="A674" s="535"/>
    </row>
    <row r="675" spans="1:1" s="496" customFormat="1" ht="21.75" customHeight="1">
      <c r="A675" s="535"/>
    </row>
    <row r="676" spans="1:1" s="501" customFormat="1" ht="21.75" customHeight="1">
      <c r="A676" s="534"/>
    </row>
    <row r="677" spans="1:1" s="495" customFormat="1" ht="21.75" customHeight="1">
      <c r="A677" s="539"/>
    </row>
    <row r="678" spans="1:1" s="495" customFormat="1" ht="21.75" customHeight="1">
      <c r="A678" s="539"/>
    </row>
    <row r="679" spans="1:1" s="524" customFormat="1" ht="21.75" customHeight="1">
      <c r="A679" s="558"/>
    </row>
    <row r="680" spans="1:1" s="495" customFormat="1" ht="21.75" customHeight="1">
      <c r="A680" s="539"/>
    </row>
    <row r="681" spans="1:1" s="496" customFormat="1" ht="21.75" customHeight="1">
      <c r="A681" s="535"/>
    </row>
    <row r="682" spans="1:1" s="505" customFormat="1" ht="21.75" customHeight="1">
      <c r="A682" s="546"/>
    </row>
    <row r="683" spans="1:1" s="505" customFormat="1" ht="21.75" customHeight="1">
      <c r="A683" s="546"/>
    </row>
    <row r="684" spans="1:1" s="504" customFormat="1" ht="21.75" customHeight="1">
      <c r="A684" s="553"/>
    </row>
    <row r="685" spans="1:1" s="497" customFormat="1" ht="21.75" customHeight="1">
      <c r="A685" s="533"/>
    </row>
    <row r="686" spans="1:1" s="501" customFormat="1" ht="21.75" customHeight="1">
      <c r="A686" s="534"/>
    </row>
    <row r="687" spans="1:1" s="495" customFormat="1" ht="21.75" customHeight="1">
      <c r="A687" s="539"/>
    </row>
    <row r="688" spans="1:1" s="496" customFormat="1" ht="21.75" customHeight="1">
      <c r="A688" s="535"/>
    </row>
    <row r="689" spans="1:1" s="496" customFormat="1" ht="21.75" customHeight="1">
      <c r="A689" s="535"/>
    </row>
    <row r="690" spans="1:1" s="496" customFormat="1" ht="21.75" customHeight="1">
      <c r="A690" s="535"/>
    </row>
    <row r="691" spans="1:1" s="496" customFormat="1" ht="21.75" customHeight="1">
      <c r="A691" s="535"/>
    </row>
    <row r="692" spans="1:1" s="496" customFormat="1" ht="21.75" customHeight="1">
      <c r="A692" s="535"/>
    </row>
    <row r="693" spans="1:1" s="495" customFormat="1" ht="21.75" customHeight="1">
      <c r="A693" s="539"/>
    </row>
    <row r="694" spans="1:1" s="497" customFormat="1" ht="21.75" customHeight="1">
      <c r="A694" s="533"/>
    </row>
    <row r="695" spans="1:1" s="495" customFormat="1" ht="21.75" customHeight="1">
      <c r="A695" s="539"/>
    </row>
    <row r="696" spans="1:1" s="497" customFormat="1" ht="21.75" customHeight="1">
      <c r="A696" s="533"/>
    </row>
    <row r="697" spans="1:1" s="504" customFormat="1" ht="21.75" customHeight="1">
      <c r="A697" s="553"/>
    </row>
    <row r="698" spans="1:1" s="496" customFormat="1" ht="21.75" customHeight="1">
      <c r="A698" s="535"/>
    </row>
    <row r="699" spans="1:1" s="497" customFormat="1" ht="21.75" customHeight="1">
      <c r="A699" s="533"/>
    </row>
    <row r="700" spans="1:1" s="495" customFormat="1" ht="21.75" customHeight="1">
      <c r="A700" s="539"/>
    </row>
    <row r="701" spans="1:1" s="496" customFormat="1" ht="21.75" customHeight="1">
      <c r="A701" s="535"/>
    </row>
    <row r="702" spans="1:1" s="501" customFormat="1" ht="21.75" customHeight="1">
      <c r="A702" s="534"/>
    </row>
    <row r="703" spans="1:1" s="495" customFormat="1" ht="21.75" customHeight="1">
      <c r="A703" s="539"/>
    </row>
    <row r="704" spans="1:1" s="496" customFormat="1" ht="21.75" customHeight="1">
      <c r="A704" s="535"/>
    </row>
    <row r="705" spans="1:1" s="495" customFormat="1" ht="21.75" customHeight="1">
      <c r="A705" s="539"/>
    </row>
    <row r="706" spans="1:1" s="450" customFormat="1" ht="21.75" customHeight="1">
      <c r="A706" s="451"/>
    </row>
    <row r="707" spans="1:1" s="495" customFormat="1" ht="21.75" customHeight="1">
      <c r="A707" s="539"/>
    </row>
    <row r="708" spans="1:1" s="496" customFormat="1" ht="21.75" customHeight="1">
      <c r="A708" s="535"/>
    </row>
    <row r="709" spans="1:1" s="496" customFormat="1" ht="21.75" customHeight="1">
      <c r="A709" s="535"/>
    </row>
    <row r="710" spans="1:1" s="452" customFormat="1" ht="21.75" customHeight="1">
      <c r="A710" s="453"/>
    </row>
    <row r="711" spans="1:1" s="497" customFormat="1" ht="21.75" customHeight="1">
      <c r="A711" s="533"/>
    </row>
    <row r="712" spans="1:1" s="547" customFormat="1" ht="21.75" customHeight="1">
      <c r="A712" s="548"/>
    </row>
    <row r="713" spans="1:1" s="501" customFormat="1" ht="21.75" customHeight="1">
      <c r="A713" s="534"/>
    </row>
    <row r="714" spans="1:1" s="504" customFormat="1" ht="21.75" customHeight="1">
      <c r="A714" s="553"/>
    </row>
    <row r="715" spans="1:1" s="496" customFormat="1" ht="21.75" customHeight="1">
      <c r="A715" s="535"/>
    </row>
    <row r="716" spans="1:1" s="496" customFormat="1" ht="21.75" customHeight="1">
      <c r="A716" s="535"/>
    </row>
    <row r="717" spans="1:1" s="476" customFormat="1" ht="21.75" customHeight="1">
      <c r="A717" s="477"/>
    </row>
    <row r="718" spans="1:1" s="497" customFormat="1" ht="21.75" customHeight="1">
      <c r="A718" s="533"/>
    </row>
    <row r="719" spans="1:1" s="504" customFormat="1" ht="21.75" customHeight="1">
      <c r="A719" s="553"/>
    </row>
    <row r="720" spans="1:1" s="495" customFormat="1" ht="21.75" customHeight="1">
      <c r="A720" s="539"/>
    </row>
    <row r="721" spans="1:186" s="496" customFormat="1" ht="21.75" customHeight="1">
      <c r="A721" s="535"/>
    </row>
    <row r="722" spans="1:186" s="448" customFormat="1" ht="21.75" customHeight="1">
      <c r="A722" s="449"/>
    </row>
    <row r="723" spans="1:186" s="496" customFormat="1" ht="21.75" customHeight="1">
      <c r="A723" s="535"/>
    </row>
    <row r="724" spans="1:186" s="496" customFormat="1" ht="21.75" customHeight="1">
      <c r="A724" s="535"/>
    </row>
    <row r="725" spans="1:186" ht="21.75" customHeight="1">
      <c r="A725" s="194"/>
      <c r="B725" s="6"/>
      <c r="C725" s="6"/>
      <c r="D725" s="6"/>
      <c r="E725" s="6"/>
      <c r="F725" s="6"/>
      <c r="G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O725" s="6"/>
      <c r="AP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</row>
    <row r="726" spans="1:186" s="527" customFormat="1" ht="21.75" customHeight="1">
      <c r="A726" s="536"/>
    </row>
    <row r="727" spans="1:186" s="501" customFormat="1" ht="21.75" customHeight="1">
      <c r="A727" s="534"/>
    </row>
    <row r="728" spans="1:186" s="495" customFormat="1" ht="21.75" customHeight="1">
      <c r="A728" s="449"/>
      <c r="B728" s="448"/>
      <c r="C728" s="448"/>
      <c r="D728" s="448"/>
      <c r="E728" s="448"/>
      <c r="F728" s="448"/>
      <c r="G728" s="448"/>
      <c r="H728" s="448"/>
      <c r="I728" s="448"/>
      <c r="J728" s="448"/>
      <c r="K728" s="448"/>
      <c r="L728" s="448"/>
      <c r="M728" s="448"/>
      <c r="N728" s="448"/>
      <c r="O728" s="448"/>
      <c r="P728" s="448"/>
      <c r="Q728" s="448"/>
      <c r="R728" s="448"/>
      <c r="S728" s="448"/>
      <c r="T728" s="448"/>
      <c r="U728" s="448"/>
      <c r="V728" s="448"/>
      <c r="W728" s="448"/>
      <c r="X728" s="448"/>
      <c r="Y728" s="448"/>
      <c r="Z728" s="448"/>
      <c r="AA728" s="448"/>
      <c r="AB728" s="448"/>
      <c r="AC728" s="448"/>
      <c r="AD728" s="448"/>
      <c r="AE728" s="448"/>
      <c r="AF728" s="448"/>
      <c r="AG728" s="448"/>
      <c r="AH728" s="448"/>
      <c r="AI728" s="448"/>
      <c r="AJ728" s="448"/>
      <c r="AK728" s="448"/>
      <c r="AL728" s="448"/>
      <c r="AM728" s="448"/>
      <c r="AN728" s="448"/>
      <c r="AO728" s="448"/>
      <c r="AP728" s="448"/>
      <c r="AQ728" s="448"/>
      <c r="AR728" s="448"/>
      <c r="AS728" s="448"/>
      <c r="AT728" s="448"/>
      <c r="AU728" s="448"/>
      <c r="AV728" s="448"/>
      <c r="AW728" s="448"/>
      <c r="AX728" s="448"/>
      <c r="AY728" s="448"/>
      <c r="AZ728" s="448"/>
      <c r="BA728" s="448"/>
      <c r="BB728" s="448"/>
      <c r="BC728" s="448"/>
      <c r="BD728" s="448"/>
      <c r="BE728" s="448"/>
      <c r="BF728" s="448"/>
      <c r="BG728" s="448"/>
      <c r="BH728" s="448"/>
      <c r="BI728" s="448"/>
      <c r="BJ728" s="448"/>
      <c r="BK728" s="448"/>
      <c r="BL728" s="448"/>
      <c r="BM728" s="448"/>
      <c r="BN728" s="448"/>
      <c r="BO728" s="448"/>
      <c r="BP728" s="448"/>
      <c r="BQ728" s="448"/>
      <c r="BR728" s="448"/>
      <c r="BS728" s="448"/>
      <c r="BT728" s="448"/>
      <c r="BU728" s="448"/>
      <c r="BV728" s="448"/>
      <c r="BW728" s="448"/>
      <c r="BX728" s="448"/>
      <c r="BY728" s="448"/>
      <c r="BZ728" s="448"/>
      <c r="CA728" s="448"/>
      <c r="CB728" s="448"/>
      <c r="CC728" s="448"/>
      <c r="CD728" s="448"/>
      <c r="CE728" s="448"/>
      <c r="CF728" s="448"/>
      <c r="CG728" s="448"/>
      <c r="CH728" s="448"/>
      <c r="CI728" s="448"/>
      <c r="CJ728" s="448"/>
      <c r="CK728" s="448"/>
      <c r="CL728" s="448"/>
      <c r="CM728" s="448"/>
      <c r="CN728" s="448"/>
      <c r="CO728" s="448"/>
      <c r="CP728" s="448"/>
      <c r="CQ728" s="448"/>
      <c r="CR728" s="448"/>
      <c r="CS728" s="448"/>
      <c r="CT728" s="448"/>
      <c r="CU728" s="448"/>
      <c r="CV728" s="448"/>
      <c r="CW728" s="448"/>
      <c r="CX728" s="448"/>
      <c r="CY728" s="448"/>
      <c r="CZ728" s="448"/>
      <c r="DA728" s="448"/>
      <c r="DB728" s="448"/>
      <c r="DC728" s="448"/>
      <c r="DD728" s="448"/>
      <c r="DE728" s="448"/>
      <c r="DF728" s="448"/>
      <c r="DG728" s="448"/>
      <c r="DH728" s="448"/>
      <c r="DI728" s="448"/>
      <c r="DJ728" s="448"/>
      <c r="DK728" s="448"/>
      <c r="DL728" s="448"/>
      <c r="DM728" s="448"/>
      <c r="DN728" s="448"/>
      <c r="DO728" s="448"/>
      <c r="DP728" s="448"/>
      <c r="DQ728" s="448"/>
      <c r="DR728" s="448"/>
      <c r="DS728" s="448"/>
      <c r="DT728" s="448"/>
      <c r="DU728" s="448"/>
      <c r="DV728" s="448"/>
      <c r="DW728" s="448"/>
      <c r="DX728" s="448"/>
      <c r="DY728" s="448"/>
      <c r="DZ728" s="448"/>
      <c r="EA728" s="448"/>
      <c r="EB728" s="448"/>
      <c r="EC728" s="448"/>
      <c r="ED728" s="448"/>
      <c r="EE728" s="448"/>
      <c r="EF728" s="448"/>
      <c r="EG728" s="448"/>
      <c r="EH728" s="448"/>
      <c r="EI728" s="448"/>
      <c r="EJ728" s="448"/>
      <c r="EK728" s="448"/>
      <c r="EL728" s="448"/>
      <c r="EM728" s="448"/>
      <c r="EN728" s="448"/>
      <c r="EO728" s="448"/>
      <c r="EP728" s="448"/>
      <c r="EQ728" s="448"/>
      <c r="ER728" s="448"/>
      <c r="ES728" s="448"/>
      <c r="ET728" s="448"/>
      <c r="EU728" s="448"/>
      <c r="EV728" s="448"/>
      <c r="EW728" s="448"/>
      <c r="EX728" s="448"/>
      <c r="EY728" s="448"/>
      <c r="EZ728" s="448"/>
      <c r="FA728" s="448"/>
      <c r="FB728" s="448"/>
      <c r="FC728" s="448"/>
      <c r="FD728" s="448"/>
      <c r="FE728" s="448"/>
      <c r="FF728" s="448"/>
      <c r="FG728" s="448"/>
      <c r="FH728" s="448"/>
      <c r="FI728" s="448"/>
      <c r="FJ728" s="448"/>
      <c r="FK728" s="448"/>
      <c r="FL728" s="448"/>
      <c r="FM728" s="448"/>
      <c r="FN728" s="448"/>
      <c r="FO728" s="448"/>
      <c r="FP728" s="448"/>
      <c r="FQ728" s="448"/>
      <c r="FR728" s="448"/>
      <c r="FS728" s="448"/>
      <c r="FT728" s="448"/>
      <c r="FU728" s="448"/>
      <c r="FV728" s="448"/>
      <c r="FW728" s="448"/>
      <c r="FX728" s="448"/>
      <c r="FY728" s="448"/>
      <c r="FZ728" s="448"/>
      <c r="GA728" s="448"/>
      <c r="GB728" s="448"/>
      <c r="GC728" s="448"/>
      <c r="GD728" s="448"/>
    </row>
    <row r="729" spans="1:186" s="496" customFormat="1" ht="21.75" customHeight="1">
      <c r="A729" s="535"/>
    </row>
    <row r="730" spans="1:186" s="497" customFormat="1" ht="21.75" customHeight="1">
      <c r="A730" s="533"/>
    </row>
    <row r="731" spans="1:186" s="495" customFormat="1" ht="21.75" customHeight="1">
      <c r="A731" s="539"/>
    </row>
    <row r="732" spans="1:186" s="448" customFormat="1" ht="21.75" customHeight="1">
      <c r="A732" s="449"/>
    </row>
    <row r="733" spans="1:186" ht="21.75" customHeight="1">
      <c r="A733" s="194"/>
      <c r="B733" s="6"/>
      <c r="C733" s="6"/>
      <c r="D733" s="6"/>
      <c r="E733" s="6"/>
      <c r="F733" s="6"/>
      <c r="G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O733" s="6"/>
      <c r="AP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</row>
    <row r="734" spans="1:186" s="496" customFormat="1" ht="21.75" customHeight="1">
      <c r="A734" s="535"/>
    </row>
    <row r="735" spans="1:186" s="497" customFormat="1" ht="21.75" customHeight="1">
      <c r="A735" s="533"/>
    </row>
    <row r="736" spans="1:186" s="495" customFormat="1" ht="21.75" customHeight="1">
      <c r="A736" s="539"/>
    </row>
    <row r="737" spans="1:1" s="495" customFormat="1" ht="21.75" customHeight="1">
      <c r="A737" s="539"/>
    </row>
    <row r="738" spans="1:1" s="505" customFormat="1" ht="21.75" customHeight="1">
      <c r="A738" s="546"/>
    </row>
    <row r="739" spans="1:1" s="495" customFormat="1" ht="21.75" customHeight="1">
      <c r="A739" s="539"/>
    </row>
    <row r="740" spans="1:1" s="495" customFormat="1" ht="21.75" customHeight="1">
      <c r="A740" s="539"/>
    </row>
    <row r="741" spans="1:1" s="496" customFormat="1" ht="21.75" customHeight="1">
      <c r="A741" s="535"/>
    </row>
    <row r="742" spans="1:1" s="497" customFormat="1" ht="21.75" customHeight="1">
      <c r="A742" s="533"/>
    </row>
    <row r="743" spans="1:1" s="498" customFormat="1" ht="21.75" customHeight="1">
      <c r="A743" s="545"/>
    </row>
    <row r="744" spans="1:1" s="501" customFormat="1" ht="21.75" customHeight="1">
      <c r="A744" s="534"/>
    </row>
    <row r="745" spans="1:1" s="495" customFormat="1" ht="21.75" customHeight="1">
      <c r="A745" s="539"/>
    </row>
    <row r="746" spans="1:1" s="501" customFormat="1" ht="21.75" customHeight="1">
      <c r="A746" s="534"/>
    </row>
    <row r="747" spans="1:1" s="495" customFormat="1" ht="21.75" customHeight="1">
      <c r="A747" s="539"/>
    </row>
    <row r="748" spans="1:1" s="496" customFormat="1" ht="21.75" customHeight="1">
      <c r="A748" s="535"/>
    </row>
    <row r="749" spans="1:1" s="496" customFormat="1" ht="21.75" customHeight="1">
      <c r="A749" s="535"/>
    </row>
    <row r="750" spans="1:1" s="497" customFormat="1" ht="21.75" customHeight="1">
      <c r="A750" s="533"/>
    </row>
    <row r="751" spans="1:1" s="476" customFormat="1" ht="21.75" customHeight="1">
      <c r="A751" s="477"/>
    </row>
    <row r="752" spans="1:1" s="505" customFormat="1" ht="21.75" customHeight="1">
      <c r="A752" s="546"/>
    </row>
    <row r="753" spans="1:186" s="524" customFormat="1" ht="21.75" customHeight="1">
      <c r="A753" s="479"/>
      <c r="B753" s="478"/>
      <c r="C753" s="478"/>
      <c r="D753" s="478"/>
      <c r="E753" s="478"/>
      <c r="F753" s="478"/>
      <c r="G753" s="478"/>
      <c r="H753" s="478"/>
      <c r="I753" s="478"/>
      <c r="J753" s="478"/>
      <c r="K753" s="478"/>
      <c r="L753" s="478"/>
      <c r="M753" s="478"/>
      <c r="N753" s="478"/>
      <c r="O753" s="478"/>
      <c r="P753" s="478"/>
      <c r="Q753" s="478"/>
      <c r="R753" s="478"/>
      <c r="S753" s="478"/>
      <c r="T753" s="478"/>
      <c r="U753" s="478"/>
      <c r="V753" s="478"/>
      <c r="W753" s="478"/>
      <c r="X753" s="478"/>
      <c r="Y753" s="478"/>
      <c r="Z753" s="478"/>
      <c r="AA753" s="478"/>
      <c r="AB753" s="478"/>
      <c r="AC753" s="478"/>
      <c r="AD753" s="478"/>
      <c r="AE753" s="478"/>
      <c r="AF753" s="478"/>
      <c r="AG753" s="478"/>
      <c r="AH753" s="478"/>
      <c r="AI753" s="478"/>
      <c r="AJ753" s="478"/>
      <c r="AK753" s="478"/>
      <c r="AL753" s="478"/>
      <c r="AM753" s="478"/>
      <c r="AN753" s="478"/>
      <c r="AO753" s="478"/>
      <c r="AP753" s="478"/>
      <c r="AQ753" s="478"/>
      <c r="AR753" s="478"/>
      <c r="AS753" s="478"/>
      <c r="AT753" s="478"/>
      <c r="AU753" s="478"/>
      <c r="AV753" s="478"/>
      <c r="AW753" s="478"/>
      <c r="AX753" s="478"/>
      <c r="AY753" s="478"/>
      <c r="AZ753" s="478"/>
      <c r="BA753" s="478"/>
      <c r="BB753" s="478"/>
      <c r="BC753" s="478"/>
      <c r="BD753" s="478"/>
      <c r="BE753" s="478"/>
      <c r="BF753" s="478"/>
      <c r="BG753" s="478"/>
      <c r="BH753" s="478"/>
      <c r="BI753" s="478"/>
      <c r="BJ753" s="478"/>
      <c r="BK753" s="478"/>
      <c r="BL753" s="478"/>
      <c r="BM753" s="478"/>
      <c r="BN753" s="478"/>
      <c r="BO753" s="478"/>
      <c r="BP753" s="478"/>
      <c r="BQ753" s="478"/>
      <c r="BR753" s="478"/>
      <c r="BS753" s="478"/>
      <c r="BT753" s="478"/>
      <c r="BU753" s="478"/>
      <c r="BV753" s="478"/>
      <c r="BW753" s="478"/>
      <c r="BX753" s="478"/>
      <c r="BY753" s="478"/>
      <c r="BZ753" s="478"/>
      <c r="CA753" s="478"/>
      <c r="CB753" s="478"/>
      <c r="CC753" s="478"/>
      <c r="CD753" s="478"/>
      <c r="CE753" s="478"/>
      <c r="CF753" s="478"/>
      <c r="CG753" s="478"/>
      <c r="CH753" s="478"/>
      <c r="CI753" s="478"/>
      <c r="CJ753" s="478"/>
      <c r="CK753" s="478"/>
      <c r="CL753" s="478"/>
      <c r="CM753" s="478"/>
      <c r="CN753" s="478"/>
      <c r="CO753" s="478"/>
      <c r="CP753" s="478"/>
      <c r="CQ753" s="478"/>
      <c r="CR753" s="478"/>
      <c r="CS753" s="478"/>
      <c r="CT753" s="478"/>
      <c r="CU753" s="478"/>
      <c r="CV753" s="478"/>
      <c r="CW753" s="478"/>
      <c r="CX753" s="478"/>
      <c r="CY753" s="478"/>
      <c r="CZ753" s="478"/>
      <c r="DA753" s="478"/>
      <c r="DB753" s="478"/>
      <c r="DC753" s="478"/>
      <c r="DD753" s="478"/>
      <c r="DE753" s="478"/>
      <c r="DF753" s="478"/>
      <c r="DG753" s="478"/>
      <c r="DH753" s="478"/>
      <c r="DI753" s="478"/>
      <c r="DJ753" s="478"/>
      <c r="DK753" s="478"/>
      <c r="DL753" s="478"/>
      <c r="DM753" s="478"/>
      <c r="DN753" s="478"/>
      <c r="DO753" s="478"/>
      <c r="DP753" s="478"/>
      <c r="DQ753" s="478"/>
      <c r="DR753" s="478"/>
      <c r="DS753" s="478"/>
      <c r="DT753" s="478"/>
      <c r="DU753" s="478"/>
      <c r="DV753" s="478"/>
      <c r="DW753" s="478"/>
      <c r="DX753" s="478"/>
      <c r="DY753" s="478"/>
      <c r="DZ753" s="478"/>
      <c r="EA753" s="478"/>
      <c r="EB753" s="478"/>
      <c r="EC753" s="478"/>
      <c r="ED753" s="478"/>
      <c r="EE753" s="478"/>
      <c r="EF753" s="478"/>
      <c r="EG753" s="478"/>
      <c r="EH753" s="478"/>
      <c r="EI753" s="478"/>
      <c r="EJ753" s="478"/>
      <c r="EK753" s="478"/>
      <c r="EL753" s="478"/>
      <c r="EM753" s="478"/>
      <c r="EN753" s="478"/>
      <c r="EO753" s="478"/>
      <c r="EP753" s="478"/>
      <c r="EQ753" s="478"/>
      <c r="ER753" s="478"/>
      <c r="ES753" s="478"/>
      <c r="ET753" s="478"/>
      <c r="EU753" s="478"/>
      <c r="EV753" s="478"/>
      <c r="EW753" s="478"/>
      <c r="EX753" s="478"/>
      <c r="EY753" s="478"/>
      <c r="EZ753" s="478"/>
      <c r="FA753" s="478"/>
      <c r="FB753" s="478"/>
      <c r="FC753" s="478"/>
      <c r="FD753" s="478"/>
      <c r="FE753" s="478"/>
      <c r="FF753" s="478"/>
      <c r="FG753" s="478"/>
      <c r="FH753" s="478"/>
      <c r="FI753" s="478"/>
      <c r="FJ753" s="478"/>
      <c r="FK753" s="478"/>
      <c r="FL753" s="478"/>
      <c r="FM753" s="478"/>
      <c r="FN753" s="478"/>
      <c r="FO753" s="478"/>
      <c r="FP753" s="478"/>
      <c r="FQ753" s="478"/>
      <c r="FR753" s="478"/>
      <c r="FS753" s="478"/>
      <c r="FT753" s="478"/>
      <c r="FU753" s="478"/>
      <c r="FV753" s="478"/>
      <c r="FW753" s="478"/>
      <c r="FX753" s="478"/>
      <c r="FY753" s="478"/>
      <c r="FZ753" s="478"/>
      <c r="GA753" s="478"/>
      <c r="GB753" s="478"/>
      <c r="GC753" s="478"/>
      <c r="GD753" s="478"/>
    </row>
    <row r="754" spans="1:186" s="498" customFormat="1" ht="21.75" customHeight="1">
      <c r="A754" s="545"/>
    </row>
    <row r="755" spans="1:186" s="448" customFormat="1" ht="21.75" customHeight="1">
      <c r="A755" s="449"/>
    </row>
    <row r="756" spans="1:186" s="496" customFormat="1" ht="21.75" customHeight="1">
      <c r="A756" s="535"/>
    </row>
    <row r="757" spans="1:186" s="496" customFormat="1" ht="21.75" customHeight="1">
      <c r="A757" s="535"/>
    </row>
    <row r="758" spans="1:186" s="501" customFormat="1" ht="21.75" customHeight="1">
      <c r="A758" s="534"/>
    </row>
    <row r="759" spans="1:186" s="495" customFormat="1" ht="21.75" customHeight="1">
      <c r="A759" s="539"/>
    </row>
    <row r="760" spans="1:186" ht="21.75" customHeight="1">
      <c r="A760" s="194"/>
      <c r="B760" s="6"/>
      <c r="C760" s="6"/>
      <c r="D760" s="6"/>
      <c r="E760" s="6"/>
      <c r="F760" s="6"/>
      <c r="G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O760" s="6"/>
      <c r="AP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</row>
    <row r="761" spans="1:186" s="497" customFormat="1" ht="21.75" customHeight="1">
      <c r="A761" s="533"/>
    </row>
    <row r="762" spans="1:186" s="495" customFormat="1" ht="21.75" customHeight="1">
      <c r="A762" s="539"/>
    </row>
    <row r="763" spans="1:186" s="496" customFormat="1" ht="21.75" customHeight="1">
      <c r="A763" s="535"/>
    </row>
    <row r="764" spans="1:186" s="497" customFormat="1" ht="21.75" customHeight="1">
      <c r="A764" s="533"/>
    </row>
    <row r="765" spans="1:186" s="495" customFormat="1" ht="21.75" customHeight="1">
      <c r="A765" s="539"/>
    </row>
    <row r="766" spans="1:186" s="495" customFormat="1" ht="21.75" customHeight="1">
      <c r="A766" s="539"/>
    </row>
    <row r="767" spans="1:186" s="496" customFormat="1" ht="21.75" customHeight="1">
      <c r="A767" s="535"/>
    </row>
    <row r="768" spans="1:186" s="496" customFormat="1" ht="21.75" customHeight="1">
      <c r="A768" s="535"/>
    </row>
    <row r="769" spans="1:1" s="496" customFormat="1" ht="21.75" customHeight="1">
      <c r="A769" s="535"/>
    </row>
    <row r="770" spans="1:1" s="505" customFormat="1" ht="21.75" customHeight="1">
      <c r="A770" s="546"/>
    </row>
    <row r="771" spans="1:1" s="496" customFormat="1" ht="21.75" customHeight="1">
      <c r="A771" s="535"/>
    </row>
    <row r="772" spans="1:1" s="497" customFormat="1" ht="21.75" customHeight="1">
      <c r="A772" s="533"/>
    </row>
    <row r="773" spans="1:1" s="504" customFormat="1" ht="21.75" customHeight="1">
      <c r="A773" s="553"/>
    </row>
    <row r="774" spans="1:1" s="496" customFormat="1" ht="21.75" customHeight="1">
      <c r="A774" s="535"/>
    </row>
    <row r="775" spans="1:1" s="501" customFormat="1" ht="21.75" customHeight="1">
      <c r="A775" s="534"/>
    </row>
    <row r="776" spans="1:1" s="495" customFormat="1" ht="21.75" customHeight="1">
      <c r="A776" s="539"/>
    </row>
    <row r="777" spans="1:1" s="496" customFormat="1" ht="21.75" customHeight="1">
      <c r="A777" s="535"/>
    </row>
    <row r="778" spans="1:1" s="496" customFormat="1" ht="21.75" customHeight="1">
      <c r="A778" s="535"/>
    </row>
    <row r="779" spans="1:1" s="495" customFormat="1" ht="21.75" customHeight="1">
      <c r="A779" s="539"/>
    </row>
    <row r="780" spans="1:1" s="497" customFormat="1" ht="21.75" customHeight="1">
      <c r="A780" s="533"/>
    </row>
    <row r="781" spans="1:1" s="501" customFormat="1" ht="21.75" customHeight="1">
      <c r="A781" s="534"/>
    </row>
    <row r="782" spans="1:1" s="500" customFormat="1" ht="21.75" customHeight="1">
      <c r="A782" s="552"/>
    </row>
    <row r="783" spans="1:1" s="496" customFormat="1" ht="21.75" customHeight="1">
      <c r="A783" s="535"/>
    </row>
    <row r="784" spans="1:1" s="496" customFormat="1" ht="21.75" customHeight="1">
      <c r="A784" s="535"/>
    </row>
    <row r="785" spans="1:78" ht="21.75" customHeight="1">
      <c r="A785" s="194"/>
      <c r="B785" s="6"/>
      <c r="C785" s="6"/>
      <c r="D785" s="6"/>
      <c r="E785" s="6"/>
      <c r="F785" s="6"/>
      <c r="G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O785" s="6"/>
      <c r="AP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</row>
    <row r="786" spans="1:78" s="448" customFormat="1" ht="21.75" customHeight="1">
      <c r="A786" s="449"/>
    </row>
    <row r="787" spans="1:78" s="497" customFormat="1" ht="21.75" customHeight="1">
      <c r="A787" s="533"/>
    </row>
    <row r="788" spans="1:78" s="495" customFormat="1" ht="21.75" customHeight="1">
      <c r="A788" s="539"/>
    </row>
    <row r="789" spans="1:78" s="495" customFormat="1" ht="21.75" customHeight="1">
      <c r="A789" s="539"/>
    </row>
    <row r="790" spans="1:78" s="497" customFormat="1" ht="21.75" customHeight="1">
      <c r="A790" s="533"/>
    </row>
    <row r="791" spans="1:78" s="495" customFormat="1" ht="21.75" customHeight="1">
      <c r="A791" s="539"/>
    </row>
    <row r="792" spans="1:78" s="496" customFormat="1" ht="21.75" customHeight="1">
      <c r="A792" s="535"/>
    </row>
    <row r="793" spans="1:78" s="496" customFormat="1" ht="21.75" customHeight="1">
      <c r="A793" s="535"/>
    </row>
    <row r="794" spans="1:78" s="505" customFormat="1" ht="21.75" customHeight="1">
      <c r="A794" s="546"/>
    </row>
    <row r="795" spans="1:78" s="496" customFormat="1" ht="21.75" customHeight="1">
      <c r="A795" s="535"/>
    </row>
    <row r="796" spans="1:78" s="496" customFormat="1" ht="21.75" customHeight="1">
      <c r="A796" s="535"/>
    </row>
    <row r="797" spans="1:78" s="496" customFormat="1" ht="21.75" customHeight="1">
      <c r="A797" s="535"/>
    </row>
    <row r="798" spans="1:78" s="497" customFormat="1" ht="21.75" customHeight="1">
      <c r="A798" s="533"/>
    </row>
    <row r="799" spans="1:78" s="495" customFormat="1" ht="21.75" customHeight="1">
      <c r="A799" s="539"/>
    </row>
    <row r="800" spans="1:78" ht="21.75" customHeight="1">
      <c r="A800" s="194"/>
      <c r="B800" s="6"/>
      <c r="C800" s="6"/>
      <c r="D800" s="6"/>
      <c r="E800" s="6"/>
      <c r="F800" s="6"/>
      <c r="G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O800" s="6"/>
      <c r="AP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</row>
    <row r="801" spans="1:1" s="495" customFormat="1" ht="21.75" customHeight="1">
      <c r="A801" s="539"/>
    </row>
    <row r="802" spans="1:1" s="499" customFormat="1" ht="21.75" customHeight="1">
      <c r="A802" s="543"/>
    </row>
    <row r="803" spans="1:1" s="496" customFormat="1" ht="21.75" customHeight="1">
      <c r="A803" s="535"/>
    </row>
    <row r="804" spans="1:1" s="496" customFormat="1" ht="21.75" customHeight="1">
      <c r="A804" s="535"/>
    </row>
    <row r="805" spans="1:1" s="501" customFormat="1" ht="21.75" customHeight="1">
      <c r="A805" s="534"/>
    </row>
    <row r="806" spans="1:1" s="495" customFormat="1" ht="21.75" customHeight="1">
      <c r="A806" s="539"/>
    </row>
    <row r="807" spans="1:1" s="496" customFormat="1" ht="21.75" customHeight="1">
      <c r="A807" s="535"/>
    </row>
    <row r="808" spans="1:1" s="495" customFormat="1" ht="21.75" customHeight="1">
      <c r="A808" s="539"/>
    </row>
    <row r="809" spans="1:1" s="555" customFormat="1" ht="21.75" customHeight="1">
      <c r="A809" s="561"/>
    </row>
    <row r="810" spans="1:1" s="495" customFormat="1" ht="21.75" customHeight="1">
      <c r="A810" s="539"/>
    </row>
    <row r="811" spans="1:1" s="496" customFormat="1" ht="21.75" customHeight="1">
      <c r="A811" s="535"/>
    </row>
    <row r="812" spans="1:1" s="496" customFormat="1" ht="21.75" customHeight="1">
      <c r="A812" s="535"/>
    </row>
    <row r="813" spans="1:1" s="497" customFormat="1" ht="21.75" customHeight="1">
      <c r="A813" s="533"/>
    </row>
    <row r="814" spans="1:1" s="504" customFormat="1" ht="21.75" customHeight="1">
      <c r="A814" s="553"/>
    </row>
    <row r="815" spans="1:1" s="497" customFormat="1" ht="21.75" customHeight="1">
      <c r="A815" s="533"/>
    </row>
    <row r="816" spans="1:1" s="495" customFormat="1" ht="21.75" customHeight="1">
      <c r="A816" s="539"/>
    </row>
    <row r="817" spans="1:78" s="448" customFormat="1" ht="21.75" customHeight="1">
      <c r="A817" s="449"/>
    </row>
    <row r="818" spans="1:78" s="496" customFormat="1" ht="21.75" customHeight="1">
      <c r="A818" s="535"/>
    </row>
    <row r="819" spans="1:78" ht="21.75" customHeight="1">
      <c r="A819" s="194"/>
      <c r="B819" s="6"/>
      <c r="C819" s="6"/>
      <c r="D819" s="6"/>
      <c r="E819" s="6"/>
      <c r="F819" s="6"/>
      <c r="G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O819" s="6"/>
      <c r="AP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</row>
    <row r="820" spans="1:78" ht="21.75" customHeight="1">
      <c r="A820" s="194"/>
      <c r="B820" s="6"/>
      <c r="C820" s="6"/>
      <c r="D820" s="6"/>
      <c r="E820" s="6"/>
      <c r="F820" s="6"/>
      <c r="G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O820" s="6"/>
      <c r="AP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</row>
    <row r="821" spans="1:78" s="496" customFormat="1" ht="21.75" customHeight="1">
      <c r="A821" s="535"/>
    </row>
    <row r="822" spans="1:78" s="497" customFormat="1" ht="21.75" customHeight="1">
      <c r="A822" s="533"/>
    </row>
    <row r="823" spans="1:78" s="501" customFormat="1" ht="21.75" customHeight="1">
      <c r="A823" s="534"/>
    </row>
    <row r="824" spans="1:78" s="501" customFormat="1" ht="21.75" customHeight="1">
      <c r="A824" s="534"/>
    </row>
    <row r="825" spans="1:78" s="495" customFormat="1" ht="21.75" customHeight="1">
      <c r="A825" s="539"/>
    </row>
    <row r="826" spans="1:78" s="496" customFormat="1" ht="21.75" customHeight="1">
      <c r="A826" s="535"/>
    </row>
    <row r="827" spans="1:78" s="495" customFormat="1" ht="21.75" customHeight="1">
      <c r="A827" s="539"/>
    </row>
    <row r="828" spans="1:78" s="496" customFormat="1" ht="21.75" customHeight="1">
      <c r="A828" s="535"/>
    </row>
    <row r="829" spans="1:78" s="497" customFormat="1" ht="21.75" customHeight="1">
      <c r="A829" s="533"/>
    </row>
    <row r="830" spans="1:78" s="495" customFormat="1" ht="21.75" customHeight="1">
      <c r="A830" s="539"/>
    </row>
    <row r="831" spans="1:78" s="495" customFormat="1" ht="21.75" customHeight="1">
      <c r="A831" s="539"/>
    </row>
    <row r="832" spans="1:78" s="496" customFormat="1" ht="21.75" customHeight="1">
      <c r="A832" s="535"/>
    </row>
    <row r="833" spans="1:1" s="497" customFormat="1" ht="21.75" customHeight="1">
      <c r="A833" s="533"/>
    </row>
    <row r="834" spans="1:1" s="495" customFormat="1" ht="21.75" customHeight="1">
      <c r="A834" s="539"/>
    </row>
    <row r="835" spans="1:1" s="448" customFormat="1" ht="21.75" customHeight="1">
      <c r="A835" s="449"/>
    </row>
    <row r="836" spans="1:1" s="497" customFormat="1" ht="21.75" customHeight="1">
      <c r="A836" s="533"/>
    </row>
    <row r="837" spans="1:1" s="495" customFormat="1" ht="21.75" customHeight="1">
      <c r="A837" s="539"/>
    </row>
    <row r="838" spans="1:1" s="496" customFormat="1" ht="21.75" customHeight="1">
      <c r="A838" s="535"/>
    </row>
    <row r="839" spans="1:1" s="496" customFormat="1" ht="21.75" customHeight="1">
      <c r="A839" s="535"/>
    </row>
    <row r="840" spans="1:1" s="505" customFormat="1" ht="21.75" customHeight="1">
      <c r="A840" s="546"/>
    </row>
    <row r="841" spans="1:1" s="496" customFormat="1" ht="21.75" customHeight="1">
      <c r="A841" s="535"/>
    </row>
    <row r="842" spans="1:1" s="497" customFormat="1" ht="21.75" customHeight="1">
      <c r="A842" s="533"/>
    </row>
    <row r="843" spans="1:1" s="495" customFormat="1" ht="21.75" customHeight="1">
      <c r="A843" s="539"/>
    </row>
    <row r="844" spans="1:1" s="496" customFormat="1" ht="21.75" customHeight="1">
      <c r="A844" s="535"/>
    </row>
    <row r="845" spans="1:1" s="496" customFormat="1" ht="21.75" customHeight="1">
      <c r="A845" s="535"/>
    </row>
    <row r="846" spans="1:1" s="495" customFormat="1" ht="21.75" customHeight="1">
      <c r="A846" s="539"/>
    </row>
    <row r="847" spans="1:1" s="495" customFormat="1" ht="21.75" customHeight="1">
      <c r="A847" s="539"/>
    </row>
    <row r="848" spans="1:1" s="497" customFormat="1" ht="21.75" customHeight="1">
      <c r="A848" s="533"/>
    </row>
    <row r="849" spans="1:78" s="495" customFormat="1" ht="21.75" customHeight="1">
      <c r="A849" s="539"/>
    </row>
    <row r="850" spans="1:78" s="505" customFormat="1" ht="21.75" customHeight="1">
      <c r="A850" s="546"/>
    </row>
    <row r="851" spans="1:78" s="495" customFormat="1" ht="21.75" customHeight="1">
      <c r="A851" s="539"/>
    </row>
    <row r="852" spans="1:78" s="497" customFormat="1" ht="21.75" customHeight="1">
      <c r="A852" s="533"/>
    </row>
    <row r="853" spans="1:78" s="504" customFormat="1" ht="21.75" customHeight="1">
      <c r="A853" s="553"/>
    </row>
    <row r="854" spans="1:78" s="496" customFormat="1" ht="21.75" customHeight="1">
      <c r="A854" s="535"/>
    </row>
    <row r="855" spans="1:78" ht="21.75" customHeight="1">
      <c r="A855" s="194"/>
      <c r="B855" s="6"/>
      <c r="C855" s="6"/>
      <c r="D855" s="6"/>
      <c r="E855" s="6"/>
      <c r="F855" s="6"/>
      <c r="G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O855" s="6"/>
      <c r="AP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</row>
    <row r="856" spans="1:78" s="505" customFormat="1" ht="21.75" customHeight="1">
      <c r="A856" s="546"/>
    </row>
    <row r="857" spans="1:78" s="496" customFormat="1" ht="21.75" customHeight="1">
      <c r="A857" s="535"/>
    </row>
    <row r="858" spans="1:78" s="504" customFormat="1" ht="21.75" customHeight="1">
      <c r="A858" s="553"/>
    </row>
    <row r="859" spans="1:78" s="496" customFormat="1" ht="21.75" customHeight="1">
      <c r="A859" s="535"/>
    </row>
    <row r="860" spans="1:78" s="497" customFormat="1" ht="21.75" customHeight="1">
      <c r="A860" s="533"/>
    </row>
    <row r="861" spans="1:78" s="495" customFormat="1" ht="21.75" customHeight="1">
      <c r="A861" s="539"/>
    </row>
    <row r="862" spans="1:78" s="496" customFormat="1" ht="21.75" customHeight="1">
      <c r="A862" s="535"/>
    </row>
    <row r="863" spans="1:78" s="495" customFormat="1" ht="21.75" customHeight="1">
      <c r="A863" s="539"/>
    </row>
    <row r="864" spans="1:78" s="496" customFormat="1" ht="21.75" customHeight="1">
      <c r="A864" s="535"/>
    </row>
    <row r="865" spans="1:78" s="496" customFormat="1" ht="21.75" customHeight="1">
      <c r="A865" s="535"/>
    </row>
    <row r="866" spans="1:78" s="496" customFormat="1" ht="21.75" customHeight="1">
      <c r="A866" s="535"/>
    </row>
    <row r="867" spans="1:78" s="496" customFormat="1" ht="21.75" customHeight="1">
      <c r="A867" s="535"/>
    </row>
    <row r="868" spans="1:78" ht="21.75" customHeight="1">
      <c r="A868" s="194"/>
      <c r="B868" s="6"/>
      <c r="C868" s="6"/>
      <c r="D868" s="6"/>
      <c r="E868" s="6"/>
      <c r="F868" s="6"/>
      <c r="G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O868" s="6"/>
      <c r="AP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</row>
    <row r="869" spans="1:78" s="505" customFormat="1" ht="21.75" customHeight="1">
      <c r="A869" s="546"/>
    </row>
    <row r="870" spans="1:78" s="496" customFormat="1" ht="21.75" customHeight="1">
      <c r="A870" s="535"/>
    </row>
    <row r="871" spans="1:78" s="448" customFormat="1" ht="21.75" customHeight="1">
      <c r="A871" s="449"/>
    </row>
    <row r="872" spans="1:78" s="450" customFormat="1" ht="21.75" customHeight="1">
      <c r="A872" s="451"/>
    </row>
    <row r="873" spans="1:78" s="495" customFormat="1" ht="21.75" customHeight="1">
      <c r="A873" s="539"/>
    </row>
    <row r="874" spans="1:78" s="501" customFormat="1" ht="21.75" customHeight="1">
      <c r="A874" s="534"/>
    </row>
    <row r="875" spans="1:78" s="495" customFormat="1" ht="21.75" customHeight="1">
      <c r="A875" s="539"/>
    </row>
    <row r="876" spans="1:78" s="496" customFormat="1" ht="21.75" customHeight="1">
      <c r="A876" s="535"/>
    </row>
    <row r="877" spans="1:78" s="450" customFormat="1" ht="21.75" customHeight="1">
      <c r="A877" s="451"/>
    </row>
    <row r="878" spans="1:78" s="448" customFormat="1" ht="21.75" customHeight="1">
      <c r="A878" s="449"/>
    </row>
    <row r="879" spans="1:78" s="496" customFormat="1" ht="21.75" customHeight="1">
      <c r="A879" s="535"/>
    </row>
    <row r="880" spans="1:78" s="497" customFormat="1" ht="21.75" customHeight="1">
      <c r="A880" s="533"/>
    </row>
    <row r="881" spans="1:186" s="495" customFormat="1" ht="21.75" customHeight="1">
      <c r="A881" s="539"/>
    </row>
    <row r="882" spans="1:186" s="496" customFormat="1" ht="21.75" customHeight="1">
      <c r="A882" s="535"/>
    </row>
    <row r="883" spans="1:186" s="505" customFormat="1" ht="21.75" customHeight="1">
      <c r="A883" s="546"/>
    </row>
    <row r="884" spans="1:186" s="496" customFormat="1" ht="21.75" customHeight="1">
      <c r="A884" s="535"/>
    </row>
    <row r="885" spans="1:186" s="501" customFormat="1" ht="21.75" customHeight="1">
      <c r="A885" s="534"/>
    </row>
    <row r="886" spans="1:186" s="504" customFormat="1" ht="21.75" customHeight="1">
      <c r="A886" s="477"/>
      <c r="B886" s="476"/>
      <c r="C886" s="476"/>
      <c r="D886" s="476"/>
      <c r="E886" s="476"/>
      <c r="F886" s="476"/>
      <c r="G886" s="476"/>
      <c r="H886" s="476"/>
      <c r="I886" s="476"/>
      <c r="J886" s="476"/>
      <c r="K886" s="476"/>
      <c r="L886" s="476"/>
      <c r="M886" s="476"/>
      <c r="N886" s="476"/>
      <c r="O886" s="476"/>
      <c r="P886" s="476"/>
      <c r="Q886" s="476"/>
      <c r="R886" s="476"/>
      <c r="S886" s="476"/>
      <c r="T886" s="476"/>
      <c r="U886" s="476"/>
      <c r="V886" s="476"/>
      <c r="W886" s="476"/>
      <c r="X886" s="476"/>
      <c r="Y886" s="476"/>
      <c r="Z886" s="476"/>
      <c r="AA886" s="476"/>
      <c r="AB886" s="476"/>
      <c r="AC886" s="476"/>
      <c r="AD886" s="476"/>
      <c r="AE886" s="476"/>
      <c r="AF886" s="476"/>
      <c r="AG886" s="476"/>
      <c r="AH886" s="476"/>
      <c r="AI886" s="476"/>
      <c r="AJ886" s="476"/>
      <c r="AK886" s="476"/>
      <c r="AL886" s="476"/>
      <c r="AM886" s="476"/>
      <c r="AN886" s="476"/>
      <c r="AO886" s="476"/>
      <c r="AP886" s="476"/>
      <c r="AQ886" s="476"/>
      <c r="AR886" s="476"/>
      <c r="AS886" s="476"/>
      <c r="AT886" s="476"/>
      <c r="AU886" s="476"/>
      <c r="AV886" s="476"/>
      <c r="AW886" s="476"/>
      <c r="AX886" s="476"/>
      <c r="AY886" s="476"/>
      <c r="AZ886" s="476"/>
      <c r="BA886" s="476"/>
      <c r="BB886" s="476"/>
      <c r="BC886" s="476"/>
      <c r="BD886" s="476"/>
      <c r="BE886" s="476"/>
      <c r="BF886" s="476"/>
      <c r="BG886" s="476"/>
      <c r="BH886" s="476"/>
      <c r="BI886" s="476"/>
      <c r="BJ886" s="476"/>
      <c r="BK886" s="476"/>
      <c r="BL886" s="476"/>
      <c r="BM886" s="476"/>
      <c r="BN886" s="476"/>
      <c r="BO886" s="476"/>
      <c r="BP886" s="476"/>
      <c r="BQ886" s="476"/>
      <c r="BR886" s="476"/>
      <c r="BS886" s="476"/>
      <c r="BT886" s="476"/>
      <c r="BU886" s="476"/>
      <c r="BV886" s="476"/>
      <c r="BW886" s="476"/>
      <c r="BX886" s="476"/>
      <c r="BY886" s="476"/>
      <c r="BZ886" s="476"/>
      <c r="CA886" s="476"/>
      <c r="CB886" s="476"/>
      <c r="CC886" s="476"/>
      <c r="CD886" s="476"/>
      <c r="CE886" s="476"/>
      <c r="CF886" s="476"/>
      <c r="CG886" s="476"/>
      <c r="CH886" s="476"/>
      <c r="CI886" s="476"/>
      <c r="CJ886" s="476"/>
      <c r="CK886" s="476"/>
      <c r="CL886" s="476"/>
      <c r="CM886" s="476"/>
      <c r="CN886" s="476"/>
      <c r="CO886" s="476"/>
      <c r="CP886" s="476"/>
      <c r="CQ886" s="476"/>
      <c r="CR886" s="476"/>
      <c r="CS886" s="476"/>
      <c r="CT886" s="476"/>
      <c r="CU886" s="476"/>
      <c r="CV886" s="476"/>
      <c r="CW886" s="476"/>
      <c r="CX886" s="476"/>
      <c r="CY886" s="476"/>
      <c r="CZ886" s="476"/>
      <c r="DA886" s="476"/>
      <c r="DB886" s="476"/>
      <c r="DC886" s="476"/>
      <c r="DD886" s="476"/>
      <c r="DE886" s="476"/>
      <c r="DF886" s="476"/>
      <c r="DG886" s="476"/>
      <c r="DH886" s="476"/>
      <c r="DI886" s="476"/>
      <c r="DJ886" s="476"/>
      <c r="DK886" s="476"/>
      <c r="DL886" s="476"/>
      <c r="DM886" s="476"/>
      <c r="DN886" s="476"/>
      <c r="DO886" s="476"/>
      <c r="DP886" s="476"/>
      <c r="DQ886" s="476"/>
      <c r="DR886" s="476"/>
      <c r="DS886" s="476"/>
      <c r="DT886" s="476"/>
      <c r="DU886" s="476"/>
      <c r="DV886" s="476"/>
      <c r="DW886" s="476"/>
      <c r="DX886" s="476"/>
      <c r="DY886" s="476"/>
      <c r="DZ886" s="476"/>
      <c r="EA886" s="476"/>
      <c r="EB886" s="476"/>
      <c r="EC886" s="476"/>
      <c r="ED886" s="476"/>
      <c r="EE886" s="476"/>
      <c r="EF886" s="476"/>
      <c r="EG886" s="476"/>
      <c r="EH886" s="476"/>
      <c r="EI886" s="476"/>
      <c r="EJ886" s="476"/>
      <c r="EK886" s="476"/>
      <c r="EL886" s="476"/>
      <c r="EM886" s="476"/>
      <c r="EN886" s="476"/>
      <c r="EO886" s="476"/>
      <c r="EP886" s="476"/>
      <c r="EQ886" s="476"/>
      <c r="ER886" s="476"/>
      <c r="ES886" s="476"/>
      <c r="ET886" s="476"/>
      <c r="EU886" s="476"/>
      <c r="EV886" s="476"/>
      <c r="EW886" s="476"/>
      <c r="EX886" s="476"/>
      <c r="EY886" s="476"/>
      <c r="EZ886" s="476"/>
      <c r="FA886" s="476"/>
      <c r="FB886" s="476"/>
      <c r="FC886" s="476"/>
      <c r="FD886" s="476"/>
      <c r="FE886" s="476"/>
      <c r="FF886" s="476"/>
      <c r="FG886" s="476"/>
      <c r="FH886" s="476"/>
      <c r="FI886" s="476"/>
      <c r="FJ886" s="476"/>
      <c r="FK886" s="476"/>
      <c r="FL886" s="476"/>
      <c r="FM886" s="476"/>
      <c r="FN886" s="476"/>
      <c r="FO886" s="476"/>
      <c r="FP886" s="476"/>
      <c r="FQ886" s="476"/>
      <c r="FR886" s="476"/>
      <c r="FS886" s="476"/>
      <c r="FT886" s="476"/>
      <c r="FU886" s="476"/>
      <c r="FV886" s="476"/>
      <c r="FW886" s="476"/>
      <c r="FX886" s="476"/>
      <c r="FY886" s="476"/>
      <c r="FZ886" s="476"/>
      <c r="GA886" s="476"/>
      <c r="GB886" s="476"/>
      <c r="GC886" s="476"/>
      <c r="GD886" s="476"/>
    </row>
    <row r="887" spans="1:186" s="497" customFormat="1" ht="21.75" customHeight="1">
      <c r="A887" s="533"/>
    </row>
    <row r="888" spans="1:186" s="501" customFormat="1" ht="21.75" customHeight="1">
      <c r="A888" s="534"/>
    </row>
    <row r="889" spans="1:186" s="504" customFormat="1" ht="21.75" customHeight="1">
      <c r="A889" s="553"/>
    </row>
    <row r="890" spans="1:186" s="496" customFormat="1" ht="21.75" customHeight="1">
      <c r="A890" s="535"/>
    </row>
    <row r="891" spans="1:186" s="501" customFormat="1" ht="21.75" customHeight="1">
      <c r="A891" s="534"/>
    </row>
    <row r="892" spans="1:186" s="495" customFormat="1" ht="21.75" customHeight="1">
      <c r="A892" s="539"/>
    </row>
    <row r="893" spans="1:186" s="497" customFormat="1" ht="21.75" customHeight="1">
      <c r="A893" s="533"/>
    </row>
    <row r="894" spans="1:186" s="495" customFormat="1" ht="21.75" customHeight="1">
      <c r="A894" s="539"/>
    </row>
    <row r="895" spans="1:186" s="496" customFormat="1" ht="21.75" customHeight="1">
      <c r="A895" s="535"/>
    </row>
    <row r="896" spans="1:186" s="496" customFormat="1" ht="21.75" customHeight="1">
      <c r="A896" s="535"/>
    </row>
    <row r="897" spans="1:186" s="497" customFormat="1" ht="21.75" customHeight="1">
      <c r="A897" s="533"/>
    </row>
    <row r="898" spans="1:186" s="547" customFormat="1" ht="21.75" customHeight="1">
      <c r="A898" s="467"/>
      <c r="B898" s="466"/>
      <c r="C898" s="466"/>
      <c r="D898" s="466"/>
      <c r="E898" s="466"/>
      <c r="F898" s="466"/>
      <c r="G898" s="466"/>
      <c r="H898" s="466"/>
      <c r="I898" s="466"/>
      <c r="J898" s="466"/>
      <c r="K898" s="466"/>
      <c r="L898" s="466"/>
      <c r="M898" s="466"/>
      <c r="N898" s="466"/>
      <c r="O898" s="466"/>
      <c r="P898" s="466"/>
      <c r="Q898" s="466"/>
      <c r="R898" s="466"/>
      <c r="S898" s="466"/>
      <c r="T898" s="466"/>
      <c r="U898" s="466"/>
      <c r="V898" s="466"/>
      <c r="W898" s="466"/>
      <c r="X898" s="466"/>
      <c r="Y898" s="466"/>
      <c r="Z898" s="466"/>
      <c r="AA898" s="466"/>
      <c r="AB898" s="466"/>
      <c r="AC898" s="466"/>
      <c r="AD898" s="466"/>
      <c r="AE898" s="466"/>
      <c r="AF898" s="466"/>
      <c r="AG898" s="466"/>
      <c r="AH898" s="466"/>
      <c r="AI898" s="466"/>
      <c r="AJ898" s="466"/>
      <c r="AK898" s="466"/>
      <c r="AL898" s="466"/>
      <c r="AM898" s="466"/>
      <c r="AN898" s="466"/>
      <c r="AO898" s="466"/>
      <c r="AP898" s="466"/>
      <c r="AQ898" s="466"/>
      <c r="AR898" s="466"/>
      <c r="AS898" s="466"/>
      <c r="AT898" s="466"/>
      <c r="AU898" s="466"/>
      <c r="AV898" s="466"/>
      <c r="AW898" s="466"/>
      <c r="AX898" s="466"/>
      <c r="AY898" s="466"/>
      <c r="AZ898" s="466"/>
      <c r="BA898" s="466"/>
      <c r="BB898" s="466"/>
      <c r="BC898" s="466"/>
      <c r="BD898" s="466"/>
      <c r="BE898" s="466"/>
      <c r="BF898" s="466"/>
      <c r="BG898" s="466"/>
      <c r="BH898" s="466"/>
      <c r="BI898" s="466"/>
      <c r="BJ898" s="466"/>
      <c r="BK898" s="466"/>
      <c r="BL898" s="466"/>
      <c r="BM898" s="466"/>
      <c r="BN898" s="466"/>
      <c r="BO898" s="466"/>
      <c r="BP898" s="466"/>
      <c r="BQ898" s="466"/>
      <c r="BR898" s="466"/>
      <c r="BS898" s="466"/>
      <c r="BT898" s="466"/>
      <c r="BU898" s="466"/>
      <c r="BV898" s="466"/>
      <c r="BW898" s="466"/>
      <c r="BX898" s="466"/>
      <c r="BY898" s="466"/>
      <c r="BZ898" s="466"/>
      <c r="CA898" s="466"/>
      <c r="CB898" s="466"/>
      <c r="CC898" s="466"/>
      <c r="CD898" s="466"/>
      <c r="CE898" s="466"/>
      <c r="CF898" s="466"/>
      <c r="CG898" s="466"/>
      <c r="CH898" s="466"/>
      <c r="CI898" s="466"/>
      <c r="CJ898" s="466"/>
      <c r="CK898" s="466"/>
      <c r="CL898" s="466"/>
      <c r="CM898" s="466"/>
      <c r="CN898" s="466"/>
      <c r="CO898" s="466"/>
      <c r="CP898" s="466"/>
      <c r="CQ898" s="466"/>
      <c r="CR898" s="466"/>
      <c r="CS898" s="466"/>
      <c r="CT898" s="466"/>
      <c r="CU898" s="466"/>
      <c r="CV898" s="466"/>
      <c r="CW898" s="466"/>
      <c r="CX898" s="466"/>
      <c r="CY898" s="466"/>
      <c r="CZ898" s="466"/>
      <c r="DA898" s="466"/>
      <c r="DB898" s="466"/>
      <c r="DC898" s="466"/>
      <c r="DD898" s="466"/>
      <c r="DE898" s="466"/>
      <c r="DF898" s="466"/>
      <c r="DG898" s="466"/>
      <c r="DH898" s="466"/>
      <c r="DI898" s="466"/>
      <c r="DJ898" s="466"/>
      <c r="DK898" s="466"/>
      <c r="DL898" s="466"/>
      <c r="DM898" s="466"/>
      <c r="DN898" s="466"/>
      <c r="DO898" s="466"/>
      <c r="DP898" s="466"/>
      <c r="DQ898" s="466"/>
      <c r="DR898" s="466"/>
      <c r="DS898" s="466"/>
      <c r="DT898" s="466"/>
      <c r="DU898" s="466"/>
      <c r="DV898" s="466"/>
      <c r="DW898" s="466"/>
      <c r="DX898" s="466"/>
      <c r="DY898" s="466"/>
      <c r="DZ898" s="466"/>
      <c r="EA898" s="466"/>
      <c r="EB898" s="466"/>
      <c r="EC898" s="466"/>
      <c r="ED898" s="466"/>
      <c r="EE898" s="466"/>
      <c r="EF898" s="466"/>
      <c r="EG898" s="466"/>
      <c r="EH898" s="466"/>
      <c r="EI898" s="466"/>
      <c r="EJ898" s="466"/>
      <c r="EK898" s="466"/>
      <c r="EL898" s="466"/>
      <c r="EM898" s="466"/>
      <c r="EN898" s="466"/>
      <c r="EO898" s="466"/>
      <c r="EP898" s="466"/>
      <c r="EQ898" s="466"/>
      <c r="ER898" s="466"/>
      <c r="ES898" s="466"/>
      <c r="ET898" s="466"/>
      <c r="EU898" s="466"/>
      <c r="EV898" s="466"/>
      <c r="EW898" s="466"/>
      <c r="EX898" s="466"/>
      <c r="EY898" s="466"/>
      <c r="EZ898" s="466"/>
      <c r="FA898" s="466"/>
      <c r="FB898" s="466"/>
      <c r="FC898" s="466"/>
      <c r="FD898" s="466"/>
      <c r="FE898" s="466"/>
      <c r="FF898" s="466"/>
      <c r="FG898" s="466"/>
      <c r="FH898" s="466"/>
      <c r="FI898" s="466"/>
      <c r="FJ898" s="466"/>
      <c r="FK898" s="466"/>
      <c r="FL898" s="466"/>
      <c r="FM898" s="466"/>
      <c r="FN898" s="466"/>
      <c r="FO898" s="466"/>
      <c r="FP898" s="466"/>
      <c r="FQ898" s="466"/>
      <c r="FR898" s="466"/>
      <c r="FS898" s="466"/>
      <c r="FT898" s="466"/>
      <c r="FU898" s="466"/>
      <c r="FV898" s="466"/>
      <c r="FW898" s="466"/>
      <c r="FX898" s="466"/>
      <c r="FY898" s="466"/>
      <c r="FZ898" s="466"/>
      <c r="GA898" s="466"/>
      <c r="GB898" s="466"/>
      <c r="GC898" s="466"/>
      <c r="GD898" s="466"/>
    </row>
    <row r="899" spans="1:186" s="495" customFormat="1" ht="21.75" customHeight="1">
      <c r="A899" s="539"/>
    </row>
    <row r="900" spans="1:186" s="496" customFormat="1" ht="21.75" customHeight="1">
      <c r="A900" s="535"/>
    </row>
    <row r="901" spans="1:186" s="496" customFormat="1" ht="21.75" customHeight="1">
      <c r="A901" s="535"/>
    </row>
    <row r="902" spans="1:186" s="496" customFormat="1" ht="21.75" customHeight="1">
      <c r="A902" s="535"/>
    </row>
    <row r="903" spans="1:186" ht="21.75" customHeight="1">
      <c r="A903" s="194"/>
      <c r="B903" s="6"/>
      <c r="C903" s="6"/>
      <c r="D903" s="6"/>
      <c r="E903" s="6"/>
      <c r="F903" s="6"/>
      <c r="G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O903" s="6"/>
      <c r="AP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</row>
    <row r="904" spans="1:186" s="496" customFormat="1" ht="21.75" customHeight="1">
      <c r="A904" s="535"/>
    </row>
    <row r="905" spans="1:186" s="497" customFormat="1" ht="21.75" customHeight="1">
      <c r="A905" s="533"/>
    </row>
    <row r="906" spans="1:186" s="504" customFormat="1" ht="21.75" customHeight="1">
      <c r="A906" s="553"/>
    </row>
    <row r="907" spans="1:186" s="505" customFormat="1" ht="21.75" customHeight="1">
      <c r="A907" s="546"/>
    </row>
    <row r="908" spans="1:186" s="505" customFormat="1" ht="21.75" customHeight="1">
      <c r="A908" s="546"/>
    </row>
    <row r="909" spans="1:186" s="496" customFormat="1" ht="21.75" customHeight="1">
      <c r="A909" s="535"/>
    </row>
    <row r="910" spans="1:186" s="496" customFormat="1" ht="21.75" customHeight="1">
      <c r="A910" s="535"/>
    </row>
    <row r="911" spans="1:186" s="497" customFormat="1" ht="21.75" customHeight="1">
      <c r="A911" s="533"/>
    </row>
    <row r="912" spans="1:186" s="495" customFormat="1" ht="21.75" customHeight="1">
      <c r="A912" s="539"/>
    </row>
    <row r="913" spans="1:1" s="504" customFormat="1" ht="21.75" customHeight="1">
      <c r="A913" s="553"/>
    </row>
    <row r="914" spans="1:1" s="496" customFormat="1" ht="21.75" customHeight="1">
      <c r="A914" s="535"/>
    </row>
    <row r="915" spans="1:1" s="504" customFormat="1" ht="21.75" customHeight="1">
      <c r="A915" s="553"/>
    </row>
    <row r="916" spans="1:1" s="496" customFormat="1" ht="21.75" customHeight="1">
      <c r="A916" s="535"/>
    </row>
    <row r="917" spans="1:1" s="505" customFormat="1" ht="21.75" customHeight="1">
      <c r="A917" s="546"/>
    </row>
    <row r="918" spans="1:1" s="497" customFormat="1" ht="21.75" customHeight="1">
      <c r="A918" s="533"/>
    </row>
    <row r="919" spans="1:1" s="504" customFormat="1" ht="21.75" customHeight="1">
      <c r="A919" s="553"/>
    </row>
    <row r="920" spans="1:1" s="524" customFormat="1" ht="21.75" customHeight="1">
      <c r="A920" s="558"/>
    </row>
    <row r="921" spans="1:1" s="495" customFormat="1" ht="21.75" customHeight="1">
      <c r="A921" s="539"/>
    </row>
    <row r="922" spans="1:1" s="495" customFormat="1" ht="21.75" customHeight="1">
      <c r="A922" s="539"/>
    </row>
    <row r="923" spans="1:1" s="496" customFormat="1" ht="21.75" customHeight="1">
      <c r="A923" s="535"/>
    </row>
    <row r="924" spans="1:1" s="496" customFormat="1" ht="21.75" customHeight="1">
      <c r="A924" s="535"/>
    </row>
    <row r="925" spans="1:1" s="505" customFormat="1" ht="21.75" customHeight="1">
      <c r="A925" s="546"/>
    </row>
    <row r="926" spans="1:1" s="495" customFormat="1" ht="21.75" customHeight="1">
      <c r="A926" s="539"/>
    </row>
    <row r="927" spans="1:1" s="496" customFormat="1" ht="21.75" customHeight="1">
      <c r="A927" s="535"/>
    </row>
    <row r="928" spans="1:1" s="505" customFormat="1" ht="21.75" customHeight="1">
      <c r="A928" s="546"/>
    </row>
    <row r="929" spans="1:186" s="496" customFormat="1" ht="21.75" customHeight="1">
      <c r="A929" s="535"/>
    </row>
    <row r="930" spans="1:186" s="501" customFormat="1" ht="21.75" customHeight="1">
      <c r="A930" s="534"/>
    </row>
    <row r="931" spans="1:186" s="498" customFormat="1" ht="21.75" customHeight="1">
      <c r="A931" s="464"/>
      <c r="B931" s="463"/>
      <c r="C931" s="463"/>
      <c r="D931" s="463"/>
      <c r="E931" s="463"/>
      <c r="F931" s="463"/>
      <c r="G931" s="463"/>
      <c r="H931" s="463"/>
      <c r="I931" s="463"/>
      <c r="J931" s="463"/>
      <c r="K931" s="463"/>
      <c r="L931" s="463"/>
      <c r="M931" s="463"/>
      <c r="N931" s="463"/>
      <c r="O931" s="463"/>
      <c r="P931" s="463"/>
      <c r="Q931" s="463"/>
      <c r="R931" s="463"/>
      <c r="S931" s="463"/>
      <c r="T931" s="463"/>
      <c r="U931" s="463"/>
      <c r="V931" s="463"/>
      <c r="W931" s="463"/>
      <c r="X931" s="463"/>
      <c r="Y931" s="463"/>
      <c r="Z931" s="463"/>
      <c r="AA931" s="463"/>
      <c r="AB931" s="463"/>
      <c r="AC931" s="463"/>
      <c r="AD931" s="463"/>
      <c r="AE931" s="463"/>
      <c r="AF931" s="463"/>
      <c r="AG931" s="463"/>
      <c r="AH931" s="463"/>
      <c r="AI931" s="463"/>
      <c r="AJ931" s="463"/>
      <c r="AK931" s="463"/>
      <c r="AL931" s="463"/>
      <c r="AM931" s="463"/>
      <c r="AN931" s="463"/>
      <c r="AO931" s="463"/>
      <c r="AP931" s="463"/>
      <c r="AQ931" s="463"/>
      <c r="AR931" s="463"/>
      <c r="AS931" s="463"/>
      <c r="AT931" s="463"/>
      <c r="AU931" s="463"/>
      <c r="AV931" s="463"/>
      <c r="AW931" s="463"/>
      <c r="AX931" s="463"/>
      <c r="AY931" s="463"/>
      <c r="AZ931" s="463"/>
      <c r="BA931" s="463"/>
      <c r="BB931" s="463"/>
      <c r="BC931" s="463"/>
      <c r="BD931" s="463"/>
      <c r="BE931" s="463"/>
      <c r="BF931" s="463"/>
      <c r="BG931" s="463"/>
      <c r="BH931" s="463"/>
      <c r="BI931" s="463"/>
      <c r="BJ931" s="463"/>
      <c r="BK931" s="463"/>
      <c r="BL931" s="463"/>
      <c r="BM931" s="463"/>
      <c r="BN931" s="463"/>
      <c r="BO931" s="463"/>
      <c r="BP931" s="463"/>
      <c r="BQ931" s="463"/>
      <c r="BR931" s="463"/>
      <c r="BS931" s="463"/>
      <c r="BT931" s="463"/>
      <c r="BU931" s="463"/>
      <c r="BV931" s="463"/>
      <c r="BW931" s="463"/>
      <c r="BX931" s="463"/>
      <c r="BY931" s="463"/>
      <c r="BZ931" s="463"/>
      <c r="CA931" s="463"/>
      <c r="CB931" s="463"/>
      <c r="CC931" s="463"/>
      <c r="CD931" s="463"/>
      <c r="CE931" s="463"/>
      <c r="CF931" s="463"/>
      <c r="CG931" s="463"/>
      <c r="CH931" s="463"/>
      <c r="CI931" s="463"/>
      <c r="CJ931" s="463"/>
      <c r="CK931" s="463"/>
      <c r="CL931" s="463"/>
      <c r="CM931" s="463"/>
      <c r="CN931" s="463"/>
      <c r="CO931" s="463"/>
      <c r="CP931" s="463"/>
      <c r="CQ931" s="463"/>
      <c r="CR931" s="463"/>
      <c r="CS931" s="463"/>
      <c r="CT931" s="463"/>
      <c r="CU931" s="463"/>
      <c r="CV931" s="463"/>
      <c r="CW931" s="463"/>
      <c r="CX931" s="463"/>
      <c r="CY931" s="463"/>
      <c r="CZ931" s="463"/>
      <c r="DA931" s="463"/>
      <c r="DB931" s="463"/>
      <c r="DC931" s="463"/>
      <c r="DD931" s="463"/>
      <c r="DE931" s="463"/>
      <c r="DF931" s="463"/>
      <c r="DG931" s="463"/>
      <c r="DH931" s="463"/>
      <c r="DI931" s="463"/>
      <c r="DJ931" s="463"/>
      <c r="DK931" s="463"/>
      <c r="DL931" s="463"/>
      <c r="DM931" s="463"/>
      <c r="DN931" s="463"/>
      <c r="DO931" s="463"/>
      <c r="DP931" s="463"/>
      <c r="DQ931" s="463"/>
      <c r="DR931" s="463"/>
      <c r="DS931" s="463"/>
      <c r="DT931" s="463"/>
      <c r="DU931" s="463"/>
      <c r="DV931" s="463"/>
      <c r="DW931" s="463"/>
      <c r="DX931" s="463"/>
      <c r="DY931" s="463"/>
      <c r="DZ931" s="463"/>
      <c r="EA931" s="463"/>
      <c r="EB931" s="463"/>
      <c r="EC931" s="463"/>
      <c r="ED931" s="463"/>
      <c r="EE931" s="463"/>
      <c r="EF931" s="463"/>
      <c r="EG931" s="463"/>
      <c r="EH931" s="463"/>
      <c r="EI931" s="463"/>
      <c r="EJ931" s="463"/>
      <c r="EK931" s="463"/>
      <c r="EL931" s="463"/>
      <c r="EM931" s="463"/>
      <c r="EN931" s="463"/>
      <c r="EO931" s="463"/>
      <c r="EP931" s="463"/>
      <c r="EQ931" s="463"/>
      <c r="ER931" s="463"/>
      <c r="ES931" s="463"/>
      <c r="ET931" s="463"/>
      <c r="EU931" s="463"/>
      <c r="EV931" s="463"/>
      <c r="EW931" s="463"/>
      <c r="EX931" s="463"/>
      <c r="EY931" s="463"/>
      <c r="EZ931" s="463"/>
      <c r="FA931" s="463"/>
      <c r="FB931" s="463"/>
      <c r="FC931" s="463"/>
      <c r="FD931" s="463"/>
      <c r="FE931" s="463"/>
      <c r="FF931" s="463"/>
      <c r="FG931" s="463"/>
      <c r="FH931" s="463"/>
      <c r="FI931" s="463"/>
      <c r="FJ931" s="463"/>
      <c r="FK931" s="463"/>
      <c r="FL931" s="463"/>
      <c r="FM931" s="463"/>
      <c r="FN931" s="463"/>
      <c r="FO931" s="463"/>
      <c r="FP931" s="463"/>
      <c r="FQ931" s="463"/>
      <c r="FR931" s="463"/>
      <c r="FS931" s="463"/>
      <c r="FT931" s="463"/>
      <c r="FU931" s="463"/>
      <c r="FV931" s="463"/>
      <c r="FW931" s="463"/>
      <c r="FX931" s="463"/>
      <c r="FY931" s="463"/>
      <c r="FZ931" s="463"/>
      <c r="GA931" s="463"/>
      <c r="GB931" s="463"/>
      <c r="GC931" s="463"/>
      <c r="GD931" s="463"/>
    </row>
    <row r="932" spans="1:186" s="501" customFormat="1" ht="21.75" customHeight="1">
      <c r="A932" s="534"/>
    </row>
    <row r="933" spans="1:186" s="495" customFormat="1" ht="21.75" customHeight="1">
      <c r="A933" s="539"/>
    </row>
    <row r="934" spans="1:186" s="497" customFormat="1" ht="21.75" customHeight="1">
      <c r="A934" s="533"/>
    </row>
    <row r="935" spans="1:186" s="495" customFormat="1" ht="21.75" customHeight="1">
      <c r="A935" s="539"/>
    </row>
    <row r="936" spans="1:186" s="497" customFormat="1" ht="21.75" customHeight="1">
      <c r="A936" s="533"/>
    </row>
    <row r="937" spans="1:186" s="495" customFormat="1" ht="21.75" customHeight="1">
      <c r="A937" s="539"/>
    </row>
    <row r="938" spans="1:186" s="496" customFormat="1" ht="21.75" customHeight="1">
      <c r="A938" s="535"/>
    </row>
    <row r="939" spans="1:186" s="495" customFormat="1" ht="21.75" customHeight="1">
      <c r="A939" s="539"/>
    </row>
    <row r="940" spans="1:186" s="497" customFormat="1" ht="21.75" customHeight="1">
      <c r="A940" s="533"/>
    </row>
    <row r="941" spans="1:186" s="501" customFormat="1" ht="21.75" customHeight="1">
      <c r="A941" s="534"/>
    </row>
    <row r="942" spans="1:186" s="495" customFormat="1" ht="21.75" customHeight="1">
      <c r="A942" s="539"/>
    </row>
    <row r="943" spans="1:186" s="501" customFormat="1" ht="21.75" customHeight="1">
      <c r="A943" s="534"/>
    </row>
    <row r="944" spans="1:186" s="495" customFormat="1" ht="21.75" customHeight="1">
      <c r="A944" s="539"/>
    </row>
    <row r="945" spans="1:78" s="496" customFormat="1" ht="21.75" customHeight="1">
      <c r="A945" s="535"/>
    </row>
    <row r="946" spans="1:78" s="496" customFormat="1" ht="21.75" customHeight="1">
      <c r="A946" s="535"/>
    </row>
    <row r="947" spans="1:78" s="496" customFormat="1" ht="21.75" customHeight="1">
      <c r="A947" s="535"/>
    </row>
    <row r="948" spans="1:78" s="496" customFormat="1" ht="21.75" customHeight="1">
      <c r="A948" s="535"/>
    </row>
    <row r="949" spans="1:78" s="496" customFormat="1" ht="21.75" customHeight="1">
      <c r="A949" s="535"/>
    </row>
    <row r="950" spans="1:78" ht="21.75" customHeight="1">
      <c r="A950" s="194"/>
      <c r="B950" s="6"/>
      <c r="C950" s="6"/>
      <c r="D950" s="6"/>
      <c r="E950" s="6"/>
      <c r="F950" s="6"/>
      <c r="G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O950" s="6"/>
      <c r="AP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</row>
    <row r="951" spans="1:78" s="497" customFormat="1" ht="21.75" customHeight="1">
      <c r="A951" s="533"/>
    </row>
    <row r="952" spans="1:78" s="448" customFormat="1" ht="21.75" customHeight="1">
      <c r="A952" s="449"/>
    </row>
    <row r="953" spans="1:78" s="496" customFormat="1" ht="21.75" customHeight="1">
      <c r="A953" s="535"/>
    </row>
    <row r="954" spans="1:78" s="505" customFormat="1" ht="21.75" customHeight="1">
      <c r="A954" s="546"/>
    </row>
    <row r="955" spans="1:78" s="497" customFormat="1" ht="21.75" customHeight="1">
      <c r="A955" s="533"/>
    </row>
    <row r="956" spans="1:78" s="495" customFormat="1" ht="21.75" customHeight="1">
      <c r="A956" s="539"/>
    </row>
    <row r="957" spans="1:78" s="496" customFormat="1" ht="21.75" customHeight="1">
      <c r="A957" s="535"/>
    </row>
    <row r="958" spans="1:78" s="496" customFormat="1" ht="21.75" customHeight="1">
      <c r="A958" s="535"/>
    </row>
    <row r="959" spans="1:78" s="496" customFormat="1" ht="21.75" customHeight="1">
      <c r="A959" s="535"/>
    </row>
    <row r="960" spans="1:78" s="497" customFormat="1" ht="21.75" customHeight="1">
      <c r="A960" s="533"/>
    </row>
    <row r="961" spans="1:1" s="501" customFormat="1" ht="21.75" customHeight="1">
      <c r="A961" s="534"/>
    </row>
    <row r="962" spans="1:1" s="495" customFormat="1" ht="21.75" customHeight="1">
      <c r="A962" s="539"/>
    </row>
    <row r="963" spans="1:1" s="497" customFormat="1" ht="21.75" customHeight="1">
      <c r="A963" s="533"/>
    </row>
    <row r="964" spans="1:1" s="501" customFormat="1" ht="21.75" customHeight="1">
      <c r="A964" s="534"/>
    </row>
    <row r="965" spans="1:1" s="495" customFormat="1" ht="21.75" customHeight="1">
      <c r="A965" s="539"/>
    </row>
    <row r="966" spans="1:1" s="506" customFormat="1" ht="21.75" customHeight="1">
      <c r="A966" s="554"/>
    </row>
    <row r="967" spans="1:1" s="497" customFormat="1" ht="21.75" customHeight="1">
      <c r="A967" s="533"/>
    </row>
    <row r="968" spans="1:1" s="495" customFormat="1" ht="21.75" customHeight="1">
      <c r="A968" s="539"/>
    </row>
    <row r="969" spans="1:1" s="496" customFormat="1" ht="21.75" customHeight="1">
      <c r="A969" s="535"/>
    </row>
    <row r="970" spans="1:1" s="501" customFormat="1" ht="21.75" customHeight="1">
      <c r="A970" s="534"/>
    </row>
    <row r="971" spans="1:1" s="501" customFormat="1" ht="21.75" customHeight="1">
      <c r="A971" s="534"/>
    </row>
    <row r="972" spans="1:1" s="504" customFormat="1" ht="21.75" customHeight="1">
      <c r="A972" s="553"/>
    </row>
    <row r="973" spans="1:1" s="505" customFormat="1" ht="21.75" customHeight="1">
      <c r="A973" s="546"/>
    </row>
    <row r="974" spans="1:1" s="505" customFormat="1" ht="21.75" customHeight="1">
      <c r="A974" s="546"/>
    </row>
    <row r="975" spans="1:1" s="505" customFormat="1" ht="21.75" customHeight="1">
      <c r="A975" s="546"/>
    </row>
    <row r="976" spans="1:1" s="497" customFormat="1" ht="21.75" customHeight="1">
      <c r="A976" s="533"/>
    </row>
    <row r="977" spans="1:1" s="495" customFormat="1" ht="21.75" customHeight="1">
      <c r="A977" s="539"/>
    </row>
    <row r="978" spans="1:1" s="495" customFormat="1" ht="21.75" customHeight="1">
      <c r="A978" s="539"/>
    </row>
    <row r="979" spans="1:1" s="496" customFormat="1" ht="21.75" customHeight="1">
      <c r="A979" s="535"/>
    </row>
    <row r="980" spans="1:1" s="497" customFormat="1" ht="21.75" customHeight="1">
      <c r="A980" s="533"/>
    </row>
    <row r="981" spans="1:1" s="495" customFormat="1" ht="21.75" customHeight="1">
      <c r="A981" s="539"/>
    </row>
    <row r="982" spans="1:1" s="495" customFormat="1" ht="21.75" customHeight="1">
      <c r="A982" s="539"/>
    </row>
    <row r="983" spans="1:1" s="496" customFormat="1" ht="21.75" customHeight="1">
      <c r="A983" s="535"/>
    </row>
    <row r="984" spans="1:1" s="497" customFormat="1" ht="21.75" customHeight="1">
      <c r="A984" s="533"/>
    </row>
    <row r="985" spans="1:1" s="495" customFormat="1" ht="21.75" customHeight="1">
      <c r="A985" s="539"/>
    </row>
    <row r="986" spans="1:1" s="524" customFormat="1" ht="21.75" customHeight="1">
      <c r="A986" s="558"/>
    </row>
    <row r="987" spans="1:1" s="504" customFormat="1" ht="21.75" customHeight="1">
      <c r="A987" s="553"/>
    </row>
    <row r="988" spans="1:1" s="496" customFormat="1" ht="21.75" customHeight="1">
      <c r="A988" s="535"/>
    </row>
    <row r="989" spans="1:1" s="496" customFormat="1" ht="21.75" customHeight="1">
      <c r="A989" s="535"/>
    </row>
    <row r="990" spans="1:1" s="504" customFormat="1" ht="21.75" customHeight="1">
      <c r="A990" s="553"/>
    </row>
    <row r="991" spans="1:1" s="496" customFormat="1" ht="21.75" customHeight="1">
      <c r="A991" s="535"/>
    </row>
    <row r="992" spans="1:1" s="496" customFormat="1" ht="21.75" customHeight="1">
      <c r="A992" s="535"/>
    </row>
    <row r="993" spans="1:1" s="496" customFormat="1" ht="21.75" customHeight="1">
      <c r="A993" s="535"/>
    </row>
    <row r="994" spans="1:1" s="497" customFormat="1" ht="21.75" customHeight="1">
      <c r="A994" s="533"/>
    </row>
    <row r="995" spans="1:1" s="505" customFormat="1" ht="21.75" customHeight="1">
      <c r="A995" s="546"/>
    </row>
    <row r="996" spans="1:1" s="499" customFormat="1" ht="21.75" customHeight="1">
      <c r="A996" s="543"/>
    </row>
    <row r="997" spans="1:1" s="505" customFormat="1" ht="21.75" customHeight="1">
      <c r="A997" s="546"/>
    </row>
    <row r="998" spans="1:1" s="555" customFormat="1" ht="21.75" customHeight="1">
      <c r="A998" s="561"/>
    </row>
    <row r="999" spans="1:1" s="495" customFormat="1" ht="21.75" customHeight="1">
      <c r="A999" s="539"/>
    </row>
    <row r="1000" spans="1:1" s="496" customFormat="1" ht="21.75" customHeight="1">
      <c r="A1000" s="535"/>
    </row>
    <row r="1001" spans="1:1" s="496" customFormat="1" ht="21.75" customHeight="1">
      <c r="A1001" s="535"/>
    </row>
    <row r="1002" spans="1:1" s="495" customFormat="1" ht="21.75" customHeight="1">
      <c r="A1002" s="539"/>
    </row>
    <row r="1003" spans="1:1" s="524" customFormat="1" ht="21.75" customHeight="1">
      <c r="A1003" s="558"/>
    </row>
    <row r="1004" spans="1:1" s="495" customFormat="1" ht="21.75" customHeight="1">
      <c r="A1004" s="539"/>
    </row>
    <row r="1005" spans="1:1" s="496" customFormat="1" ht="21.75" customHeight="1">
      <c r="A1005" s="535"/>
    </row>
    <row r="1006" spans="1:1" s="496" customFormat="1" ht="21.75" customHeight="1">
      <c r="A1006" s="535"/>
    </row>
    <row r="1007" spans="1:1" s="496" customFormat="1" ht="21.75" customHeight="1">
      <c r="A1007" s="535"/>
    </row>
    <row r="1008" spans="1:1" s="495" customFormat="1" ht="21.75" customHeight="1">
      <c r="A1008" s="539"/>
    </row>
    <row r="1009" spans="1:1" s="497" customFormat="1" ht="21.75" customHeight="1">
      <c r="A1009" s="533"/>
    </row>
    <row r="1010" spans="1:1" s="448" customFormat="1" ht="21.75" customHeight="1">
      <c r="A1010" s="449"/>
    </row>
    <row r="1011" spans="1:1" s="497" customFormat="1" ht="21.75" customHeight="1">
      <c r="A1011" s="533"/>
    </row>
    <row r="1012" spans="1:1" s="448" customFormat="1" ht="21.75" customHeight="1">
      <c r="A1012" s="449"/>
    </row>
    <row r="1013" spans="1:1" s="496" customFormat="1" ht="21.75" customHeight="1">
      <c r="A1013" s="535"/>
    </row>
    <row r="1014" spans="1:1" s="496" customFormat="1" ht="21.75" customHeight="1">
      <c r="A1014" s="535"/>
    </row>
    <row r="1015" spans="1:1" s="448" customFormat="1" ht="21.75" customHeight="1">
      <c r="A1015" s="449"/>
    </row>
    <row r="1016" spans="1:1" s="448" customFormat="1" ht="21.75" customHeight="1">
      <c r="A1016" s="449"/>
    </row>
    <row r="1017" spans="1:1" s="496" customFormat="1" ht="21.75" customHeight="1">
      <c r="A1017" s="535"/>
    </row>
    <row r="1018" spans="1:1" s="496" customFormat="1" ht="21.75" customHeight="1">
      <c r="A1018" s="535"/>
    </row>
    <row r="1019" spans="1:1" s="496" customFormat="1" ht="21.75" customHeight="1">
      <c r="A1019" s="535"/>
    </row>
    <row r="1020" spans="1:1" s="496" customFormat="1" ht="21.75" customHeight="1">
      <c r="A1020" s="535"/>
    </row>
    <row r="1021" spans="1:1" s="504" customFormat="1" ht="21.75" customHeight="1">
      <c r="A1021" s="553"/>
    </row>
    <row r="1022" spans="1:1" s="497" customFormat="1" ht="21.75" customHeight="1">
      <c r="A1022" s="533"/>
    </row>
    <row r="1023" spans="1:1" s="501" customFormat="1" ht="21.75" customHeight="1">
      <c r="A1023" s="534"/>
    </row>
    <row r="1024" spans="1:1" s="448" customFormat="1" ht="21.75" customHeight="1">
      <c r="A1024" s="449"/>
    </row>
    <row r="1025" spans="1:1" s="497" customFormat="1" ht="21.75" customHeight="1">
      <c r="A1025" s="533"/>
    </row>
    <row r="1026" spans="1:1" s="495" customFormat="1" ht="21.75" customHeight="1">
      <c r="A1026" s="539"/>
    </row>
    <row r="1027" spans="1:1" s="496" customFormat="1" ht="21.75" customHeight="1">
      <c r="A1027" s="535"/>
    </row>
    <row r="1028" spans="1:1" s="501" customFormat="1" ht="21.75" customHeight="1">
      <c r="A1028" s="534"/>
    </row>
    <row r="1029" spans="1:1" s="501" customFormat="1" ht="21.75" customHeight="1">
      <c r="A1029" s="534"/>
    </row>
    <row r="1030" spans="1:1" s="476" customFormat="1" ht="21.75" customHeight="1">
      <c r="A1030" s="477"/>
    </row>
    <row r="1031" spans="1:1" s="496" customFormat="1" ht="21.75" customHeight="1">
      <c r="A1031" s="535"/>
    </row>
    <row r="1032" spans="1:1" s="496" customFormat="1" ht="21.75" customHeight="1">
      <c r="A1032" s="535"/>
    </row>
    <row r="1033" spans="1:1" s="496" customFormat="1" ht="21.75" customHeight="1">
      <c r="A1033" s="535"/>
    </row>
    <row r="1034" spans="1:1" s="497" customFormat="1" ht="21.75" customHeight="1">
      <c r="A1034" s="533"/>
    </row>
    <row r="1035" spans="1:1" s="504" customFormat="1" ht="21.75" customHeight="1">
      <c r="A1035" s="553"/>
    </row>
    <row r="1036" spans="1:1" s="496" customFormat="1" ht="21.75" customHeight="1">
      <c r="A1036" s="535"/>
    </row>
    <row r="1037" spans="1:1" s="527" customFormat="1" ht="21.75" customHeight="1">
      <c r="A1037" s="536"/>
    </row>
    <row r="1038" spans="1:1" s="495" customFormat="1" ht="21.75" customHeight="1">
      <c r="A1038" s="539"/>
    </row>
    <row r="1039" spans="1:1" s="496" customFormat="1" ht="21.75" customHeight="1">
      <c r="A1039" s="535"/>
    </row>
    <row r="1040" spans="1:1" s="497" customFormat="1" ht="21.75" customHeight="1">
      <c r="A1040" s="533"/>
    </row>
    <row r="1041" spans="1:78" s="495" customFormat="1" ht="21.75" customHeight="1">
      <c r="A1041" s="539"/>
    </row>
    <row r="1042" spans="1:78" s="496" customFormat="1" ht="21.75" customHeight="1">
      <c r="A1042" s="535"/>
    </row>
    <row r="1043" spans="1:78" s="496" customFormat="1" ht="21.75" customHeight="1">
      <c r="A1043" s="535"/>
    </row>
    <row r="1044" spans="1:78" s="495" customFormat="1" ht="21.75" customHeight="1">
      <c r="A1044" s="539"/>
    </row>
    <row r="1045" spans="1:78" s="497" customFormat="1" ht="21.75" customHeight="1">
      <c r="A1045" s="533"/>
    </row>
    <row r="1046" spans="1:78" s="495" customFormat="1" ht="21.75" customHeight="1">
      <c r="A1046" s="539"/>
    </row>
    <row r="1047" spans="1:78" s="496" customFormat="1" ht="21.75" customHeight="1">
      <c r="A1047" s="535"/>
    </row>
    <row r="1048" spans="1:78" ht="21.75" customHeight="1">
      <c r="A1048" s="194"/>
      <c r="B1048" s="6"/>
      <c r="C1048" s="6"/>
      <c r="D1048" s="6"/>
      <c r="E1048" s="6"/>
      <c r="F1048" s="6"/>
      <c r="G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O1048" s="6"/>
      <c r="AP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</row>
    <row r="1049" spans="1:78" s="495" customFormat="1" ht="21.75" customHeight="1">
      <c r="A1049" s="539"/>
    </row>
    <row r="1050" spans="1:78" s="496" customFormat="1" ht="21.75" customHeight="1">
      <c r="A1050" s="535"/>
    </row>
    <row r="1051" spans="1:78" s="497" customFormat="1" ht="21.75" customHeight="1">
      <c r="A1051" s="533"/>
    </row>
    <row r="1052" spans="1:78" s="495" customFormat="1" ht="21.75" customHeight="1">
      <c r="A1052" s="539"/>
    </row>
    <row r="1053" spans="1:78" ht="21.75" customHeight="1">
      <c r="A1053" s="194"/>
      <c r="B1053" s="6"/>
      <c r="C1053" s="6"/>
      <c r="D1053" s="6"/>
      <c r="E1053" s="6"/>
      <c r="F1053" s="6"/>
      <c r="G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O1053" s="6"/>
      <c r="AP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</row>
    <row r="1054" spans="1:78" s="495" customFormat="1" ht="21.75" customHeight="1">
      <c r="A1054" s="539"/>
    </row>
    <row r="1055" spans="1:78" s="448" customFormat="1" ht="21.75" customHeight="1">
      <c r="A1055" s="449"/>
    </row>
    <row r="1056" spans="1:78" ht="21.75" customHeight="1">
      <c r="A1056" s="194"/>
      <c r="B1056" s="6"/>
      <c r="C1056" s="6"/>
      <c r="D1056" s="6"/>
      <c r="E1056" s="6"/>
      <c r="F1056" s="6"/>
      <c r="G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O1056" s="6"/>
      <c r="AP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</row>
    <row r="1057" spans="1:1" s="496" customFormat="1" ht="21.75" customHeight="1">
      <c r="A1057" s="535"/>
    </row>
    <row r="1058" spans="1:1" s="496" customFormat="1" ht="21.75" customHeight="1">
      <c r="A1058" s="535"/>
    </row>
    <row r="1059" spans="1:1" s="495" customFormat="1" ht="21.75" customHeight="1">
      <c r="A1059" s="539"/>
    </row>
    <row r="1060" spans="1:1" s="504" customFormat="1" ht="21.75" customHeight="1">
      <c r="A1060" s="553"/>
    </row>
    <row r="1061" spans="1:1" s="496" customFormat="1" ht="21.75" customHeight="1">
      <c r="A1061" s="535"/>
    </row>
    <row r="1062" spans="1:1" s="496" customFormat="1" ht="21.75" customHeight="1">
      <c r="A1062" s="535"/>
    </row>
    <row r="1063" spans="1:1" s="497" customFormat="1" ht="21.75" customHeight="1">
      <c r="A1063" s="533"/>
    </row>
    <row r="1064" spans="1:1" s="495" customFormat="1" ht="21.75" customHeight="1">
      <c r="A1064" s="539"/>
    </row>
    <row r="1065" spans="1:1" s="506" customFormat="1" ht="21.75" customHeight="1">
      <c r="A1065" s="554"/>
    </row>
    <row r="1066" spans="1:1" s="495" customFormat="1" ht="21.75" customHeight="1">
      <c r="A1066" s="539"/>
    </row>
    <row r="1067" spans="1:1" s="495" customFormat="1" ht="21.75" customHeight="1">
      <c r="A1067" s="539"/>
    </row>
    <row r="1068" spans="1:1" s="496" customFormat="1" ht="21.75" customHeight="1">
      <c r="A1068" s="535"/>
    </row>
    <row r="1069" spans="1:1" s="497" customFormat="1" ht="21.75" customHeight="1">
      <c r="A1069" s="533"/>
    </row>
    <row r="1070" spans="1:1" s="495" customFormat="1" ht="21.75" customHeight="1">
      <c r="A1070" s="539"/>
    </row>
    <row r="1071" spans="1:1" s="496" customFormat="1" ht="21.75" customHeight="1">
      <c r="A1071" s="535"/>
    </row>
    <row r="1072" spans="1:1" s="496" customFormat="1" ht="21.75" customHeight="1">
      <c r="A1072" s="535"/>
    </row>
    <row r="1073" spans="1:78" s="495" customFormat="1" ht="21.75" customHeight="1">
      <c r="A1073" s="539"/>
    </row>
    <row r="1074" spans="1:78" s="505" customFormat="1" ht="21.75" customHeight="1">
      <c r="A1074" s="546"/>
    </row>
    <row r="1075" spans="1:78" s="505" customFormat="1" ht="21.75" customHeight="1">
      <c r="A1075" s="546"/>
    </row>
    <row r="1076" spans="1:78" s="497" customFormat="1" ht="21.75" customHeight="1">
      <c r="A1076" s="533"/>
    </row>
    <row r="1077" spans="1:78" s="476" customFormat="1" ht="21.75" customHeight="1">
      <c r="A1077" s="477"/>
    </row>
    <row r="1078" spans="1:78" s="496" customFormat="1" ht="21.75" customHeight="1">
      <c r="A1078" s="535"/>
    </row>
    <row r="1079" spans="1:78" s="496" customFormat="1" ht="21.75" customHeight="1">
      <c r="A1079" s="535"/>
    </row>
    <row r="1080" spans="1:78" s="496" customFormat="1" ht="21.75" customHeight="1">
      <c r="A1080" s="535"/>
    </row>
    <row r="1081" spans="1:78" s="497" customFormat="1" ht="21.75" customHeight="1">
      <c r="A1081" s="533"/>
    </row>
    <row r="1082" spans="1:78" s="448" customFormat="1" ht="21.75" customHeight="1">
      <c r="A1082" s="449"/>
    </row>
    <row r="1083" spans="1:78" ht="21.75" customHeight="1">
      <c r="A1083" s="194"/>
      <c r="B1083" s="6"/>
      <c r="C1083" s="6"/>
      <c r="D1083" s="6"/>
      <c r="E1083" s="6"/>
      <c r="F1083" s="6"/>
      <c r="G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O1083" s="6"/>
      <c r="AP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</row>
    <row r="1084" spans="1:78" s="497" customFormat="1" ht="21.75" customHeight="1">
      <c r="A1084" s="533"/>
    </row>
    <row r="1085" spans="1:78" s="495" customFormat="1" ht="21.75" customHeight="1">
      <c r="A1085" s="539"/>
    </row>
    <row r="1086" spans="1:78" s="496" customFormat="1" ht="21.75" customHeight="1">
      <c r="A1086" s="535"/>
    </row>
    <row r="1087" spans="1:78" s="495" customFormat="1" ht="21.75" customHeight="1">
      <c r="A1087" s="539"/>
    </row>
    <row r="1088" spans="1:78" s="496" customFormat="1" ht="21.75" customHeight="1">
      <c r="A1088" s="535"/>
    </row>
    <row r="1089" spans="1:1" s="497" customFormat="1" ht="21.75" customHeight="1">
      <c r="A1089" s="533"/>
    </row>
    <row r="1090" spans="1:1" s="547" customFormat="1" ht="21.75" customHeight="1">
      <c r="A1090" s="548"/>
    </row>
    <row r="1091" spans="1:1" s="495" customFormat="1" ht="21.75" customHeight="1">
      <c r="A1091" s="539"/>
    </row>
    <row r="1092" spans="1:1" s="496" customFormat="1" ht="21.75" customHeight="1">
      <c r="A1092" s="535"/>
    </row>
    <row r="1093" spans="1:1" s="496" customFormat="1" ht="21.75" customHeight="1">
      <c r="A1093" s="535"/>
    </row>
    <row r="1094" spans="1:1" s="497" customFormat="1" ht="21.75" customHeight="1">
      <c r="A1094" s="533"/>
    </row>
    <row r="1095" spans="1:1" s="495" customFormat="1" ht="21.75" customHeight="1">
      <c r="A1095" s="539"/>
    </row>
    <row r="1096" spans="1:1" s="497" customFormat="1" ht="21.75" customHeight="1">
      <c r="A1096" s="533"/>
    </row>
    <row r="1097" spans="1:1" s="495" customFormat="1" ht="21.75" customHeight="1">
      <c r="A1097" s="539"/>
    </row>
    <row r="1098" spans="1:1" s="496" customFormat="1" ht="21.75" customHeight="1">
      <c r="A1098" s="535"/>
    </row>
    <row r="1099" spans="1:1" s="496" customFormat="1" ht="21.75" customHeight="1">
      <c r="A1099" s="535"/>
    </row>
    <row r="1100" spans="1:1" s="496" customFormat="1" ht="21.75" customHeight="1">
      <c r="A1100" s="535"/>
    </row>
    <row r="1101" spans="1:1" s="497" customFormat="1" ht="21.75" customHeight="1">
      <c r="A1101" s="533"/>
    </row>
    <row r="1102" spans="1:1" s="495" customFormat="1" ht="21.75" customHeight="1">
      <c r="A1102" s="539"/>
    </row>
    <row r="1103" spans="1:1" s="501" customFormat="1" ht="21.75" customHeight="1">
      <c r="A1103" s="534"/>
    </row>
    <row r="1104" spans="1:1" s="501" customFormat="1" ht="21.75" customHeight="1">
      <c r="A1104" s="534"/>
    </row>
    <row r="1105" spans="1:78" s="495" customFormat="1" ht="21.75" customHeight="1">
      <c r="A1105" s="539"/>
    </row>
    <row r="1106" spans="1:78" ht="21.75" customHeight="1">
      <c r="A1106" s="194"/>
      <c r="B1106" s="6"/>
      <c r="C1106" s="6"/>
      <c r="D1106" s="6"/>
      <c r="E1106" s="6"/>
      <c r="F1106" s="6"/>
      <c r="G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O1106" s="6"/>
      <c r="AP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</row>
    <row r="1107" spans="1:78" ht="21.75" customHeight="1">
      <c r="A1107" s="194"/>
      <c r="B1107" s="6"/>
      <c r="C1107" s="6"/>
      <c r="D1107" s="6"/>
      <c r="E1107" s="6"/>
      <c r="F1107" s="6"/>
      <c r="G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O1107" s="6"/>
      <c r="AP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</row>
    <row r="1108" spans="1:78" s="524" customFormat="1" ht="21.75" customHeight="1">
      <c r="A1108" s="558"/>
    </row>
    <row r="1109" spans="1:78" s="495" customFormat="1" ht="21.75" customHeight="1">
      <c r="A1109" s="539"/>
    </row>
    <row r="1110" spans="1:78" s="496" customFormat="1" ht="21.75" customHeight="1">
      <c r="A1110" s="535"/>
    </row>
    <row r="1111" spans="1:78" s="497" customFormat="1" ht="21.75" customHeight="1">
      <c r="A1111" s="533"/>
    </row>
    <row r="1112" spans="1:78" s="495" customFormat="1" ht="21.75" customHeight="1">
      <c r="A1112" s="539"/>
    </row>
    <row r="1113" spans="1:78" s="496" customFormat="1" ht="21.75" customHeight="1">
      <c r="A1113" s="535"/>
    </row>
    <row r="1114" spans="1:78" s="468" customFormat="1" ht="21.75" customHeight="1">
      <c r="A1114" s="469"/>
    </row>
    <row r="1115" spans="1:78" s="504" customFormat="1" ht="21.75" customHeight="1">
      <c r="A1115" s="553"/>
    </row>
    <row r="1116" spans="1:78" s="497" customFormat="1" ht="21.75" customHeight="1">
      <c r="A1116" s="533"/>
    </row>
    <row r="1117" spans="1:78" s="495" customFormat="1" ht="21.75" customHeight="1">
      <c r="A1117" s="539"/>
    </row>
    <row r="1118" spans="1:78" s="450" customFormat="1" ht="21.75" customHeight="1">
      <c r="A1118" s="451"/>
    </row>
    <row r="1119" spans="1:78" s="448" customFormat="1" ht="21.75" customHeight="1">
      <c r="A1119" s="449"/>
    </row>
    <row r="1120" spans="1:78" s="496" customFormat="1" ht="21.75" customHeight="1">
      <c r="A1120" s="535"/>
    </row>
    <row r="1121" spans="1:78" ht="21.75" customHeight="1">
      <c r="A1121" s="194"/>
      <c r="B1121" s="6"/>
      <c r="C1121" s="6"/>
      <c r="D1121" s="6"/>
      <c r="E1121" s="6"/>
      <c r="F1121" s="6"/>
      <c r="G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O1121" s="6"/>
      <c r="AP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</row>
    <row r="1122" spans="1:78" s="497" customFormat="1" ht="21.75" customHeight="1">
      <c r="A1122" s="533"/>
    </row>
    <row r="1123" spans="1:78" s="448" customFormat="1" ht="21.75" customHeight="1">
      <c r="A1123" s="449"/>
    </row>
    <row r="1124" spans="1:78" s="496" customFormat="1" ht="21.75" customHeight="1">
      <c r="A1124" s="535"/>
    </row>
    <row r="1125" spans="1:78" s="497" customFormat="1" ht="21.75" customHeight="1">
      <c r="A1125" s="533"/>
    </row>
    <row r="1126" spans="1:78" s="495" customFormat="1" ht="21.75" customHeight="1">
      <c r="A1126" s="539"/>
    </row>
    <row r="1127" spans="1:78" s="495" customFormat="1" ht="21.75" customHeight="1">
      <c r="A1127" s="539"/>
    </row>
    <row r="1128" spans="1:78" ht="21.75" customHeight="1">
      <c r="A1128" s="194"/>
      <c r="B1128" s="6"/>
      <c r="C1128" s="6"/>
      <c r="D1128" s="6"/>
      <c r="E1128" s="6"/>
      <c r="F1128" s="6"/>
      <c r="G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O1128" s="6"/>
      <c r="AP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</row>
    <row r="1129" spans="1:78" s="450" customFormat="1" ht="21.75" customHeight="1">
      <c r="A1129" s="451"/>
    </row>
    <row r="1130" spans="1:78" s="501" customFormat="1" ht="21.75" customHeight="1">
      <c r="A1130" s="534"/>
    </row>
    <row r="1131" spans="1:78" s="501" customFormat="1" ht="21.75" customHeight="1">
      <c r="A1131" s="534"/>
    </row>
    <row r="1132" spans="1:78" s="498" customFormat="1" ht="21.75" customHeight="1">
      <c r="A1132" s="545"/>
    </row>
    <row r="1133" spans="1:78" s="495" customFormat="1" ht="21.75" customHeight="1">
      <c r="A1133" s="539"/>
    </row>
    <row r="1134" spans="1:78" s="496" customFormat="1" ht="21.75" customHeight="1">
      <c r="A1134" s="535"/>
    </row>
    <row r="1135" spans="1:78" s="496" customFormat="1" ht="21.75" customHeight="1">
      <c r="A1135" s="535"/>
    </row>
    <row r="1136" spans="1:78" s="497" customFormat="1" ht="21.75" customHeight="1">
      <c r="A1136" s="533"/>
    </row>
    <row r="1137" spans="1:1" s="495" customFormat="1" ht="21.75" customHeight="1">
      <c r="A1137" s="539"/>
    </row>
    <row r="1138" spans="1:1" s="495" customFormat="1" ht="21.75" customHeight="1">
      <c r="A1138" s="539"/>
    </row>
    <row r="1139" spans="1:1" s="496" customFormat="1" ht="21.75" customHeight="1">
      <c r="A1139" s="535"/>
    </row>
    <row r="1140" spans="1:1" s="496" customFormat="1" ht="21.75" customHeight="1">
      <c r="A1140" s="535"/>
    </row>
    <row r="1141" spans="1:1" s="448" customFormat="1" ht="21.75" customHeight="1">
      <c r="A1141" s="449"/>
    </row>
    <row r="1142" spans="1:1" s="497" customFormat="1" ht="21.75" customHeight="1">
      <c r="A1142" s="533"/>
    </row>
    <row r="1143" spans="1:1" s="504" customFormat="1" ht="21.75" customHeight="1">
      <c r="A1143" s="553"/>
    </row>
    <row r="1144" spans="1:1" s="497" customFormat="1" ht="21.75" customHeight="1">
      <c r="A1144" s="533"/>
    </row>
    <row r="1145" spans="1:1" s="495" customFormat="1" ht="21.75" customHeight="1">
      <c r="A1145" s="539"/>
    </row>
    <row r="1146" spans="1:1" s="503" customFormat="1" ht="21.75" customHeight="1">
      <c r="A1146" s="537"/>
    </row>
    <row r="1147" spans="1:1" s="495" customFormat="1" ht="21.75" customHeight="1">
      <c r="A1147" s="539"/>
    </row>
    <row r="1148" spans="1:1" s="448" customFormat="1" ht="21.75" customHeight="1">
      <c r="A1148" s="449"/>
    </row>
    <row r="1149" spans="1:1" s="505" customFormat="1" ht="21.75" customHeight="1">
      <c r="A1149" s="546"/>
    </row>
    <row r="1150" spans="1:1" s="496" customFormat="1" ht="21.75" customHeight="1">
      <c r="A1150" s="535"/>
    </row>
    <row r="1151" spans="1:1" s="497" customFormat="1" ht="21.75" customHeight="1">
      <c r="A1151" s="533"/>
    </row>
    <row r="1152" spans="1:1" s="495" customFormat="1" ht="21.75" customHeight="1">
      <c r="A1152" s="539"/>
    </row>
    <row r="1153" spans="1:78" s="496" customFormat="1" ht="21.75" customHeight="1">
      <c r="A1153" s="535"/>
    </row>
    <row r="1154" spans="1:78" s="496" customFormat="1" ht="21.75" customHeight="1">
      <c r="A1154" s="535"/>
    </row>
    <row r="1155" spans="1:78" s="450" customFormat="1" ht="21.75" customHeight="1">
      <c r="A1155" s="451"/>
    </row>
    <row r="1156" spans="1:78" s="495" customFormat="1" ht="21.75" customHeight="1">
      <c r="A1156" s="539"/>
    </row>
    <row r="1157" spans="1:78" s="495" customFormat="1" ht="21.75" customHeight="1">
      <c r="A1157" s="539"/>
    </row>
    <row r="1158" spans="1:78" s="497" customFormat="1" ht="21.75" customHeight="1">
      <c r="A1158" s="533"/>
    </row>
    <row r="1159" spans="1:78" s="504" customFormat="1" ht="21.75" customHeight="1">
      <c r="A1159" s="553"/>
    </row>
    <row r="1160" spans="1:78" s="496" customFormat="1" ht="21.75" customHeight="1">
      <c r="A1160" s="535"/>
    </row>
    <row r="1161" spans="1:78" s="496" customFormat="1" ht="21.75" customHeight="1">
      <c r="A1161" s="535"/>
    </row>
    <row r="1162" spans="1:78" s="496" customFormat="1" ht="21.75" customHeight="1">
      <c r="A1162" s="535"/>
    </row>
    <row r="1163" spans="1:78" s="497" customFormat="1" ht="21.75" customHeight="1">
      <c r="A1163" s="533"/>
    </row>
    <row r="1164" spans="1:78" s="495" customFormat="1" ht="21.75" customHeight="1">
      <c r="A1164" s="539"/>
    </row>
    <row r="1165" spans="1:78" s="505" customFormat="1" ht="21.75" customHeight="1">
      <c r="A1165" s="546"/>
    </row>
    <row r="1166" spans="1:78" s="496" customFormat="1" ht="21.75" customHeight="1">
      <c r="A1166" s="535"/>
    </row>
    <row r="1167" spans="1:78" ht="21.75" customHeight="1">
      <c r="A1167" s="194"/>
      <c r="B1167" s="6"/>
      <c r="C1167" s="6"/>
      <c r="D1167" s="6"/>
      <c r="E1167" s="6"/>
      <c r="F1167" s="6"/>
      <c r="G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O1167" s="6"/>
      <c r="AP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</row>
    <row r="1168" spans="1:78" s="454" customFormat="1" ht="21.75" customHeight="1">
      <c r="A1168" s="455"/>
    </row>
    <row r="1169" spans="1:78" s="497" customFormat="1" ht="21.75" customHeight="1">
      <c r="A1169" s="533"/>
    </row>
    <row r="1170" spans="1:78" s="476" customFormat="1" ht="21.75" customHeight="1">
      <c r="A1170" s="477"/>
    </row>
    <row r="1171" spans="1:78" s="495" customFormat="1" ht="21.75" customHeight="1">
      <c r="A1171" s="539"/>
    </row>
    <row r="1172" spans="1:78" s="497" customFormat="1" ht="21.75" customHeight="1">
      <c r="A1172" s="533"/>
    </row>
    <row r="1173" spans="1:78" s="495" customFormat="1" ht="21.75" customHeight="1">
      <c r="A1173" s="539"/>
    </row>
    <row r="1174" spans="1:78" s="472" customFormat="1" ht="21.75" customHeight="1">
      <c r="A1174" s="473"/>
    </row>
    <row r="1175" spans="1:78" s="496" customFormat="1" ht="21.75" customHeight="1">
      <c r="A1175" s="535"/>
    </row>
    <row r="1176" spans="1:78" s="495" customFormat="1" ht="21.75" customHeight="1">
      <c r="A1176" s="539"/>
    </row>
    <row r="1177" spans="1:78" s="496" customFormat="1" ht="21.75" customHeight="1">
      <c r="A1177" s="535"/>
    </row>
    <row r="1178" spans="1:78" s="496" customFormat="1" ht="21.75" customHeight="1">
      <c r="A1178" s="535"/>
    </row>
    <row r="1179" spans="1:78" ht="21.75" customHeight="1">
      <c r="A1179" s="194"/>
      <c r="B1179" s="6"/>
      <c r="C1179" s="6"/>
      <c r="D1179" s="6"/>
      <c r="E1179" s="6"/>
      <c r="F1179" s="6"/>
      <c r="G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O1179" s="6"/>
      <c r="AP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</row>
    <row r="1180" spans="1:78" s="495" customFormat="1" ht="21.75" customHeight="1">
      <c r="A1180" s="539"/>
    </row>
    <row r="1181" spans="1:78" s="496" customFormat="1" ht="21.75" customHeight="1">
      <c r="A1181" s="535"/>
    </row>
    <row r="1182" spans="1:78" s="496" customFormat="1" ht="21.75" customHeight="1">
      <c r="A1182" s="535"/>
    </row>
    <row r="1183" spans="1:78" s="496" customFormat="1" ht="21.75" customHeight="1">
      <c r="A1183" s="535"/>
    </row>
    <row r="1184" spans="1:78" s="496" customFormat="1" ht="21.75" customHeight="1">
      <c r="A1184" s="535"/>
    </row>
    <row r="1185" spans="1:78" s="450" customFormat="1" ht="21.75" customHeight="1">
      <c r="A1185" s="451"/>
    </row>
    <row r="1186" spans="1:78" s="504" customFormat="1" ht="21.75" customHeight="1">
      <c r="A1186" s="553"/>
    </row>
    <row r="1187" spans="1:78" s="496" customFormat="1" ht="21.75" customHeight="1">
      <c r="A1187" s="535"/>
    </row>
    <row r="1188" spans="1:78" ht="21.75" customHeight="1">
      <c r="A1188" s="194"/>
      <c r="B1188" s="6"/>
      <c r="C1188" s="6"/>
      <c r="D1188" s="6"/>
      <c r="E1188" s="6"/>
      <c r="F1188" s="6"/>
      <c r="G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O1188" s="6"/>
      <c r="AP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</row>
    <row r="1189" spans="1:78" s="496" customFormat="1" ht="21.75" customHeight="1">
      <c r="A1189" s="535"/>
    </row>
    <row r="1190" spans="1:78" s="503" customFormat="1" ht="21.75" customHeight="1">
      <c r="A1190" s="537"/>
    </row>
    <row r="1191" spans="1:78" s="495" customFormat="1" ht="21.75" customHeight="1">
      <c r="A1191" s="539"/>
    </row>
    <row r="1192" spans="1:78" s="448" customFormat="1" ht="21.75" customHeight="1">
      <c r="A1192" s="449"/>
    </row>
    <row r="1193" spans="1:78" s="496" customFormat="1" ht="21.75" customHeight="1">
      <c r="A1193" s="535"/>
    </row>
    <row r="1194" spans="1:78" s="505" customFormat="1" ht="21.75" customHeight="1">
      <c r="A1194" s="546"/>
    </row>
    <row r="1195" spans="1:78" s="496" customFormat="1" ht="21.75" customHeight="1">
      <c r="A1195" s="535"/>
    </row>
    <row r="1196" spans="1:78" ht="21.75" customHeight="1">
      <c r="A1196" s="194"/>
      <c r="B1196" s="6"/>
      <c r="C1196" s="6"/>
      <c r="D1196" s="6"/>
      <c r="E1196" s="6"/>
      <c r="F1196" s="6"/>
      <c r="G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O1196" s="6"/>
      <c r="AP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</row>
    <row r="1197" spans="1:78" s="496" customFormat="1" ht="21.75" customHeight="1">
      <c r="A1197" s="535"/>
    </row>
    <row r="1198" spans="1:78" s="496" customFormat="1" ht="21.75" customHeight="1">
      <c r="A1198" s="535"/>
    </row>
    <row r="1199" spans="1:78" s="501" customFormat="1" ht="21.75" customHeight="1">
      <c r="A1199" s="534"/>
    </row>
    <row r="1200" spans="1:78" s="501" customFormat="1" ht="21.75" customHeight="1">
      <c r="A1200" s="534"/>
    </row>
    <row r="1201" spans="1:1" s="495" customFormat="1" ht="21.75" customHeight="1">
      <c r="A1201" s="539"/>
    </row>
    <row r="1202" spans="1:1" s="496" customFormat="1" ht="21.75" customHeight="1">
      <c r="A1202" s="535"/>
    </row>
    <row r="1203" spans="1:1" s="496" customFormat="1" ht="21.75" customHeight="1">
      <c r="A1203" s="535"/>
    </row>
    <row r="1204" spans="1:1" s="495" customFormat="1" ht="21.75" customHeight="1">
      <c r="A1204" s="539"/>
    </row>
    <row r="1205" spans="1:1" s="496" customFormat="1" ht="21.75" customHeight="1">
      <c r="A1205" s="535"/>
    </row>
    <row r="1206" spans="1:1" s="496" customFormat="1" ht="21.75" customHeight="1">
      <c r="A1206" s="535"/>
    </row>
    <row r="1207" spans="1:1" s="497" customFormat="1" ht="21.75" customHeight="1">
      <c r="A1207" s="533"/>
    </row>
    <row r="1208" spans="1:1" s="495" customFormat="1" ht="21.75" customHeight="1">
      <c r="A1208" s="539"/>
    </row>
    <row r="1209" spans="1:1" s="496" customFormat="1" ht="21.75" customHeight="1">
      <c r="A1209" s="535"/>
    </row>
    <row r="1210" spans="1:1" s="496" customFormat="1" ht="21.75" customHeight="1">
      <c r="A1210" s="535"/>
    </row>
    <row r="1211" spans="1:1" s="497" customFormat="1" ht="21.75" customHeight="1">
      <c r="A1211" s="533"/>
    </row>
    <row r="1212" spans="1:1" s="501" customFormat="1" ht="21.75" customHeight="1">
      <c r="A1212" s="534"/>
    </row>
    <row r="1213" spans="1:1" s="495" customFormat="1" ht="21.75" customHeight="1">
      <c r="A1213" s="539"/>
    </row>
    <row r="1214" spans="1:1" s="497" customFormat="1" ht="21.75" customHeight="1">
      <c r="A1214" s="533"/>
    </row>
    <row r="1215" spans="1:1" s="448" customFormat="1" ht="21.75" customHeight="1">
      <c r="A1215" s="449"/>
    </row>
    <row r="1216" spans="1:1" s="497" customFormat="1" ht="21.75" customHeight="1">
      <c r="A1216" s="533"/>
    </row>
    <row r="1217" spans="1:78" s="448" customFormat="1" ht="21.75" customHeight="1">
      <c r="A1217" s="449"/>
    </row>
    <row r="1218" spans="1:78" ht="21.75" customHeight="1">
      <c r="A1218" s="194"/>
      <c r="B1218" s="6"/>
      <c r="C1218" s="6"/>
      <c r="D1218" s="6"/>
      <c r="E1218" s="6"/>
      <c r="F1218" s="6"/>
      <c r="G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O1218" s="6"/>
      <c r="AP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</row>
    <row r="1219" spans="1:78" s="497" customFormat="1" ht="21.75" customHeight="1">
      <c r="A1219" s="560"/>
      <c r="B1219" s="551"/>
      <c r="C1219" s="551"/>
      <c r="D1219" s="551"/>
      <c r="E1219" s="551"/>
      <c r="F1219" s="551"/>
      <c r="G1219" s="551"/>
      <c r="H1219" s="551"/>
      <c r="I1219" s="551"/>
      <c r="J1219" s="551"/>
      <c r="K1219" s="551"/>
      <c r="L1219" s="551"/>
      <c r="M1219" s="551"/>
      <c r="N1219" s="551"/>
      <c r="O1219" s="551"/>
      <c r="P1219" s="551"/>
      <c r="Q1219" s="551"/>
      <c r="R1219" s="551"/>
      <c r="S1219" s="551"/>
      <c r="T1219" s="551"/>
      <c r="U1219" s="551"/>
      <c r="V1219" s="551"/>
      <c r="W1219" s="551"/>
      <c r="X1219" s="551"/>
      <c r="Y1219" s="551"/>
      <c r="Z1219" s="551"/>
      <c r="AA1219" s="551"/>
      <c r="AB1219" s="551"/>
      <c r="AC1219" s="551"/>
      <c r="AD1219" s="551"/>
      <c r="AE1219" s="551"/>
      <c r="AF1219" s="551"/>
      <c r="AG1219" s="551"/>
      <c r="AH1219" s="551"/>
      <c r="AI1219" s="551"/>
      <c r="AJ1219" s="551"/>
      <c r="AK1219" s="551"/>
      <c r="AL1219" s="551"/>
      <c r="AM1219" s="551"/>
      <c r="AN1219" s="551"/>
      <c r="AO1219" s="551"/>
      <c r="AP1219" s="551"/>
      <c r="AQ1219" s="551"/>
      <c r="AR1219" s="551"/>
      <c r="AS1219" s="551"/>
      <c r="AT1219" s="551"/>
      <c r="AU1219" s="551"/>
      <c r="AV1219" s="551"/>
      <c r="AW1219" s="551"/>
    </row>
    <row r="1220" spans="1:78" s="541" customFormat="1" ht="21.75" customHeight="1">
      <c r="A1220" s="562"/>
      <c r="B1220" s="563"/>
      <c r="C1220" s="563"/>
      <c r="D1220" s="563"/>
      <c r="E1220" s="563"/>
      <c r="F1220" s="563"/>
      <c r="G1220" s="563"/>
      <c r="H1220" s="563"/>
      <c r="I1220" s="563"/>
      <c r="J1220" s="563"/>
      <c r="K1220" s="563"/>
      <c r="L1220" s="563"/>
      <c r="M1220" s="563"/>
      <c r="N1220" s="563"/>
      <c r="O1220" s="563"/>
      <c r="P1220" s="563"/>
      <c r="Q1220" s="563"/>
      <c r="R1220" s="563"/>
      <c r="S1220" s="563"/>
      <c r="T1220" s="563"/>
      <c r="U1220" s="563"/>
      <c r="V1220" s="563"/>
      <c r="W1220" s="563"/>
      <c r="X1220" s="563"/>
      <c r="Y1220" s="563"/>
      <c r="Z1220" s="563"/>
      <c r="AA1220" s="563"/>
      <c r="AB1220" s="563"/>
      <c r="AC1220" s="563"/>
      <c r="AD1220" s="563"/>
      <c r="AE1220" s="563"/>
      <c r="AF1220" s="563"/>
      <c r="AG1220" s="563"/>
      <c r="AH1220" s="563"/>
      <c r="AI1220" s="563"/>
      <c r="AJ1220" s="563"/>
      <c r="AK1220" s="563"/>
      <c r="AL1220" s="563"/>
      <c r="AM1220" s="563"/>
      <c r="AN1220" s="563"/>
      <c r="AO1220" s="563"/>
      <c r="AP1220" s="563"/>
      <c r="AQ1220" s="563"/>
      <c r="AR1220" s="563"/>
      <c r="AS1220" s="563"/>
      <c r="AT1220" s="563"/>
      <c r="AU1220" s="563"/>
      <c r="AV1220" s="563"/>
      <c r="AW1220" s="564"/>
    </row>
    <row r="1221" spans="1:78" s="504" customFormat="1" ht="21.75" customHeight="1">
      <c r="A1221" s="553"/>
    </row>
    <row r="1222" spans="1:78" s="496" customFormat="1" ht="21.75" customHeight="1">
      <c r="A1222" s="535"/>
    </row>
    <row r="1223" spans="1:78" ht="21.75" customHeight="1">
      <c r="A1223" s="194"/>
      <c r="B1223" s="6"/>
      <c r="C1223" s="6"/>
      <c r="D1223" s="6"/>
      <c r="E1223" s="6"/>
      <c r="F1223" s="6"/>
      <c r="G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O1223" s="6"/>
      <c r="AP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</row>
    <row r="1224" spans="1:78" s="496" customFormat="1" ht="21.75" customHeight="1">
      <c r="A1224" s="535"/>
    </row>
    <row r="1225" spans="1:78" s="496" customFormat="1" ht="21.75" customHeight="1">
      <c r="A1225" s="535"/>
    </row>
    <row r="1226" spans="1:78" s="497" customFormat="1" ht="21.75" customHeight="1">
      <c r="A1226" s="533"/>
    </row>
    <row r="1227" spans="1:78" s="495" customFormat="1" ht="21.75" customHeight="1">
      <c r="A1227" s="539"/>
    </row>
    <row r="1228" spans="1:78" s="496" customFormat="1" ht="21.75" customHeight="1">
      <c r="A1228" s="535"/>
    </row>
    <row r="1229" spans="1:78" s="500" customFormat="1" ht="21.75" customHeight="1">
      <c r="A1229" s="552"/>
    </row>
    <row r="1230" spans="1:78" s="496" customFormat="1" ht="21.75" customHeight="1">
      <c r="A1230" s="535"/>
    </row>
    <row r="1231" spans="1:78" s="503" customFormat="1" ht="21.75" customHeight="1">
      <c r="A1231" s="537"/>
    </row>
    <row r="1232" spans="1:78" s="500" customFormat="1" ht="21.75" customHeight="1">
      <c r="A1232" s="552"/>
    </row>
    <row r="1233" spans="1:78" s="499" customFormat="1" ht="21.75" customHeight="1">
      <c r="A1233" s="543"/>
    </row>
    <row r="1234" spans="1:78" s="495" customFormat="1" ht="21.75" customHeight="1">
      <c r="A1234" s="539"/>
    </row>
    <row r="1235" spans="1:78" s="505" customFormat="1" ht="21.75" customHeight="1">
      <c r="A1235" s="546"/>
    </row>
    <row r="1236" spans="1:78" s="495" customFormat="1" ht="21.75" customHeight="1">
      <c r="A1236" s="539"/>
    </row>
    <row r="1237" spans="1:78" s="495" customFormat="1" ht="21.75" customHeight="1">
      <c r="A1237" s="539"/>
    </row>
    <row r="1238" spans="1:78" s="496" customFormat="1" ht="21.75" customHeight="1">
      <c r="A1238" s="535"/>
    </row>
    <row r="1239" spans="1:78" s="496" customFormat="1" ht="21.75" customHeight="1">
      <c r="A1239" s="535"/>
    </row>
    <row r="1240" spans="1:78" s="448" customFormat="1" ht="21.75" customHeight="1">
      <c r="A1240" s="449"/>
    </row>
    <row r="1241" spans="1:78" s="496" customFormat="1" ht="21.75" customHeight="1">
      <c r="A1241" s="535"/>
    </row>
    <row r="1242" spans="1:78" s="496" customFormat="1" ht="21.75" customHeight="1">
      <c r="A1242" s="535"/>
    </row>
    <row r="1243" spans="1:78" s="496" customFormat="1" ht="21.75" customHeight="1">
      <c r="A1243" s="535"/>
    </row>
    <row r="1244" spans="1:78" s="496" customFormat="1" ht="21.75" customHeight="1">
      <c r="A1244" s="535"/>
    </row>
    <row r="1245" spans="1:78" s="496" customFormat="1" ht="21.75" customHeight="1">
      <c r="A1245" s="535"/>
    </row>
    <row r="1246" spans="1:78" ht="21.75" customHeight="1">
      <c r="A1246" s="194"/>
      <c r="B1246" s="6"/>
      <c r="C1246" s="6"/>
      <c r="D1246" s="6"/>
      <c r="E1246" s="6"/>
      <c r="F1246" s="6"/>
      <c r="G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O1246" s="6"/>
      <c r="AP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</row>
    <row r="1247" spans="1:78" s="496" customFormat="1" ht="21.75" customHeight="1">
      <c r="A1247" s="535"/>
    </row>
    <row r="1248" spans="1:78" s="497" customFormat="1" ht="21.75" customHeight="1">
      <c r="A1248" s="533"/>
    </row>
    <row r="1249" spans="1:1" s="495" customFormat="1" ht="21.75" customHeight="1">
      <c r="A1249" s="539"/>
    </row>
    <row r="1250" spans="1:1" s="496" customFormat="1" ht="21.75" customHeight="1">
      <c r="A1250" s="535"/>
    </row>
    <row r="1251" spans="1:1" s="496" customFormat="1" ht="21.75" customHeight="1">
      <c r="A1251" s="535"/>
    </row>
    <row r="1252" spans="1:1" s="495" customFormat="1" ht="21.75" customHeight="1">
      <c r="A1252" s="539"/>
    </row>
    <row r="1253" spans="1:1" s="496" customFormat="1" ht="21.75" customHeight="1">
      <c r="A1253" s="535"/>
    </row>
    <row r="1254" spans="1:1" s="496" customFormat="1" ht="21.75" customHeight="1">
      <c r="A1254" s="535"/>
    </row>
    <row r="1255" spans="1:1" s="497" customFormat="1" ht="21.75" customHeight="1">
      <c r="A1255" s="533"/>
    </row>
    <row r="1256" spans="1:1" s="495" customFormat="1" ht="21.75" customHeight="1">
      <c r="A1256" s="539"/>
    </row>
    <row r="1257" spans="1:1" s="496" customFormat="1" ht="21.75" customHeight="1">
      <c r="A1257" s="535"/>
    </row>
    <row r="1258" spans="1:1" s="496" customFormat="1" ht="21.75" customHeight="1">
      <c r="A1258" s="535"/>
    </row>
    <row r="1259" spans="1:1" s="496" customFormat="1" ht="21.75" customHeight="1">
      <c r="A1259" s="535"/>
    </row>
    <row r="1260" spans="1:1" s="496" customFormat="1" ht="21.75" customHeight="1">
      <c r="A1260" s="535"/>
    </row>
    <row r="1261" spans="1:1" s="496" customFormat="1" ht="21.75" customHeight="1">
      <c r="A1261" s="535"/>
    </row>
    <row r="1262" spans="1:1" s="472" customFormat="1" ht="21.75" customHeight="1">
      <c r="A1262" s="473"/>
    </row>
    <row r="1263" spans="1:1" s="551" customFormat="1" ht="21.75" customHeight="1">
      <c r="A1263" s="560"/>
    </row>
    <row r="1264" spans="1:1" s="547" customFormat="1" ht="21.75" customHeight="1">
      <c r="A1264" s="548"/>
    </row>
    <row r="1265" spans="1:186" s="495" customFormat="1" ht="21.75" customHeight="1">
      <c r="A1265" s="539"/>
    </row>
    <row r="1266" spans="1:186" s="497" customFormat="1" ht="21.75" customHeight="1">
      <c r="A1266" s="533"/>
    </row>
    <row r="1267" spans="1:186" s="495" customFormat="1" ht="21.75" customHeight="1">
      <c r="A1267" s="539"/>
    </row>
    <row r="1268" spans="1:186" s="505" customFormat="1" ht="21.75" customHeight="1">
      <c r="A1268" s="546"/>
    </row>
    <row r="1269" spans="1:186" s="496" customFormat="1" ht="21.75" customHeight="1">
      <c r="A1269" s="535"/>
    </row>
    <row r="1270" spans="1:186" s="496" customFormat="1" ht="21.75" customHeight="1">
      <c r="A1270" s="535"/>
    </row>
    <row r="1271" spans="1:186" s="505" customFormat="1" ht="21.75" customHeight="1">
      <c r="A1271" s="546"/>
    </row>
    <row r="1272" spans="1:186" s="497" customFormat="1" ht="21.75" customHeight="1">
      <c r="A1272" s="533"/>
    </row>
    <row r="1273" spans="1:186" s="504" customFormat="1" ht="21.75" customHeight="1">
      <c r="A1273" s="553"/>
    </row>
    <row r="1274" spans="1:186" s="505" customFormat="1" ht="21.75" customHeight="1">
      <c r="A1274" s="546"/>
    </row>
    <row r="1275" spans="1:186" s="497" customFormat="1" ht="21.75" customHeight="1">
      <c r="A1275" s="451"/>
      <c r="B1275" s="450"/>
      <c r="C1275" s="450"/>
      <c r="D1275" s="450"/>
      <c r="E1275" s="450"/>
      <c r="F1275" s="450"/>
      <c r="G1275" s="450"/>
      <c r="H1275" s="450"/>
      <c r="I1275" s="450"/>
      <c r="J1275" s="450"/>
      <c r="K1275" s="450"/>
      <c r="L1275" s="450"/>
      <c r="M1275" s="450"/>
      <c r="N1275" s="450"/>
      <c r="O1275" s="450"/>
      <c r="P1275" s="450"/>
      <c r="Q1275" s="450"/>
      <c r="R1275" s="450"/>
      <c r="S1275" s="450"/>
      <c r="T1275" s="450"/>
      <c r="U1275" s="450"/>
      <c r="V1275" s="450"/>
      <c r="W1275" s="450"/>
      <c r="X1275" s="450"/>
      <c r="Y1275" s="450"/>
      <c r="Z1275" s="450"/>
      <c r="AA1275" s="450"/>
      <c r="AB1275" s="450"/>
      <c r="AC1275" s="450"/>
      <c r="AD1275" s="450"/>
      <c r="AE1275" s="450"/>
      <c r="AF1275" s="450"/>
      <c r="AG1275" s="450"/>
      <c r="AH1275" s="450"/>
      <c r="AI1275" s="450"/>
      <c r="AJ1275" s="450"/>
      <c r="AK1275" s="450"/>
      <c r="AL1275" s="450"/>
      <c r="AM1275" s="450"/>
      <c r="AN1275" s="450"/>
      <c r="AO1275" s="450"/>
      <c r="AP1275" s="450"/>
      <c r="AQ1275" s="450"/>
      <c r="AR1275" s="450"/>
      <c r="AS1275" s="450"/>
      <c r="AT1275" s="450"/>
      <c r="AU1275" s="450"/>
      <c r="AV1275" s="450"/>
      <c r="AW1275" s="450"/>
      <c r="AX1275" s="450"/>
      <c r="AY1275" s="450"/>
      <c r="AZ1275" s="450"/>
      <c r="BA1275" s="450"/>
      <c r="BB1275" s="450"/>
      <c r="BC1275" s="450"/>
      <c r="BD1275" s="450"/>
      <c r="BE1275" s="450"/>
      <c r="BF1275" s="450"/>
      <c r="BG1275" s="450"/>
      <c r="BH1275" s="450"/>
      <c r="BI1275" s="450"/>
      <c r="BJ1275" s="450"/>
      <c r="BK1275" s="450"/>
      <c r="BL1275" s="450"/>
      <c r="BM1275" s="450"/>
      <c r="BN1275" s="450"/>
      <c r="BO1275" s="450"/>
      <c r="BP1275" s="450"/>
      <c r="BQ1275" s="450"/>
      <c r="BR1275" s="450"/>
      <c r="BS1275" s="450"/>
      <c r="BT1275" s="450"/>
      <c r="BU1275" s="450"/>
      <c r="BV1275" s="450"/>
      <c r="BW1275" s="450"/>
      <c r="BX1275" s="450"/>
      <c r="BY1275" s="450"/>
      <c r="BZ1275" s="450"/>
      <c r="CA1275" s="450"/>
      <c r="CB1275" s="450"/>
      <c r="CC1275" s="450"/>
      <c r="CD1275" s="450"/>
      <c r="CE1275" s="450"/>
      <c r="CF1275" s="450"/>
      <c r="CG1275" s="450"/>
      <c r="CH1275" s="450"/>
      <c r="CI1275" s="450"/>
      <c r="CJ1275" s="450"/>
      <c r="CK1275" s="450"/>
      <c r="CL1275" s="450"/>
      <c r="CM1275" s="450"/>
      <c r="CN1275" s="450"/>
      <c r="CO1275" s="450"/>
      <c r="CP1275" s="450"/>
      <c r="CQ1275" s="450"/>
      <c r="CR1275" s="450"/>
      <c r="CS1275" s="450"/>
      <c r="CT1275" s="450"/>
      <c r="CU1275" s="450"/>
      <c r="CV1275" s="450"/>
      <c r="CW1275" s="450"/>
      <c r="CX1275" s="450"/>
      <c r="CY1275" s="450"/>
      <c r="CZ1275" s="450"/>
      <c r="DA1275" s="450"/>
      <c r="DB1275" s="450"/>
      <c r="DC1275" s="450"/>
      <c r="DD1275" s="450"/>
      <c r="DE1275" s="450"/>
      <c r="DF1275" s="450"/>
      <c r="DG1275" s="450"/>
      <c r="DH1275" s="450"/>
      <c r="DI1275" s="450"/>
      <c r="DJ1275" s="450"/>
      <c r="DK1275" s="450"/>
      <c r="DL1275" s="450"/>
      <c r="DM1275" s="450"/>
      <c r="DN1275" s="450"/>
      <c r="DO1275" s="450"/>
      <c r="DP1275" s="450"/>
      <c r="DQ1275" s="450"/>
      <c r="DR1275" s="450"/>
      <c r="DS1275" s="450"/>
      <c r="DT1275" s="450"/>
      <c r="DU1275" s="450"/>
      <c r="DV1275" s="450"/>
      <c r="DW1275" s="450"/>
      <c r="DX1275" s="450"/>
      <c r="DY1275" s="450"/>
      <c r="DZ1275" s="450"/>
      <c r="EA1275" s="450"/>
      <c r="EB1275" s="450"/>
      <c r="EC1275" s="450"/>
      <c r="ED1275" s="450"/>
      <c r="EE1275" s="450"/>
      <c r="EF1275" s="450"/>
      <c r="EG1275" s="450"/>
      <c r="EH1275" s="450"/>
      <c r="EI1275" s="450"/>
      <c r="EJ1275" s="450"/>
      <c r="EK1275" s="450"/>
      <c r="EL1275" s="450"/>
      <c r="EM1275" s="450"/>
      <c r="EN1275" s="450"/>
      <c r="EO1275" s="450"/>
      <c r="EP1275" s="450"/>
      <c r="EQ1275" s="450"/>
      <c r="ER1275" s="450"/>
      <c r="ES1275" s="450"/>
      <c r="ET1275" s="450"/>
      <c r="EU1275" s="450"/>
      <c r="EV1275" s="450"/>
      <c r="EW1275" s="450"/>
      <c r="EX1275" s="450"/>
      <c r="EY1275" s="450"/>
      <c r="EZ1275" s="450"/>
      <c r="FA1275" s="450"/>
      <c r="FB1275" s="450"/>
      <c r="FC1275" s="450"/>
      <c r="FD1275" s="450"/>
      <c r="FE1275" s="450"/>
      <c r="FF1275" s="450"/>
      <c r="FG1275" s="450"/>
      <c r="FH1275" s="450"/>
      <c r="FI1275" s="450"/>
      <c r="FJ1275" s="450"/>
      <c r="FK1275" s="450"/>
      <c r="FL1275" s="450"/>
      <c r="FM1275" s="450"/>
      <c r="FN1275" s="450"/>
      <c r="FO1275" s="450"/>
      <c r="FP1275" s="450"/>
      <c r="FQ1275" s="450"/>
      <c r="FR1275" s="450"/>
      <c r="FS1275" s="450"/>
      <c r="FT1275" s="450"/>
      <c r="FU1275" s="450"/>
      <c r="FV1275" s="450"/>
      <c r="FW1275" s="450"/>
      <c r="FX1275" s="450"/>
      <c r="FY1275" s="450"/>
      <c r="FZ1275" s="450"/>
      <c r="GA1275" s="450"/>
      <c r="GB1275" s="450"/>
      <c r="GC1275" s="450"/>
      <c r="GD1275" s="450"/>
    </row>
    <row r="1276" spans="1:186" s="504" customFormat="1" ht="21.75" customHeight="1">
      <c r="A1276" s="553"/>
    </row>
    <row r="1277" spans="1:186" s="505" customFormat="1" ht="21.75" customHeight="1">
      <c r="A1277" s="546"/>
    </row>
    <row r="1278" spans="1:186" s="496" customFormat="1" ht="21.75" customHeight="1">
      <c r="A1278" s="535"/>
    </row>
    <row r="1279" spans="1:186" s="496" customFormat="1" ht="21.75" customHeight="1">
      <c r="A1279" s="535"/>
    </row>
    <row r="1280" spans="1:186" s="496" customFormat="1" ht="21.75" customHeight="1">
      <c r="A1280" s="535"/>
    </row>
    <row r="1281" spans="1:78" s="496" customFormat="1" ht="21.75" customHeight="1">
      <c r="A1281" s="535"/>
    </row>
    <row r="1282" spans="1:78" s="496" customFormat="1" ht="21.75" customHeight="1">
      <c r="A1282" s="535"/>
    </row>
    <row r="1283" spans="1:78" s="496" customFormat="1" ht="21.75" customHeight="1">
      <c r="A1283" s="535"/>
    </row>
    <row r="1284" spans="1:78" s="495" customFormat="1" ht="21.75" customHeight="1">
      <c r="A1284" s="539"/>
    </row>
    <row r="1285" spans="1:78" s="497" customFormat="1" ht="21.75" customHeight="1">
      <c r="A1285" s="533"/>
    </row>
    <row r="1286" spans="1:78" s="495" customFormat="1" ht="21.75" customHeight="1">
      <c r="A1286" s="539"/>
    </row>
    <row r="1287" spans="1:78" s="496" customFormat="1" ht="21.75" customHeight="1">
      <c r="A1287" s="535"/>
    </row>
    <row r="1288" spans="1:78" s="496" customFormat="1" ht="21.75" customHeight="1">
      <c r="A1288" s="535"/>
    </row>
    <row r="1289" spans="1:78" s="496" customFormat="1" ht="21.75" customHeight="1">
      <c r="A1289" s="535"/>
    </row>
    <row r="1290" spans="1:78" s="496" customFormat="1" ht="21.75" customHeight="1">
      <c r="A1290" s="535"/>
    </row>
    <row r="1291" spans="1:78" s="496" customFormat="1" ht="21.75" customHeight="1">
      <c r="A1291" s="535"/>
    </row>
    <row r="1292" spans="1:78" ht="21.75" customHeight="1">
      <c r="A1292" s="194"/>
      <c r="B1292" s="6"/>
      <c r="C1292" s="6"/>
      <c r="D1292" s="6"/>
      <c r="E1292" s="6"/>
      <c r="F1292" s="6"/>
      <c r="G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O1292" s="6"/>
      <c r="AP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</row>
    <row r="1293" spans="1:78" s="450" customFormat="1" ht="21.75" customHeight="1">
      <c r="A1293" s="451"/>
    </row>
    <row r="1294" spans="1:78" s="495" customFormat="1" ht="21.75" customHeight="1">
      <c r="A1294" s="539"/>
    </row>
    <row r="1295" spans="1:78" s="496" customFormat="1" ht="21.75" customHeight="1">
      <c r="A1295" s="535"/>
    </row>
    <row r="1296" spans="1:78" s="496" customFormat="1" ht="21.75" customHeight="1">
      <c r="A1296" s="535"/>
    </row>
    <row r="1297" spans="1:78" s="495" customFormat="1" ht="21.75" customHeight="1">
      <c r="A1297" s="539"/>
    </row>
    <row r="1298" spans="1:78" s="495" customFormat="1" ht="21.75" customHeight="1">
      <c r="A1298" s="539"/>
    </row>
    <row r="1299" spans="1:78" s="496" customFormat="1" ht="21.75" customHeight="1">
      <c r="A1299" s="535"/>
    </row>
    <row r="1300" spans="1:78" s="496" customFormat="1" ht="21.75" customHeight="1">
      <c r="A1300" s="535"/>
    </row>
    <row r="1301" spans="1:78" s="497" customFormat="1" ht="21.75" customHeight="1">
      <c r="A1301" s="533"/>
    </row>
    <row r="1302" spans="1:78" s="504" customFormat="1" ht="21.75" customHeight="1">
      <c r="A1302" s="553"/>
    </row>
    <row r="1303" spans="1:78" s="527" customFormat="1" ht="21.75" customHeight="1">
      <c r="A1303" s="536"/>
    </row>
    <row r="1304" spans="1:78" s="495" customFormat="1" ht="21.75" customHeight="1">
      <c r="A1304" s="539"/>
    </row>
    <row r="1305" spans="1:78" s="496" customFormat="1" ht="21.75" customHeight="1">
      <c r="A1305" s="535"/>
    </row>
    <row r="1306" spans="1:78" ht="21.75" customHeight="1">
      <c r="A1306" s="194"/>
      <c r="B1306" s="6"/>
      <c r="C1306" s="6"/>
      <c r="D1306" s="6"/>
      <c r="E1306" s="6"/>
      <c r="F1306" s="6"/>
      <c r="G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O1306" s="6"/>
      <c r="AP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</row>
    <row r="1307" spans="1:78" s="551" customFormat="1" ht="21.75" customHeight="1">
      <c r="A1307" s="560"/>
    </row>
    <row r="1308" spans="1:78" s="547" customFormat="1" ht="21.75" customHeight="1">
      <c r="A1308" s="548"/>
    </row>
    <row r="1309" spans="1:78" s="496" customFormat="1" ht="21.75" customHeight="1">
      <c r="A1309" s="535"/>
    </row>
    <row r="1310" spans="1:78" ht="21.75" customHeight="1">
      <c r="A1310" s="194"/>
      <c r="B1310" s="6"/>
      <c r="C1310" s="6"/>
      <c r="D1310" s="6"/>
      <c r="E1310" s="6"/>
      <c r="F1310" s="6"/>
      <c r="G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O1310" s="6"/>
      <c r="AP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</row>
    <row r="1311" spans="1:78" s="496" customFormat="1" ht="21.75" customHeight="1">
      <c r="A1311" s="535"/>
    </row>
    <row r="1312" spans="1:78" s="497" customFormat="1" ht="21.75" customHeight="1">
      <c r="A1312" s="533"/>
    </row>
    <row r="1313" spans="1:186" s="501" customFormat="1" ht="21.75" customHeight="1">
      <c r="A1313" s="469"/>
      <c r="B1313" s="468"/>
      <c r="C1313" s="468"/>
      <c r="D1313" s="468"/>
      <c r="E1313" s="468"/>
      <c r="F1313" s="468"/>
      <c r="G1313" s="468"/>
      <c r="H1313" s="468"/>
      <c r="I1313" s="468"/>
      <c r="J1313" s="468"/>
      <c r="K1313" s="468"/>
      <c r="L1313" s="468"/>
      <c r="M1313" s="468"/>
      <c r="N1313" s="468"/>
      <c r="O1313" s="468"/>
      <c r="P1313" s="468"/>
      <c r="Q1313" s="468"/>
      <c r="R1313" s="468"/>
      <c r="S1313" s="468"/>
      <c r="T1313" s="468"/>
      <c r="U1313" s="468"/>
      <c r="V1313" s="468"/>
      <c r="W1313" s="468"/>
      <c r="X1313" s="468"/>
      <c r="Y1313" s="468"/>
      <c r="Z1313" s="468"/>
      <c r="AA1313" s="468"/>
      <c r="AB1313" s="468"/>
      <c r="AC1313" s="468"/>
      <c r="AD1313" s="468"/>
      <c r="AE1313" s="468"/>
      <c r="AF1313" s="468"/>
      <c r="AG1313" s="468"/>
      <c r="AH1313" s="468"/>
      <c r="AI1313" s="468"/>
      <c r="AJ1313" s="468"/>
      <c r="AK1313" s="468"/>
      <c r="AL1313" s="468"/>
      <c r="AM1313" s="468"/>
      <c r="AN1313" s="468"/>
      <c r="AO1313" s="468"/>
      <c r="AP1313" s="468"/>
      <c r="AQ1313" s="468"/>
      <c r="AR1313" s="468"/>
      <c r="AS1313" s="468"/>
      <c r="AT1313" s="468"/>
      <c r="AU1313" s="468"/>
      <c r="AV1313" s="468"/>
      <c r="AW1313" s="468"/>
      <c r="AX1313" s="468"/>
      <c r="AY1313" s="468"/>
      <c r="AZ1313" s="468"/>
      <c r="BA1313" s="468"/>
      <c r="BB1313" s="468"/>
      <c r="BC1313" s="468"/>
      <c r="BD1313" s="468"/>
      <c r="BE1313" s="468"/>
      <c r="BF1313" s="468"/>
      <c r="BG1313" s="468"/>
      <c r="BH1313" s="468"/>
      <c r="BI1313" s="468"/>
      <c r="BJ1313" s="468"/>
      <c r="BK1313" s="468"/>
      <c r="BL1313" s="468"/>
      <c r="BM1313" s="468"/>
      <c r="BN1313" s="468"/>
      <c r="BO1313" s="468"/>
      <c r="BP1313" s="468"/>
      <c r="BQ1313" s="468"/>
      <c r="BR1313" s="468"/>
      <c r="BS1313" s="468"/>
      <c r="BT1313" s="468"/>
      <c r="BU1313" s="468"/>
      <c r="BV1313" s="468"/>
      <c r="BW1313" s="468"/>
      <c r="BX1313" s="468"/>
      <c r="BY1313" s="468"/>
      <c r="BZ1313" s="468"/>
      <c r="CA1313" s="468"/>
      <c r="CB1313" s="468"/>
      <c r="CC1313" s="468"/>
      <c r="CD1313" s="468"/>
      <c r="CE1313" s="468"/>
      <c r="CF1313" s="468"/>
      <c r="CG1313" s="468"/>
      <c r="CH1313" s="468"/>
      <c r="CI1313" s="468"/>
      <c r="CJ1313" s="468"/>
      <c r="CK1313" s="468"/>
      <c r="CL1313" s="468"/>
      <c r="CM1313" s="468"/>
      <c r="CN1313" s="468"/>
      <c r="CO1313" s="468"/>
      <c r="CP1313" s="468"/>
      <c r="CQ1313" s="468"/>
      <c r="CR1313" s="468"/>
      <c r="CS1313" s="468"/>
      <c r="CT1313" s="468"/>
      <c r="CU1313" s="468"/>
      <c r="CV1313" s="468"/>
      <c r="CW1313" s="468"/>
      <c r="CX1313" s="468"/>
      <c r="CY1313" s="468"/>
      <c r="CZ1313" s="468"/>
      <c r="DA1313" s="468"/>
      <c r="DB1313" s="468"/>
      <c r="DC1313" s="468"/>
      <c r="DD1313" s="468"/>
      <c r="DE1313" s="468"/>
      <c r="DF1313" s="468"/>
      <c r="DG1313" s="468"/>
      <c r="DH1313" s="468"/>
      <c r="DI1313" s="468"/>
      <c r="DJ1313" s="468"/>
      <c r="DK1313" s="468"/>
      <c r="DL1313" s="468"/>
      <c r="DM1313" s="468"/>
      <c r="DN1313" s="468"/>
      <c r="DO1313" s="468"/>
      <c r="DP1313" s="468"/>
      <c r="DQ1313" s="468"/>
      <c r="DR1313" s="468"/>
      <c r="DS1313" s="468"/>
      <c r="DT1313" s="468"/>
      <c r="DU1313" s="468"/>
      <c r="DV1313" s="468"/>
      <c r="DW1313" s="468"/>
      <c r="DX1313" s="468"/>
      <c r="DY1313" s="468"/>
      <c r="DZ1313" s="468"/>
      <c r="EA1313" s="468"/>
      <c r="EB1313" s="468"/>
      <c r="EC1313" s="468"/>
      <c r="ED1313" s="468"/>
      <c r="EE1313" s="468"/>
      <c r="EF1313" s="468"/>
      <c r="EG1313" s="468"/>
      <c r="EH1313" s="468"/>
      <c r="EI1313" s="468"/>
      <c r="EJ1313" s="468"/>
      <c r="EK1313" s="468"/>
      <c r="EL1313" s="468"/>
      <c r="EM1313" s="468"/>
      <c r="EN1313" s="468"/>
      <c r="EO1313" s="468"/>
      <c r="EP1313" s="468"/>
      <c r="EQ1313" s="468"/>
      <c r="ER1313" s="468"/>
      <c r="ES1313" s="468"/>
      <c r="ET1313" s="468"/>
      <c r="EU1313" s="468"/>
      <c r="EV1313" s="468"/>
      <c r="EW1313" s="468"/>
      <c r="EX1313" s="468"/>
      <c r="EY1313" s="468"/>
      <c r="EZ1313" s="468"/>
      <c r="FA1313" s="468"/>
      <c r="FB1313" s="468"/>
      <c r="FC1313" s="468"/>
      <c r="FD1313" s="468"/>
      <c r="FE1313" s="468"/>
      <c r="FF1313" s="468"/>
      <c r="FG1313" s="468"/>
      <c r="FH1313" s="468"/>
      <c r="FI1313" s="468"/>
      <c r="FJ1313" s="468"/>
      <c r="FK1313" s="468"/>
      <c r="FL1313" s="468"/>
      <c r="FM1313" s="468"/>
      <c r="FN1313" s="468"/>
      <c r="FO1313" s="468"/>
      <c r="FP1313" s="468"/>
      <c r="FQ1313" s="468"/>
      <c r="FR1313" s="468"/>
      <c r="FS1313" s="468"/>
      <c r="FT1313" s="468"/>
      <c r="FU1313" s="468"/>
      <c r="FV1313" s="468"/>
      <c r="FW1313" s="468"/>
      <c r="FX1313" s="468"/>
      <c r="FY1313" s="468"/>
      <c r="FZ1313" s="468"/>
      <c r="GA1313" s="468"/>
      <c r="GB1313" s="468"/>
      <c r="GC1313" s="468"/>
      <c r="GD1313" s="468"/>
    </row>
    <row r="1314" spans="1:186" s="500" customFormat="1" ht="21.75" customHeight="1">
      <c r="A1314" s="552"/>
    </row>
    <row r="1315" spans="1:186" s="496" customFormat="1" ht="21.75" customHeight="1">
      <c r="A1315" s="535"/>
    </row>
    <row r="1316" spans="1:186" s="496" customFormat="1" ht="21.75" customHeight="1">
      <c r="A1316" s="535"/>
    </row>
    <row r="1317" spans="1:186" ht="21.75" customHeight="1">
      <c r="A1317" s="194"/>
      <c r="B1317" s="6"/>
      <c r="C1317" s="6"/>
      <c r="D1317" s="6"/>
      <c r="E1317" s="6"/>
      <c r="F1317" s="6"/>
      <c r="G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O1317" s="6"/>
      <c r="AP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</row>
    <row r="1318" spans="1:186" s="496" customFormat="1" ht="21.75" customHeight="1">
      <c r="A1318" s="535"/>
    </row>
    <row r="1319" spans="1:186" s="450" customFormat="1" ht="21.75" customHeight="1">
      <c r="A1319" s="451"/>
    </row>
    <row r="1320" spans="1:186" s="474" customFormat="1" ht="21.75" customHeight="1">
      <c r="A1320" s="475"/>
    </row>
    <row r="1321" spans="1:186" s="461" customFormat="1" ht="21.75" customHeight="1">
      <c r="A1321" s="462"/>
    </row>
    <row r="1322" spans="1:186" s="495" customFormat="1" ht="21.75" customHeight="1">
      <c r="A1322" s="539"/>
    </row>
    <row r="1323" spans="1:186" s="450" customFormat="1" ht="21.75" customHeight="1">
      <c r="A1323" s="451"/>
    </row>
    <row r="1324" spans="1:186" s="495" customFormat="1" ht="21.75" customHeight="1">
      <c r="A1324" s="539"/>
    </row>
    <row r="1325" spans="1:186" ht="21.75" customHeight="1">
      <c r="A1325" s="194"/>
      <c r="B1325" s="6"/>
      <c r="C1325" s="6"/>
      <c r="D1325" s="6"/>
      <c r="E1325" s="6"/>
      <c r="F1325" s="6"/>
      <c r="G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O1325" s="6"/>
      <c r="AP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</row>
    <row r="1326" spans="1:186" s="496" customFormat="1" ht="21.75" customHeight="1">
      <c r="A1326" s="535"/>
    </row>
    <row r="1327" spans="1:186" s="497" customFormat="1" ht="21.75" customHeight="1">
      <c r="A1327" s="533"/>
    </row>
    <row r="1328" spans="1:186" s="495" customFormat="1" ht="21.75" customHeight="1">
      <c r="A1328" s="539"/>
    </row>
    <row r="1329" spans="1:1" s="505" customFormat="1" ht="21.75" customHeight="1">
      <c r="A1329" s="546"/>
    </row>
    <row r="1330" spans="1:1" s="496" customFormat="1" ht="21.75" customHeight="1">
      <c r="A1330" s="535"/>
    </row>
    <row r="1331" spans="1:1" s="504" customFormat="1" ht="21.75" customHeight="1">
      <c r="A1331" s="553"/>
    </row>
    <row r="1332" spans="1:1" s="497" customFormat="1" ht="21.75" customHeight="1">
      <c r="A1332" s="533"/>
    </row>
    <row r="1333" spans="1:1" s="448" customFormat="1" ht="21.75" customHeight="1">
      <c r="A1333" s="449"/>
    </row>
    <row r="1334" spans="1:1" s="496" customFormat="1" ht="21.75" customHeight="1">
      <c r="A1334" s="535"/>
    </row>
    <row r="1335" spans="1:1" s="505" customFormat="1" ht="21.75" customHeight="1">
      <c r="A1335" s="546"/>
    </row>
    <row r="1336" spans="1:1" s="496" customFormat="1" ht="21.75" customHeight="1">
      <c r="A1336" s="535"/>
    </row>
    <row r="1337" spans="1:1" s="497" customFormat="1" ht="21.75" customHeight="1">
      <c r="A1337" s="533"/>
    </row>
    <row r="1338" spans="1:1" s="495" customFormat="1" ht="21.75" customHeight="1">
      <c r="A1338" s="539"/>
    </row>
    <row r="1339" spans="1:1" s="496" customFormat="1" ht="21.75" customHeight="1">
      <c r="A1339" s="535"/>
    </row>
    <row r="1340" spans="1:1" s="496" customFormat="1" ht="21.75" customHeight="1">
      <c r="A1340" s="535"/>
    </row>
    <row r="1341" spans="1:1" s="497" customFormat="1" ht="21.75" customHeight="1">
      <c r="A1341" s="533"/>
    </row>
    <row r="1342" spans="1:1" s="448" customFormat="1" ht="21.75" customHeight="1">
      <c r="A1342" s="449"/>
    </row>
    <row r="1343" spans="1:1" s="527" customFormat="1" ht="21.75" customHeight="1">
      <c r="A1343" s="536"/>
    </row>
    <row r="1344" spans="1:1" s="504" customFormat="1" ht="21.75" customHeight="1">
      <c r="A1344" s="553"/>
    </row>
    <row r="1345" spans="1:78" s="496" customFormat="1" ht="21.75" customHeight="1">
      <c r="A1345" s="535"/>
    </row>
    <row r="1346" spans="1:78" s="527" customFormat="1" ht="21.75" customHeight="1">
      <c r="A1346" s="536"/>
    </row>
    <row r="1347" spans="1:78" s="448" customFormat="1" ht="21.75" customHeight="1">
      <c r="A1347" s="449"/>
    </row>
    <row r="1348" spans="1:78" ht="21.75" customHeight="1">
      <c r="A1348" s="194"/>
      <c r="B1348" s="6"/>
      <c r="C1348" s="6"/>
      <c r="D1348" s="6"/>
      <c r="E1348" s="6"/>
      <c r="F1348" s="6"/>
      <c r="G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O1348" s="6"/>
      <c r="AP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</row>
    <row r="1349" spans="1:78" ht="21.75" customHeight="1">
      <c r="A1349" s="194"/>
      <c r="B1349" s="6"/>
      <c r="C1349" s="6"/>
      <c r="D1349" s="6"/>
      <c r="E1349" s="6"/>
      <c r="F1349" s="6"/>
      <c r="G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O1349" s="6"/>
      <c r="AP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</row>
    <row r="1350" spans="1:78" s="501" customFormat="1" ht="21.75" customHeight="1">
      <c r="A1350" s="534"/>
    </row>
    <row r="1351" spans="1:78" s="495" customFormat="1" ht="21.75" customHeight="1">
      <c r="A1351" s="539"/>
    </row>
    <row r="1352" spans="1:78" s="465" customFormat="1" ht="21.75" customHeight="1">
      <c r="A1352" s="470"/>
    </row>
    <row r="1353" spans="1:78" s="501" customFormat="1" ht="21.75" customHeight="1">
      <c r="A1353" s="534"/>
    </row>
    <row r="1354" spans="1:78" s="556" customFormat="1" ht="21.75" customHeight="1">
      <c r="A1354" s="557"/>
    </row>
    <row r="1355" spans="1:78" s="495" customFormat="1" ht="21.75" customHeight="1">
      <c r="A1355" s="539"/>
    </row>
    <row r="1356" spans="1:78" ht="21.75" customHeight="1">
      <c r="A1356" s="194"/>
      <c r="B1356" s="6"/>
      <c r="C1356" s="6"/>
      <c r="D1356" s="6"/>
      <c r="E1356" s="6"/>
      <c r="F1356" s="6"/>
      <c r="G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O1356" s="6"/>
      <c r="AP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</row>
    <row r="1357" spans="1:78" s="527" customFormat="1" ht="21.75" customHeight="1">
      <c r="A1357" s="536"/>
    </row>
    <row r="1358" spans="1:78" s="448" customFormat="1" ht="21.75" customHeight="1">
      <c r="A1358" s="449"/>
    </row>
    <row r="1359" spans="1:78" ht="21.75" customHeight="1">
      <c r="A1359" s="194"/>
      <c r="B1359" s="6"/>
      <c r="C1359" s="6"/>
      <c r="D1359" s="6"/>
      <c r="E1359" s="6"/>
      <c r="F1359" s="6"/>
      <c r="G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O1359" s="6"/>
      <c r="AP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</row>
    <row r="1360" spans="1:78" s="497" customFormat="1" ht="21.75" customHeight="1">
      <c r="A1360" s="533"/>
    </row>
    <row r="1361" spans="1:78" s="448" customFormat="1" ht="21.75" customHeight="1">
      <c r="A1361" s="449"/>
    </row>
    <row r="1362" spans="1:78" s="472" customFormat="1" ht="21.75" customHeight="1">
      <c r="A1362" s="473"/>
    </row>
    <row r="1363" spans="1:78" s="527" customFormat="1" ht="21.75" customHeight="1">
      <c r="A1363" s="536"/>
    </row>
    <row r="1364" spans="1:78" s="501" customFormat="1" ht="21.75" customHeight="1">
      <c r="A1364" s="534"/>
    </row>
    <row r="1365" spans="1:78" s="495" customFormat="1" ht="21.75" customHeight="1">
      <c r="A1365" s="539"/>
    </row>
    <row r="1366" spans="1:78" s="527" customFormat="1" ht="21.75" customHeight="1">
      <c r="A1366" s="536"/>
    </row>
    <row r="1367" spans="1:78" s="575" customFormat="1" ht="21.75" customHeight="1">
      <c r="A1367" s="574"/>
    </row>
    <row r="1368" spans="1:78" s="495" customFormat="1" ht="21.75" customHeight="1">
      <c r="A1368" s="539"/>
    </row>
    <row r="1369" spans="1:78" s="524" customFormat="1" ht="21.75" customHeight="1">
      <c r="A1369" s="558"/>
    </row>
    <row r="1370" spans="1:78" s="504" customFormat="1" ht="21.75" customHeight="1">
      <c r="A1370" s="553"/>
    </row>
    <row r="1371" spans="1:78" s="496" customFormat="1" ht="21.75" customHeight="1">
      <c r="A1371" s="535"/>
    </row>
    <row r="1372" spans="1:78" s="496" customFormat="1" ht="21.75" customHeight="1">
      <c r="A1372" s="535"/>
    </row>
    <row r="1373" spans="1:78" s="496" customFormat="1" ht="21.75" customHeight="1">
      <c r="A1373" s="535"/>
    </row>
    <row r="1374" spans="1:78" ht="21.75" customHeight="1">
      <c r="A1374" s="194"/>
      <c r="B1374" s="6"/>
      <c r="C1374" s="6"/>
      <c r="D1374" s="6"/>
      <c r="E1374" s="6"/>
      <c r="F1374" s="6"/>
      <c r="G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O1374" s="6"/>
      <c r="AP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</row>
    <row r="1375" spans="1:78" s="496" customFormat="1" ht="21.75" customHeight="1">
      <c r="A1375" s="535"/>
    </row>
    <row r="1376" spans="1:78" s="496" customFormat="1" ht="21.75" customHeight="1">
      <c r="A1376" s="535"/>
    </row>
    <row r="1377" spans="1:1" s="501" customFormat="1" ht="21.75" customHeight="1">
      <c r="A1377" s="534"/>
    </row>
    <row r="1378" spans="1:1" s="501" customFormat="1" ht="21.75" customHeight="1">
      <c r="A1378" s="534"/>
    </row>
    <row r="1379" spans="1:1" s="495" customFormat="1" ht="21.75" customHeight="1">
      <c r="A1379" s="539"/>
    </row>
    <row r="1380" spans="1:1" s="496" customFormat="1" ht="21.75" customHeight="1">
      <c r="A1380" s="535"/>
    </row>
    <row r="1381" spans="1:1" s="472" customFormat="1" ht="21.75" customHeight="1">
      <c r="A1381" s="473"/>
    </row>
    <row r="1382" spans="1:1" s="496" customFormat="1" ht="21.75" customHeight="1">
      <c r="A1382" s="535"/>
    </row>
    <row r="1383" spans="1:1" s="527" customFormat="1" ht="21.75" customHeight="1">
      <c r="A1383" s="536"/>
    </row>
    <row r="1384" spans="1:1" s="495" customFormat="1" ht="21.75" customHeight="1">
      <c r="A1384" s="539"/>
    </row>
    <row r="1385" spans="1:1" s="497" customFormat="1" ht="21.75" customHeight="1">
      <c r="A1385" s="533"/>
    </row>
    <row r="1386" spans="1:1" s="501" customFormat="1" ht="21.75" customHeight="1">
      <c r="A1386" s="534"/>
    </row>
    <row r="1387" spans="1:1" s="495" customFormat="1" ht="21.75" customHeight="1">
      <c r="A1387" s="539"/>
    </row>
    <row r="1388" spans="1:1" s="496" customFormat="1" ht="21.75" customHeight="1">
      <c r="A1388" s="535"/>
    </row>
    <row r="1389" spans="1:1" s="496" customFormat="1" ht="21.75" customHeight="1">
      <c r="A1389" s="535"/>
    </row>
    <row r="1390" spans="1:1" s="497" customFormat="1" ht="21.75" customHeight="1">
      <c r="A1390" s="533"/>
    </row>
    <row r="1391" spans="1:1" s="498" customFormat="1" ht="21.75" customHeight="1">
      <c r="A1391" s="545"/>
    </row>
    <row r="1392" spans="1:1" s="501" customFormat="1" ht="21.75" customHeight="1">
      <c r="A1392" s="534"/>
    </row>
    <row r="1393" spans="1:78" s="495" customFormat="1" ht="21.75" customHeight="1">
      <c r="A1393" s="539"/>
    </row>
    <row r="1394" spans="1:78" s="496" customFormat="1" ht="21.75" customHeight="1">
      <c r="A1394" s="535"/>
    </row>
    <row r="1395" spans="1:78" s="496" customFormat="1" ht="21.75" customHeight="1">
      <c r="A1395" s="535"/>
    </row>
    <row r="1396" spans="1:78" s="476" customFormat="1" ht="21.75" customHeight="1">
      <c r="A1396" s="477"/>
    </row>
    <row r="1397" spans="1:78" s="496" customFormat="1" ht="21.75" customHeight="1">
      <c r="A1397" s="535"/>
    </row>
    <row r="1398" spans="1:78" s="505" customFormat="1" ht="21.75" customHeight="1">
      <c r="A1398" s="546"/>
    </row>
    <row r="1399" spans="1:78" s="497" customFormat="1" ht="21.75" customHeight="1">
      <c r="A1399" s="533"/>
    </row>
    <row r="1400" spans="1:78" s="541" customFormat="1" ht="21.75" customHeight="1">
      <c r="A1400" s="559"/>
    </row>
    <row r="1401" spans="1:78" s="495" customFormat="1" ht="21.75" customHeight="1">
      <c r="A1401" s="539"/>
    </row>
    <row r="1402" spans="1:78" s="496" customFormat="1" ht="21.75" customHeight="1">
      <c r="A1402" s="535"/>
    </row>
    <row r="1403" spans="1:78" ht="21.75" customHeight="1">
      <c r="A1403" s="194"/>
      <c r="B1403" s="6"/>
      <c r="C1403" s="6"/>
      <c r="D1403" s="6"/>
      <c r="E1403" s="6"/>
      <c r="F1403" s="6"/>
      <c r="G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O1403" s="6"/>
      <c r="AP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</row>
    <row r="1404" spans="1:78" s="468" customFormat="1" ht="21.75" customHeight="1">
      <c r="A1404" s="469"/>
    </row>
    <row r="1405" spans="1:78" s="555" customFormat="1" ht="21.75" customHeight="1">
      <c r="A1405" s="561"/>
    </row>
    <row r="1406" spans="1:78" s="501" customFormat="1" ht="21.75" customHeight="1">
      <c r="A1406" s="534"/>
    </row>
    <row r="1407" spans="1:78" s="504" customFormat="1" ht="21.75" customHeight="1">
      <c r="A1407" s="553"/>
    </row>
    <row r="1408" spans="1:78" s="505" customFormat="1" ht="21.75" customHeight="1">
      <c r="A1408" s="546"/>
    </row>
    <row r="1409" spans="1:78" s="505" customFormat="1" ht="21.75" customHeight="1">
      <c r="A1409" s="546"/>
    </row>
    <row r="1410" spans="1:78" ht="21.75" customHeight="1">
      <c r="A1410" s="194"/>
      <c r="B1410" s="6"/>
      <c r="C1410" s="6"/>
      <c r="D1410" s="6"/>
      <c r="E1410" s="6"/>
      <c r="F1410" s="6"/>
      <c r="G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O1410" s="6"/>
      <c r="AP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</row>
    <row r="1411" spans="1:78" s="497" customFormat="1" ht="21.75" customHeight="1">
      <c r="A1411" s="533"/>
    </row>
    <row r="1412" spans="1:78" s="495" customFormat="1" ht="21.75" customHeight="1">
      <c r="A1412" s="539"/>
    </row>
    <row r="1413" spans="1:78" s="495" customFormat="1" ht="21.75" customHeight="1">
      <c r="A1413" s="539"/>
    </row>
    <row r="1414" spans="1:78" s="496" customFormat="1" ht="21.75" customHeight="1">
      <c r="A1414" s="535"/>
    </row>
    <row r="1415" spans="1:78" s="505" customFormat="1" ht="21.75" customHeight="1">
      <c r="A1415" s="546"/>
    </row>
    <row r="1416" spans="1:78" s="450" customFormat="1" ht="21.75" customHeight="1">
      <c r="A1416" s="451"/>
    </row>
    <row r="1417" spans="1:78" s="495" customFormat="1" ht="21.75" customHeight="1">
      <c r="A1417" s="539"/>
    </row>
    <row r="1418" spans="1:78" s="465" customFormat="1" ht="21.75" customHeight="1">
      <c r="A1418" s="470"/>
    </row>
    <row r="1419" spans="1:78" s="495" customFormat="1" ht="21.75" customHeight="1">
      <c r="A1419" s="539"/>
    </row>
    <row r="1420" spans="1:78" ht="21.75" customHeight="1">
      <c r="A1420" s="194"/>
      <c r="B1420" s="6"/>
      <c r="C1420" s="6"/>
      <c r="D1420" s="6"/>
      <c r="E1420" s="6"/>
      <c r="F1420" s="6"/>
      <c r="G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O1420" s="6"/>
      <c r="AP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</row>
    <row r="1421" spans="1:78" s="527" customFormat="1" ht="21.75" customHeight="1">
      <c r="A1421" s="536"/>
    </row>
    <row r="1422" spans="1:78" s="495" customFormat="1" ht="21.75" customHeight="1">
      <c r="A1422" s="539"/>
    </row>
    <row r="1423" spans="1:78" s="496" customFormat="1" ht="21.75" customHeight="1">
      <c r="A1423" s="535"/>
    </row>
    <row r="1424" spans="1:78" s="505" customFormat="1" ht="21.75" customHeight="1">
      <c r="A1424" s="546"/>
    </row>
    <row r="1425" spans="1:78" s="496" customFormat="1" ht="21.75" customHeight="1">
      <c r="A1425" s="535"/>
    </row>
    <row r="1426" spans="1:78" ht="21.75" customHeight="1">
      <c r="A1426" s="194"/>
      <c r="B1426" s="6"/>
      <c r="C1426" s="6"/>
      <c r="D1426" s="6"/>
      <c r="E1426" s="6"/>
      <c r="F1426" s="6"/>
      <c r="G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O1426" s="6"/>
      <c r="AP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</row>
    <row r="1427" spans="1:78" s="496" customFormat="1" ht="21.75" customHeight="1">
      <c r="A1427" s="535"/>
    </row>
    <row r="1428" spans="1:78" s="496" customFormat="1" ht="21.75" customHeight="1">
      <c r="A1428" s="535"/>
    </row>
    <row r="1429" spans="1:78" s="527" customFormat="1" ht="21.75" customHeight="1">
      <c r="A1429" s="536"/>
    </row>
    <row r="1430" spans="1:78" s="495" customFormat="1" ht="21.75" customHeight="1">
      <c r="A1430" s="539"/>
    </row>
    <row r="1431" spans="1:78" s="496" customFormat="1" ht="21.75" customHeight="1">
      <c r="A1431" s="535"/>
    </row>
    <row r="1432" spans="1:78" s="501" customFormat="1" ht="21.75" customHeight="1">
      <c r="A1432" s="534"/>
    </row>
    <row r="1433" spans="1:78" s="555" customFormat="1" ht="21.75" customHeight="1">
      <c r="A1433" s="561"/>
    </row>
    <row r="1434" spans="1:78" s="448" customFormat="1" ht="21.75" customHeight="1">
      <c r="A1434" s="449"/>
    </row>
    <row r="1435" spans="1:78" s="496" customFormat="1" ht="21.75" customHeight="1">
      <c r="A1435" s="535"/>
    </row>
    <row r="1436" spans="1:78" s="505" customFormat="1" ht="21.75" customHeight="1">
      <c r="A1436" s="546"/>
    </row>
    <row r="1437" spans="1:78" s="496" customFormat="1" ht="21.75" customHeight="1">
      <c r="A1437" s="535"/>
    </row>
    <row r="1438" spans="1:78" s="495" customFormat="1" ht="21.75" customHeight="1">
      <c r="A1438" s="539"/>
    </row>
    <row r="1439" spans="1:78" s="497" customFormat="1" ht="21.75" customHeight="1">
      <c r="A1439" s="533"/>
    </row>
    <row r="1440" spans="1:78" s="504" customFormat="1" ht="21.75" customHeight="1">
      <c r="A1440" s="553"/>
    </row>
    <row r="1441" spans="1:78" s="496" customFormat="1" ht="21.75" customHeight="1">
      <c r="A1441" s="535"/>
    </row>
    <row r="1442" spans="1:78" s="472" customFormat="1" ht="21.75" customHeight="1">
      <c r="A1442" s="473"/>
    </row>
    <row r="1443" spans="1:78" s="450" customFormat="1" ht="21.75" customHeight="1">
      <c r="A1443" s="451"/>
    </row>
    <row r="1444" spans="1:78" s="448" customFormat="1" ht="21.75" customHeight="1">
      <c r="A1444" s="449"/>
    </row>
    <row r="1445" spans="1:78" s="496" customFormat="1" ht="21.75" customHeight="1">
      <c r="A1445" s="535"/>
    </row>
    <row r="1446" spans="1:78" ht="21.75" customHeight="1">
      <c r="A1446" s="194"/>
      <c r="B1446" s="6"/>
      <c r="C1446" s="6"/>
      <c r="D1446" s="6"/>
      <c r="E1446" s="6"/>
      <c r="F1446" s="6"/>
      <c r="G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O1446" s="6"/>
      <c r="AP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</row>
    <row r="1447" spans="1:78" ht="21.75" customHeight="1">
      <c r="A1447" s="194"/>
      <c r="B1447" s="6"/>
      <c r="C1447" s="6"/>
      <c r="D1447" s="6"/>
      <c r="E1447" s="6"/>
      <c r="F1447" s="6"/>
      <c r="G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O1447" s="6"/>
      <c r="AP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</row>
    <row r="1448" spans="1:78" s="497" customFormat="1" ht="21.75" customHeight="1">
      <c r="A1448" s="533"/>
    </row>
    <row r="1449" spans="1:78" s="448" customFormat="1" ht="21.75" customHeight="1">
      <c r="A1449" s="449"/>
    </row>
    <row r="1450" spans="1:78" s="448" customFormat="1" ht="21.75" customHeight="1">
      <c r="A1450" s="449"/>
    </row>
    <row r="1451" spans="1:78" ht="21.75" customHeight="1">
      <c r="A1451" s="194"/>
      <c r="B1451" s="6"/>
      <c r="C1451" s="6"/>
      <c r="D1451" s="6"/>
      <c r="E1451" s="6"/>
      <c r="F1451" s="6"/>
      <c r="G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O1451" s="6"/>
      <c r="AP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</row>
    <row r="1452" spans="1:78" s="496" customFormat="1" ht="21.75" customHeight="1">
      <c r="A1452" s="535"/>
    </row>
    <row r="1453" spans="1:78" s="505" customFormat="1" ht="21.75" customHeight="1">
      <c r="A1453" s="546"/>
    </row>
    <row r="1454" spans="1:78" s="497" customFormat="1" ht="21.75" customHeight="1">
      <c r="A1454" s="533"/>
    </row>
    <row r="1455" spans="1:78" s="504" customFormat="1" ht="21.75" customHeight="1">
      <c r="A1455" s="553"/>
    </row>
    <row r="1456" spans="1:78" s="495" customFormat="1" ht="21.75" customHeight="1">
      <c r="A1456" s="539"/>
    </row>
    <row r="1457" spans="1:1" s="497" customFormat="1" ht="21.75" customHeight="1">
      <c r="A1457" s="533"/>
    </row>
    <row r="1458" spans="1:1" s="495" customFormat="1" ht="21.75" customHeight="1">
      <c r="A1458" s="539"/>
    </row>
    <row r="1459" spans="1:1" s="496" customFormat="1" ht="21.75" customHeight="1">
      <c r="A1459" s="535"/>
    </row>
    <row r="1460" spans="1:1" s="496" customFormat="1" ht="21.75" customHeight="1">
      <c r="A1460" s="535"/>
    </row>
    <row r="1461" spans="1:1" s="501" customFormat="1" ht="21.75" customHeight="1">
      <c r="A1461" s="534"/>
    </row>
    <row r="1462" spans="1:1" s="495" customFormat="1" ht="21.75" customHeight="1">
      <c r="A1462" s="539"/>
    </row>
    <row r="1463" spans="1:1" s="505" customFormat="1" ht="21.75" customHeight="1">
      <c r="A1463" s="546"/>
    </row>
    <row r="1464" spans="1:1" s="496" customFormat="1" ht="21.75" customHeight="1">
      <c r="A1464" s="535"/>
    </row>
    <row r="1465" spans="1:1" s="448" customFormat="1" ht="21.75" customHeight="1">
      <c r="A1465" s="449"/>
    </row>
    <row r="1466" spans="1:1" s="496" customFormat="1" ht="21.75" customHeight="1">
      <c r="A1466" s="535"/>
    </row>
    <row r="1467" spans="1:1" s="496" customFormat="1" ht="21.75" customHeight="1">
      <c r="A1467" s="535"/>
    </row>
    <row r="1468" spans="1:1" s="496" customFormat="1" ht="21.75" customHeight="1">
      <c r="A1468" s="535"/>
    </row>
    <row r="1469" spans="1:1" s="496" customFormat="1" ht="21.75" customHeight="1">
      <c r="A1469" s="535"/>
    </row>
    <row r="1470" spans="1:1" s="497" customFormat="1" ht="21.75" customHeight="1">
      <c r="A1470" s="533"/>
    </row>
    <row r="1471" spans="1:1" s="468" customFormat="1" ht="21.75" customHeight="1">
      <c r="A1471" s="469"/>
    </row>
    <row r="1472" spans="1:1" s="495" customFormat="1" ht="21.75" customHeight="1">
      <c r="A1472" s="539"/>
    </row>
    <row r="1473" spans="1:78" s="496" customFormat="1" ht="21.75" customHeight="1">
      <c r="A1473" s="535"/>
    </row>
    <row r="1474" spans="1:78" s="505" customFormat="1" ht="21.75" customHeight="1">
      <c r="A1474" s="546"/>
    </row>
    <row r="1475" spans="1:78" s="448" customFormat="1" ht="21.75" customHeight="1">
      <c r="A1475" s="449"/>
    </row>
    <row r="1476" spans="1:78" s="496" customFormat="1" ht="21.75" customHeight="1">
      <c r="A1476" s="535"/>
    </row>
    <row r="1477" spans="1:78" s="496" customFormat="1" ht="21.75" customHeight="1">
      <c r="A1477" s="535"/>
    </row>
    <row r="1478" spans="1:78" s="501" customFormat="1" ht="21.75" customHeight="1">
      <c r="A1478" s="534"/>
    </row>
    <row r="1479" spans="1:78" s="495" customFormat="1" ht="21.75" customHeight="1">
      <c r="A1479" s="539"/>
    </row>
    <row r="1480" spans="1:78" s="496" customFormat="1" ht="21.75" customHeight="1">
      <c r="A1480" s="535"/>
    </row>
    <row r="1481" spans="1:78" s="496" customFormat="1" ht="21.75" customHeight="1">
      <c r="A1481" s="535"/>
    </row>
    <row r="1482" spans="1:78" s="496" customFormat="1" ht="21.75" customHeight="1">
      <c r="A1482" s="535"/>
    </row>
    <row r="1483" spans="1:78" ht="21.75" customHeight="1">
      <c r="A1483" s="194"/>
      <c r="B1483" s="6"/>
      <c r="C1483" s="6"/>
      <c r="D1483" s="6"/>
      <c r="E1483" s="6"/>
      <c r="F1483" s="6"/>
      <c r="G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O1483" s="6"/>
      <c r="AP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</row>
    <row r="1484" spans="1:78" ht="21.75" customHeight="1">
      <c r="A1484" s="194"/>
      <c r="B1484" s="6"/>
      <c r="C1484" s="6"/>
      <c r="D1484" s="6"/>
      <c r="E1484" s="6"/>
      <c r="F1484" s="6"/>
      <c r="G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O1484" s="6"/>
      <c r="AP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</row>
    <row r="1485" spans="1:78" s="496" customFormat="1" ht="21.75" customHeight="1">
      <c r="A1485" s="535"/>
    </row>
    <row r="1486" spans="1:78" s="496" customFormat="1" ht="21.75" customHeight="1">
      <c r="A1486" s="535"/>
    </row>
    <row r="1487" spans="1:78" s="495" customFormat="1" ht="21.75" customHeight="1">
      <c r="A1487" s="539"/>
      <c r="BX1487" s="501"/>
      <c r="BY1487" s="501"/>
    </row>
    <row r="1488" spans="1:78" ht="21.75" customHeight="1">
      <c r="A1488" s="449"/>
      <c r="B1488" s="448"/>
      <c r="C1488" s="448"/>
      <c r="D1488" s="448"/>
      <c r="E1488" s="448"/>
      <c r="F1488" s="448"/>
      <c r="G1488" s="448"/>
      <c r="H1488" s="448"/>
      <c r="I1488" s="448"/>
      <c r="J1488" s="448"/>
      <c r="K1488" s="448"/>
      <c r="L1488" s="448"/>
      <c r="M1488" s="448"/>
      <c r="N1488" s="448"/>
      <c r="O1488" s="448"/>
      <c r="P1488" s="448"/>
      <c r="Q1488" s="448"/>
      <c r="R1488" s="448"/>
      <c r="S1488" s="448"/>
      <c r="T1488" s="448"/>
      <c r="U1488" s="448"/>
      <c r="V1488" s="448"/>
      <c r="W1488" s="448"/>
      <c r="X1488" s="448"/>
      <c r="Y1488" s="448"/>
      <c r="Z1488" s="448"/>
      <c r="AA1488" s="448"/>
      <c r="AB1488" s="448"/>
      <c r="AC1488" s="448"/>
      <c r="AD1488" s="448"/>
      <c r="AE1488" s="448"/>
      <c r="AF1488" s="448"/>
      <c r="AG1488" s="448"/>
      <c r="AH1488" s="448"/>
      <c r="AI1488" s="448"/>
      <c r="AJ1488" s="448"/>
      <c r="AK1488" s="448"/>
      <c r="AL1488" s="448"/>
      <c r="AM1488" s="448"/>
      <c r="AN1488" s="448"/>
      <c r="AO1488" s="448"/>
      <c r="AP1488" s="448"/>
      <c r="AQ1488" s="448"/>
      <c r="AR1488" s="448"/>
      <c r="AS1488" s="448"/>
      <c r="AT1488" s="448"/>
      <c r="AU1488" s="448"/>
      <c r="AV1488" s="448"/>
      <c r="AW1488" s="448"/>
      <c r="AX1488" s="448"/>
      <c r="AY1488" s="448"/>
      <c r="AZ1488" s="448"/>
      <c r="BA1488" s="448"/>
      <c r="BB1488" s="448"/>
      <c r="BC1488" s="448"/>
      <c r="BD1488" s="448"/>
      <c r="BE1488" s="448"/>
      <c r="BF1488" s="448"/>
      <c r="BG1488" s="448"/>
      <c r="BH1488" s="448"/>
      <c r="BI1488" s="448"/>
      <c r="BJ1488" s="448"/>
      <c r="BK1488" s="448"/>
      <c r="BL1488" s="448"/>
      <c r="BM1488" s="448"/>
      <c r="BN1488" s="448"/>
      <c r="BO1488" s="448"/>
      <c r="BP1488" s="448"/>
      <c r="BQ1488" s="448"/>
      <c r="BR1488" s="448"/>
      <c r="BS1488" s="448"/>
      <c r="BT1488" s="448"/>
      <c r="BU1488" s="448"/>
      <c r="BV1488" s="448"/>
      <c r="BW1488" s="448"/>
      <c r="BX1488" s="448"/>
      <c r="BY1488" s="448"/>
      <c r="BZ1488" s="6"/>
    </row>
    <row r="1489" spans="1:186" s="450" customFormat="1" ht="21.75" customHeight="1">
      <c r="A1489" s="451"/>
    </row>
    <row r="1490" spans="1:186" s="476" customFormat="1" ht="21.75" customHeight="1">
      <c r="A1490" s="477"/>
    </row>
    <row r="1491" spans="1:186" s="565" customFormat="1" ht="21.75" customHeight="1">
      <c r="A1491" s="566"/>
      <c r="BX1491" s="567"/>
    </row>
    <row r="1492" spans="1:186" s="497" customFormat="1" ht="21.75" customHeight="1">
      <c r="A1492" s="533"/>
    </row>
    <row r="1493" spans="1:186" s="448" customFormat="1" ht="21.75" customHeight="1">
      <c r="A1493" s="449"/>
    </row>
    <row r="1494" spans="1:186" s="497" customFormat="1" ht="21.75" customHeight="1">
      <c r="A1494" s="533"/>
    </row>
    <row r="1495" spans="1:186" s="495" customFormat="1" ht="21.75" customHeight="1">
      <c r="A1495" s="539"/>
    </row>
    <row r="1496" spans="1:186" s="495" customFormat="1" ht="21.75" customHeight="1">
      <c r="A1496" s="539"/>
      <c r="GB1496" s="538"/>
      <c r="GD1496" s="539"/>
    </row>
    <row r="1497" spans="1:186" s="496" customFormat="1" ht="21.75" customHeight="1">
      <c r="A1497" s="535"/>
    </row>
    <row r="1498" spans="1:186" ht="21.75" customHeight="1">
      <c r="A1498" s="194"/>
      <c r="B1498" s="6"/>
      <c r="C1498" s="6"/>
      <c r="D1498" s="6"/>
      <c r="E1498" s="6"/>
      <c r="F1498" s="6"/>
      <c r="G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O1498" s="6"/>
      <c r="AP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</row>
    <row r="1499" spans="1:186" s="496" customFormat="1" ht="21.75" customHeight="1">
      <c r="A1499" s="535"/>
    </row>
    <row r="1500" spans="1:186" s="496" customFormat="1" ht="21.75" customHeight="1">
      <c r="A1500" s="535"/>
    </row>
    <row r="1501" spans="1:186" s="499" customFormat="1" ht="21.75" customHeight="1">
      <c r="A1501" s="543"/>
    </row>
    <row r="1502" spans="1:186" s="501" customFormat="1" ht="21.75" customHeight="1">
      <c r="A1502" s="534"/>
    </row>
    <row r="1503" spans="1:186" s="495" customFormat="1" ht="21.75" customHeight="1">
      <c r="A1503" s="534"/>
      <c r="B1503" s="501"/>
      <c r="C1503" s="501"/>
      <c r="D1503" s="501"/>
      <c r="E1503" s="501"/>
      <c r="F1503" s="501"/>
      <c r="G1503" s="501"/>
      <c r="H1503" s="501"/>
      <c r="I1503" s="501"/>
      <c r="J1503" s="501"/>
      <c r="K1503" s="501"/>
      <c r="L1503" s="501"/>
      <c r="M1503" s="501"/>
      <c r="N1503" s="501"/>
      <c r="O1503" s="501"/>
      <c r="P1503" s="501"/>
      <c r="Q1503" s="501"/>
      <c r="R1503" s="501"/>
      <c r="S1503" s="501"/>
      <c r="T1503" s="501"/>
      <c r="U1503" s="501"/>
      <c r="V1503" s="501"/>
      <c r="W1503" s="501"/>
      <c r="X1503" s="501"/>
      <c r="Y1503" s="501"/>
      <c r="Z1503" s="501"/>
      <c r="AA1503" s="501"/>
      <c r="AB1503" s="501"/>
      <c r="AC1503" s="501"/>
      <c r="AD1503" s="501"/>
      <c r="AE1503" s="501"/>
      <c r="AF1503" s="501"/>
      <c r="AG1503" s="501"/>
      <c r="AH1503" s="501"/>
      <c r="AI1503" s="501"/>
      <c r="AJ1503" s="501"/>
      <c r="AK1503" s="501"/>
      <c r="AL1503" s="501"/>
      <c r="AM1503" s="501"/>
      <c r="AN1503" s="501"/>
      <c r="AO1503" s="501"/>
      <c r="AP1503" s="501"/>
      <c r="AQ1503" s="501"/>
      <c r="AR1503" s="501"/>
      <c r="AS1503" s="501"/>
      <c r="AT1503" s="501"/>
      <c r="AU1503" s="501"/>
      <c r="AV1503" s="501"/>
      <c r="AW1503" s="501"/>
      <c r="AX1503" s="501"/>
      <c r="AY1503" s="501"/>
      <c r="AZ1503" s="501"/>
      <c r="BA1503" s="501"/>
      <c r="BB1503" s="501"/>
      <c r="BC1503" s="501"/>
      <c r="BD1503" s="501"/>
      <c r="BE1503" s="501"/>
      <c r="BF1503" s="501"/>
      <c r="BG1503" s="501"/>
      <c r="BH1503" s="501"/>
      <c r="BI1503" s="501"/>
      <c r="BJ1503" s="501"/>
      <c r="BK1503" s="501"/>
      <c r="BL1503" s="501"/>
      <c r="BM1503" s="501"/>
      <c r="BN1503" s="501"/>
      <c r="BO1503" s="501"/>
      <c r="BP1503" s="501"/>
      <c r="BQ1503" s="501"/>
      <c r="BR1503" s="501"/>
      <c r="BS1503" s="501"/>
      <c r="BT1503" s="501"/>
      <c r="BU1503" s="501"/>
      <c r="BV1503" s="501"/>
      <c r="BW1503" s="501"/>
      <c r="BX1503" s="501"/>
      <c r="BY1503" s="501"/>
      <c r="BZ1503" s="501"/>
      <c r="CA1503" s="501"/>
      <c r="CB1503" s="501"/>
      <c r="CC1503" s="501"/>
      <c r="CD1503" s="501"/>
      <c r="CE1503" s="501"/>
      <c r="CF1503" s="501"/>
      <c r="CG1503" s="501"/>
      <c r="CH1503" s="501"/>
      <c r="CI1503" s="501"/>
      <c r="CJ1503" s="501"/>
      <c r="CK1503" s="501"/>
      <c r="CL1503" s="501"/>
      <c r="CM1503" s="583"/>
      <c r="CN1503" s="539"/>
    </row>
    <row r="1504" spans="1:186" s="496" customFormat="1" ht="21.75" customHeight="1">
      <c r="A1504" s="535"/>
    </row>
    <row r="1505" spans="1:1" s="450" customFormat="1" ht="21.75" customHeight="1">
      <c r="A1505" s="451"/>
    </row>
    <row r="1506" spans="1:1" s="476" customFormat="1" ht="21.75" customHeight="1">
      <c r="A1506" s="477"/>
    </row>
    <row r="1507" spans="1:1" s="496" customFormat="1" ht="21.75" customHeight="1">
      <c r="A1507" s="535"/>
    </row>
    <row r="1508" spans="1:1" s="496" customFormat="1" ht="21.75" customHeight="1">
      <c r="A1508" s="535"/>
    </row>
    <row r="1509" spans="1:1" s="496" customFormat="1" ht="21.75" customHeight="1">
      <c r="A1509" s="535"/>
    </row>
    <row r="1510" spans="1:1" s="495" customFormat="1" ht="21.75" customHeight="1">
      <c r="A1510" s="539"/>
    </row>
    <row r="1511" spans="1:1" s="505" customFormat="1" ht="21.75" customHeight="1">
      <c r="A1511" s="546"/>
    </row>
    <row r="1512" spans="1:1" s="448" customFormat="1" ht="21.75" customHeight="1">
      <c r="A1512" s="449"/>
    </row>
    <row r="1513" spans="1:1" s="496" customFormat="1" ht="21.75" customHeight="1">
      <c r="A1513" s="535"/>
    </row>
    <row r="1514" spans="1:1" s="496" customFormat="1" ht="21.75" customHeight="1">
      <c r="A1514" s="535"/>
    </row>
    <row r="1515" spans="1:1" s="497" customFormat="1" ht="21.75" customHeight="1">
      <c r="A1515" s="533"/>
    </row>
    <row r="1516" spans="1:1" s="504" customFormat="1" ht="21.75" customHeight="1">
      <c r="A1516" s="553"/>
    </row>
    <row r="1517" spans="1:1" s="496" customFormat="1" ht="21.75" customHeight="1">
      <c r="A1517" s="535"/>
    </row>
    <row r="1518" spans="1:1" s="496" customFormat="1" ht="21.75" customHeight="1">
      <c r="A1518" s="535"/>
    </row>
    <row r="1519" spans="1:1" s="497" customFormat="1" ht="21.75" customHeight="1">
      <c r="A1519" s="533"/>
    </row>
    <row r="1520" spans="1:1" s="576" customFormat="1" ht="21.75" customHeight="1">
      <c r="A1520" s="577"/>
    </row>
    <row r="1521" spans="1:78" s="495" customFormat="1" ht="21.75" customHeight="1">
      <c r="A1521" s="539"/>
    </row>
    <row r="1522" spans="1:78" s="496" customFormat="1" ht="21.75" customHeight="1">
      <c r="A1522" s="535"/>
    </row>
    <row r="1523" spans="1:78" s="497" customFormat="1" ht="21.75" customHeight="1">
      <c r="A1523" s="533"/>
    </row>
    <row r="1524" spans="1:78" s="495" customFormat="1" ht="21.75" customHeight="1">
      <c r="A1524" s="539"/>
    </row>
    <row r="1525" spans="1:78" s="496" customFormat="1" ht="21.75" customHeight="1">
      <c r="A1525" s="535"/>
    </row>
    <row r="1526" spans="1:78" s="496" customFormat="1" ht="21.75" customHeight="1">
      <c r="A1526" s="535"/>
    </row>
    <row r="1527" spans="1:78" s="496" customFormat="1" ht="21.75" customHeight="1">
      <c r="A1527" s="535"/>
    </row>
    <row r="1528" spans="1:78" ht="21.75" customHeight="1">
      <c r="A1528" s="194"/>
      <c r="B1528" s="6"/>
      <c r="C1528" s="6"/>
      <c r="D1528" s="6"/>
      <c r="E1528" s="6"/>
      <c r="F1528" s="6"/>
      <c r="G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O1528" s="6"/>
      <c r="AP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</row>
    <row r="1529" spans="1:78" s="497" customFormat="1" ht="21.75" customHeight="1">
      <c r="A1529" s="533"/>
    </row>
    <row r="1530" spans="1:78" s="504" customFormat="1" ht="21.75" customHeight="1">
      <c r="A1530" s="553"/>
    </row>
    <row r="1531" spans="1:78" s="496" customFormat="1" ht="21.75" customHeight="1">
      <c r="A1531" s="535"/>
    </row>
    <row r="1532" spans="1:78" s="496" customFormat="1" ht="21.75" customHeight="1">
      <c r="A1532" s="535"/>
    </row>
    <row r="1533" spans="1:78" s="496" customFormat="1" ht="21.75" customHeight="1">
      <c r="A1533" s="535"/>
    </row>
    <row r="1534" spans="1:78" s="496" customFormat="1" ht="21.75" customHeight="1">
      <c r="A1534" s="535"/>
    </row>
    <row r="1535" spans="1:78" s="496" customFormat="1" ht="21.75" customHeight="1">
      <c r="A1535" s="535"/>
    </row>
    <row r="1536" spans="1:78" s="496" customFormat="1" ht="21.75" customHeight="1">
      <c r="A1536" s="535"/>
    </row>
    <row r="1537" spans="1:78" s="448" customFormat="1" ht="21.75" customHeight="1">
      <c r="A1537" s="449"/>
    </row>
    <row r="1538" spans="1:78" s="496" customFormat="1" ht="21.75" customHeight="1">
      <c r="A1538" s="535"/>
    </row>
    <row r="1539" spans="1:78" s="505" customFormat="1" ht="21.75" customHeight="1">
      <c r="A1539" s="546"/>
    </row>
    <row r="1540" spans="1:78" s="496" customFormat="1" ht="21.75" customHeight="1">
      <c r="A1540" s="535"/>
    </row>
    <row r="1541" spans="1:78" s="497" customFormat="1" ht="21.75" customHeight="1">
      <c r="A1541" s="533"/>
    </row>
    <row r="1542" spans="1:78" s="495" customFormat="1" ht="21.75" customHeight="1">
      <c r="A1542" s="539"/>
    </row>
    <row r="1543" spans="1:78" s="496" customFormat="1" ht="21.75" customHeight="1">
      <c r="A1543" s="535"/>
    </row>
    <row r="1544" spans="1:78" s="497" customFormat="1" ht="21.75" customHeight="1">
      <c r="A1544" s="533"/>
    </row>
    <row r="1545" spans="1:78" s="504" customFormat="1" ht="21.75" customHeight="1">
      <c r="A1545" s="553"/>
    </row>
    <row r="1546" spans="1:78" s="497" customFormat="1" ht="21.75" customHeight="1">
      <c r="A1546" s="533"/>
    </row>
    <row r="1547" spans="1:78" s="495" customFormat="1" ht="21.75" customHeight="1">
      <c r="A1547" s="539"/>
    </row>
    <row r="1548" spans="1:78" s="584" customFormat="1" ht="21.75" customHeight="1">
      <c r="A1548" s="585"/>
    </row>
    <row r="1549" spans="1:78" ht="21.75" customHeight="1">
      <c r="A1549" s="194"/>
      <c r="B1549" s="6"/>
      <c r="C1549" s="6"/>
      <c r="D1549" s="6"/>
      <c r="E1549" s="6"/>
      <c r="F1549" s="6"/>
      <c r="G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O1549" s="6"/>
      <c r="AP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</row>
    <row r="1550" spans="1:78" ht="21.75" customHeight="1">
      <c r="A1550" s="194"/>
      <c r="B1550" s="6"/>
      <c r="C1550" s="6"/>
      <c r="D1550" s="6"/>
      <c r="E1550" s="6"/>
      <c r="F1550" s="6"/>
      <c r="G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O1550" s="6"/>
      <c r="AP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</row>
    <row r="1551" spans="1:78" s="448" customFormat="1" ht="21.75" customHeight="1">
      <c r="A1551" s="449"/>
    </row>
    <row r="1552" spans="1:78" s="524" customFormat="1" ht="21.75" customHeight="1">
      <c r="A1552" s="558"/>
    </row>
    <row r="1553" spans="1:78" s="497" customFormat="1" ht="21.75" customHeight="1">
      <c r="A1553" s="533"/>
    </row>
    <row r="1554" spans="1:78" s="495" customFormat="1" ht="21.75" customHeight="1">
      <c r="A1554" s="539"/>
    </row>
    <row r="1555" spans="1:78" s="496" customFormat="1" ht="21.75" customHeight="1">
      <c r="A1555" s="535"/>
    </row>
    <row r="1556" spans="1:78" s="496" customFormat="1" ht="21.75" customHeight="1">
      <c r="A1556" s="535"/>
    </row>
    <row r="1557" spans="1:78" ht="21.75" customHeight="1">
      <c r="A1557" s="194"/>
      <c r="B1557" s="6"/>
      <c r="C1557" s="6"/>
      <c r="D1557" s="6"/>
      <c r="E1557" s="6"/>
      <c r="F1557" s="6"/>
      <c r="G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O1557" s="6"/>
      <c r="AP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</row>
    <row r="1558" spans="1:78" s="495" customFormat="1" ht="21.75" customHeight="1">
      <c r="A1558" s="539"/>
    </row>
    <row r="1559" spans="1:78" s="496" customFormat="1" ht="21.75" customHeight="1">
      <c r="A1559" s="535"/>
    </row>
    <row r="1560" spans="1:78" s="496" customFormat="1" ht="21.75" customHeight="1">
      <c r="A1560" s="535"/>
    </row>
    <row r="1561" spans="1:78" s="497" customFormat="1" ht="21.75" customHeight="1">
      <c r="A1561" s="533"/>
    </row>
    <row r="1562" spans="1:78" s="448" customFormat="1" ht="21.75" customHeight="1">
      <c r="A1562" s="449"/>
    </row>
    <row r="1563" spans="1:78" s="497" customFormat="1" ht="21.75" customHeight="1">
      <c r="A1563" s="533"/>
    </row>
    <row r="1564" spans="1:78" s="448" customFormat="1" ht="21.75" customHeight="1">
      <c r="A1564" s="449"/>
    </row>
    <row r="1565" spans="1:78" ht="21.75" customHeight="1">
      <c r="A1565" s="194"/>
      <c r="B1565" s="6"/>
      <c r="C1565" s="6"/>
      <c r="D1565" s="6"/>
      <c r="E1565" s="6"/>
      <c r="F1565" s="6"/>
      <c r="G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O1565" s="6"/>
      <c r="AP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</row>
    <row r="1566" spans="1:78" s="496" customFormat="1" ht="21.75" customHeight="1">
      <c r="A1566" s="535"/>
    </row>
    <row r="1567" spans="1:78" s="495" customFormat="1" ht="21.75" customHeight="1">
      <c r="A1567" s="539"/>
    </row>
    <row r="1568" spans="1:78" s="496" customFormat="1" ht="21.75" customHeight="1">
      <c r="A1568" s="535"/>
    </row>
    <row r="1569" spans="1:1" s="496" customFormat="1" ht="21.75" customHeight="1">
      <c r="A1569" s="535"/>
    </row>
    <row r="1570" spans="1:1" s="496" customFormat="1" ht="21.75" customHeight="1">
      <c r="A1570" s="535"/>
    </row>
    <row r="1571" spans="1:1" s="496" customFormat="1" ht="21.75" customHeight="1">
      <c r="A1571" s="535"/>
    </row>
    <row r="1572" spans="1:1" s="450" customFormat="1" ht="21.75" customHeight="1">
      <c r="A1572" s="451"/>
    </row>
    <row r="1573" spans="1:1" s="504" customFormat="1" ht="21.75" customHeight="1">
      <c r="A1573" s="553"/>
    </row>
    <row r="1574" spans="1:1" s="496" customFormat="1" ht="21.75" customHeight="1">
      <c r="A1574" s="535"/>
    </row>
    <row r="1575" spans="1:1" s="497" customFormat="1" ht="21.75" customHeight="1">
      <c r="A1575" s="533"/>
    </row>
    <row r="1576" spans="1:1" s="547" customFormat="1" ht="21.75" customHeight="1">
      <c r="A1576" s="548"/>
    </row>
    <row r="1577" spans="1:1" s="465" customFormat="1" ht="21.75" customHeight="1">
      <c r="A1577" s="470"/>
    </row>
    <row r="1578" spans="1:1" s="495" customFormat="1" ht="21.75" customHeight="1">
      <c r="A1578" s="539"/>
    </row>
    <row r="1579" spans="1:1" s="496" customFormat="1" ht="21.75" customHeight="1">
      <c r="A1579" s="535"/>
    </row>
    <row r="1580" spans="1:1" s="496" customFormat="1" ht="21.75" customHeight="1">
      <c r="A1580" s="535"/>
    </row>
    <row r="1581" spans="1:1" s="496" customFormat="1" ht="21.75" customHeight="1">
      <c r="A1581" s="535"/>
    </row>
    <row r="1582" spans="1:1" s="496" customFormat="1" ht="21.75" customHeight="1">
      <c r="A1582" s="535"/>
    </row>
    <row r="1583" spans="1:1" s="448" customFormat="1" ht="21.75" customHeight="1">
      <c r="A1583" s="449"/>
    </row>
    <row r="1584" spans="1:1" s="496" customFormat="1" ht="21.75" customHeight="1">
      <c r="A1584" s="535"/>
    </row>
    <row r="1585" spans="1:186" ht="21.75" customHeight="1">
      <c r="A1585" s="194"/>
      <c r="B1585" s="6"/>
      <c r="C1585" s="6"/>
      <c r="D1585" s="6"/>
      <c r="E1585" s="6"/>
      <c r="F1585" s="6"/>
      <c r="G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O1585" s="6"/>
      <c r="AP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</row>
    <row r="1586" spans="1:186" s="497" customFormat="1" ht="21.75" customHeight="1">
      <c r="A1586" s="533"/>
    </row>
    <row r="1587" spans="1:186" s="495" customFormat="1" ht="21.75" customHeight="1">
      <c r="A1587" s="539"/>
    </row>
    <row r="1588" spans="1:186" ht="21.75" customHeight="1">
      <c r="A1588" s="194"/>
      <c r="B1588" s="6"/>
      <c r="C1588" s="6"/>
      <c r="D1588" s="6"/>
      <c r="E1588" s="6"/>
      <c r="F1588" s="6"/>
      <c r="G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O1588" s="6"/>
      <c r="AP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</row>
    <row r="1589" spans="1:186" s="495" customFormat="1" ht="21.75" customHeight="1">
      <c r="A1589" s="539"/>
    </row>
    <row r="1590" spans="1:186" s="496" customFormat="1" ht="21.75" customHeight="1">
      <c r="A1590" s="194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6"/>
      <c r="DW1590" s="6"/>
      <c r="DX1590" s="6"/>
      <c r="DY1590" s="6"/>
      <c r="DZ1590" s="6"/>
      <c r="EA1590" s="6"/>
      <c r="EB1590" s="6"/>
      <c r="EC1590" s="6"/>
      <c r="ED1590" s="6"/>
      <c r="EE1590" s="6"/>
      <c r="EF1590" s="6"/>
      <c r="EG1590" s="6"/>
      <c r="EH1590" s="6"/>
      <c r="EI1590" s="6"/>
      <c r="EJ1590" s="6"/>
      <c r="EK1590" s="6"/>
      <c r="EL1590" s="6"/>
      <c r="EM1590" s="6"/>
      <c r="EN1590" s="6"/>
      <c r="EO1590" s="6"/>
      <c r="EP1590" s="6"/>
      <c r="EQ1590" s="6"/>
      <c r="ER1590" s="6"/>
      <c r="ES1590" s="6"/>
      <c r="ET1590" s="6"/>
      <c r="EU1590" s="6"/>
      <c r="EV1590" s="6"/>
      <c r="EW1590" s="6"/>
      <c r="EX1590" s="6"/>
      <c r="EY1590" s="6"/>
      <c r="EZ1590" s="6"/>
      <c r="FA1590" s="6"/>
      <c r="FB1590" s="6"/>
      <c r="FC1590" s="6"/>
      <c r="FD1590" s="6"/>
      <c r="FE1590" s="6"/>
      <c r="FF1590" s="6"/>
      <c r="FG1590" s="6"/>
      <c r="FH1590" s="6"/>
      <c r="FI1590" s="6"/>
      <c r="FJ1590" s="6"/>
      <c r="FK1590" s="6"/>
      <c r="FL1590" s="6"/>
      <c r="FM1590" s="6"/>
      <c r="FN1590" s="6"/>
      <c r="FO1590" s="6"/>
      <c r="FP1590" s="6"/>
      <c r="FQ1590" s="6"/>
      <c r="FR1590" s="6"/>
      <c r="FS1590" s="6"/>
      <c r="FT1590" s="6"/>
      <c r="FU1590" s="6"/>
      <c r="FV1590" s="6"/>
      <c r="FW1590" s="6"/>
      <c r="FX1590" s="6"/>
      <c r="FY1590" s="6"/>
      <c r="FZ1590" s="6"/>
      <c r="GA1590" s="6"/>
      <c r="GB1590" s="6"/>
      <c r="GC1590" s="6"/>
      <c r="GD1590" s="6"/>
    </row>
    <row r="1591" spans="1:186" s="496" customFormat="1" ht="21.75" customHeight="1">
      <c r="A1591" s="535"/>
    </row>
    <row r="1592" spans="1:186" s="497" customFormat="1" ht="21.75" customHeight="1">
      <c r="A1592" s="533"/>
    </row>
    <row r="1593" spans="1:186" s="448" customFormat="1" ht="21.75" customHeight="1">
      <c r="A1593" s="449"/>
    </row>
    <row r="1594" spans="1:186" ht="21.75" customHeight="1">
      <c r="A1594" s="194"/>
      <c r="B1594" s="6"/>
      <c r="C1594" s="6"/>
      <c r="D1594" s="6"/>
      <c r="E1594" s="6"/>
      <c r="F1594" s="6"/>
      <c r="G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O1594" s="6"/>
      <c r="AP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</row>
    <row r="1595" spans="1:186" s="496" customFormat="1" ht="21.75" customHeight="1">
      <c r="A1595" s="535"/>
    </row>
    <row r="1596" spans="1:186" s="495" customFormat="1" ht="21.75" customHeight="1">
      <c r="A1596" s="539"/>
    </row>
    <row r="1597" spans="1:186" s="496" customFormat="1" ht="21.75" customHeight="1">
      <c r="A1597" s="535"/>
    </row>
    <row r="1598" spans="1:186" s="468" customFormat="1" ht="21.75" customHeight="1">
      <c r="A1598" s="469"/>
    </row>
    <row r="1599" spans="1:186" s="476" customFormat="1" ht="21.75" customHeight="1">
      <c r="A1599" s="477"/>
    </row>
    <row r="1600" spans="1:186" s="496" customFormat="1" ht="21.75" customHeight="1">
      <c r="A1600" s="535"/>
    </row>
    <row r="1601" spans="1:186" s="468" customFormat="1" ht="21.75" customHeight="1">
      <c r="A1601" s="469"/>
    </row>
    <row r="1602" spans="1:186" s="495" customFormat="1" ht="21.75" customHeight="1">
      <c r="A1602" s="539"/>
    </row>
    <row r="1603" spans="1:186" ht="21.75" customHeight="1">
      <c r="A1603" s="194"/>
      <c r="B1603" s="6"/>
      <c r="C1603" s="6"/>
      <c r="D1603" s="6"/>
      <c r="E1603" s="6"/>
      <c r="F1603" s="6"/>
      <c r="G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O1603" s="6"/>
      <c r="AP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</row>
    <row r="1604" spans="1:186" ht="21.75" customHeight="1">
      <c r="A1604" s="194"/>
      <c r="B1604" s="6"/>
      <c r="C1604" s="6"/>
      <c r="D1604" s="6"/>
      <c r="E1604" s="6"/>
      <c r="F1604" s="6"/>
      <c r="G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O1604" s="6"/>
      <c r="AP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</row>
    <row r="1605" spans="1:186" s="497" customFormat="1" ht="21.75" customHeight="1">
      <c r="A1605" s="533"/>
    </row>
    <row r="1606" spans="1:186" s="448" customFormat="1" ht="21.75" customHeight="1">
      <c r="A1606" s="449"/>
    </row>
    <row r="1607" spans="1:186" ht="21.75" customHeight="1">
      <c r="A1607" s="194"/>
      <c r="B1607" s="6"/>
      <c r="C1607" s="6"/>
      <c r="D1607" s="6"/>
      <c r="E1607" s="6"/>
      <c r="F1607" s="6"/>
      <c r="G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O1607" s="6"/>
      <c r="AP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</row>
    <row r="1608" spans="1:186" s="496" customFormat="1" ht="21.75" customHeight="1">
      <c r="A1608" s="535"/>
    </row>
    <row r="1609" spans="1:186" s="448" customFormat="1" ht="21.75" customHeight="1">
      <c r="A1609" s="449"/>
    </row>
    <row r="1610" spans="1:186" s="497" customFormat="1" ht="21.75" customHeight="1">
      <c r="A1610" s="533"/>
    </row>
    <row r="1611" spans="1:186" s="495" customFormat="1" ht="21.75" customHeight="1">
      <c r="A1611" s="449"/>
      <c r="B1611" s="448"/>
      <c r="C1611" s="448"/>
      <c r="D1611" s="448"/>
      <c r="E1611" s="448"/>
      <c r="F1611" s="448"/>
      <c r="G1611" s="448"/>
      <c r="H1611" s="448"/>
      <c r="I1611" s="448"/>
      <c r="J1611" s="448"/>
      <c r="K1611" s="448"/>
      <c r="L1611" s="448"/>
      <c r="M1611" s="448"/>
      <c r="N1611" s="448"/>
      <c r="O1611" s="448"/>
      <c r="P1611" s="448"/>
      <c r="Q1611" s="448"/>
      <c r="R1611" s="448"/>
      <c r="S1611" s="448"/>
      <c r="T1611" s="448"/>
      <c r="U1611" s="448"/>
      <c r="V1611" s="448"/>
      <c r="W1611" s="448"/>
      <c r="X1611" s="448"/>
      <c r="Y1611" s="448"/>
      <c r="Z1611" s="448"/>
      <c r="AA1611" s="448"/>
      <c r="AB1611" s="448"/>
      <c r="AC1611" s="448"/>
      <c r="AD1611" s="448"/>
      <c r="AE1611" s="448"/>
      <c r="AF1611" s="448"/>
      <c r="AG1611" s="448"/>
      <c r="AH1611" s="448"/>
      <c r="AI1611" s="448"/>
      <c r="AJ1611" s="448"/>
      <c r="AK1611" s="448"/>
      <c r="AL1611" s="448"/>
      <c r="AM1611" s="448"/>
      <c r="AN1611" s="448"/>
      <c r="AO1611" s="448"/>
      <c r="AP1611" s="448"/>
      <c r="AQ1611" s="448"/>
      <c r="AR1611" s="448"/>
      <c r="AS1611" s="448"/>
      <c r="AT1611" s="448"/>
      <c r="AU1611" s="448"/>
      <c r="AV1611" s="448"/>
      <c r="AW1611" s="448"/>
      <c r="AX1611" s="448"/>
      <c r="AY1611" s="448"/>
      <c r="AZ1611" s="448"/>
      <c r="BA1611" s="448"/>
      <c r="BB1611" s="448"/>
      <c r="BC1611" s="448"/>
      <c r="BD1611" s="448"/>
      <c r="BE1611" s="448"/>
      <c r="BF1611" s="448"/>
      <c r="BG1611" s="448"/>
      <c r="BH1611" s="448"/>
      <c r="BI1611" s="448"/>
      <c r="BJ1611" s="448"/>
      <c r="BK1611" s="448"/>
      <c r="BL1611" s="448"/>
      <c r="BM1611" s="448"/>
      <c r="BN1611" s="448"/>
      <c r="BO1611" s="448"/>
      <c r="BP1611" s="448"/>
      <c r="BQ1611" s="448"/>
      <c r="BR1611" s="448"/>
      <c r="BS1611" s="448"/>
      <c r="BT1611" s="448"/>
      <c r="BU1611" s="448"/>
      <c r="BV1611" s="448"/>
      <c r="BW1611" s="448"/>
      <c r="BX1611" s="448"/>
      <c r="BY1611" s="448"/>
      <c r="BZ1611" s="448"/>
      <c r="CA1611" s="448"/>
      <c r="CB1611" s="448"/>
      <c r="CC1611" s="448"/>
      <c r="CD1611" s="448"/>
      <c r="CE1611" s="448"/>
      <c r="CF1611" s="448"/>
      <c r="CG1611" s="448"/>
      <c r="CH1611" s="448"/>
      <c r="CI1611" s="448"/>
      <c r="CJ1611" s="448"/>
      <c r="CK1611" s="448"/>
      <c r="CL1611" s="448"/>
      <c r="CM1611" s="448"/>
      <c r="CN1611" s="448"/>
      <c r="CO1611" s="448"/>
      <c r="CP1611" s="448"/>
      <c r="CQ1611" s="448"/>
      <c r="CR1611" s="448"/>
      <c r="CS1611" s="448"/>
      <c r="CT1611" s="448"/>
      <c r="CU1611" s="448"/>
      <c r="CV1611" s="448"/>
      <c r="CW1611" s="448"/>
      <c r="CX1611" s="448"/>
      <c r="CY1611" s="448"/>
      <c r="CZ1611" s="448"/>
      <c r="DA1611" s="448"/>
      <c r="DB1611" s="448"/>
      <c r="DC1611" s="448"/>
      <c r="DD1611" s="448"/>
      <c r="DE1611" s="448"/>
      <c r="DF1611" s="448"/>
      <c r="DG1611" s="448"/>
      <c r="DH1611" s="448"/>
      <c r="DI1611" s="448"/>
      <c r="DJ1611" s="448"/>
      <c r="DK1611" s="448"/>
      <c r="DL1611" s="448"/>
      <c r="DM1611" s="448"/>
      <c r="DN1611" s="448"/>
      <c r="DO1611" s="448"/>
      <c r="DP1611" s="448"/>
      <c r="DQ1611" s="448"/>
      <c r="DR1611" s="448"/>
      <c r="DS1611" s="448"/>
      <c r="DT1611" s="448"/>
      <c r="DU1611" s="448"/>
      <c r="DV1611" s="448"/>
      <c r="DW1611" s="448"/>
      <c r="DX1611" s="448"/>
      <c r="DY1611" s="448"/>
      <c r="DZ1611" s="448"/>
      <c r="EA1611" s="448"/>
      <c r="EB1611" s="448"/>
      <c r="EC1611" s="448"/>
      <c r="ED1611" s="448"/>
      <c r="EE1611" s="448"/>
      <c r="EF1611" s="448"/>
      <c r="EG1611" s="448"/>
      <c r="EH1611" s="448"/>
      <c r="EI1611" s="448"/>
      <c r="EJ1611" s="448"/>
      <c r="EK1611" s="448"/>
      <c r="EL1611" s="448"/>
      <c r="EM1611" s="448"/>
      <c r="EN1611" s="448"/>
      <c r="EO1611" s="448"/>
      <c r="EP1611" s="448"/>
      <c r="EQ1611" s="448"/>
      <c r="ER1611" s="448"/>
      <c r="ES1611" s="448"/>
      <c r="ET1611" s="448"/>
      <c r="EU1611" s="448"/>
      <c r="EV1611" s="448"/>
      <c r="EW1611" s="448"/>
      <c r="EX1611" s="448"/>
      <c r="EY1611" s="448"/>
      <c r="EZ1611" s="448"/>
      <c r="FA1611" s="448"/>
      <c r="FB1611" s="448"/>
      <c r="FC1611" s="448"/>
      <c r="FD1611" s="448"/>
      <c r="FE1611" s="448"/>
      <c r="FF1611" s="448"/>
      <c r="FG1611" s="448"/>
      <c r="FH1611" s="448"/>
      <c r="FI1611" s="448"/>
      <c r="FJ1611" s="448"/>
      <c r="FK1611" s="448"/>
      <c r="FL1611" s="448"/>
      <c r="FM1611" s="448"/>
      <c r="FN1611" s="448"/>
      <c r="FO1611" s="448"/>
      <c r="FP1611" s="448"/>
      <c r="FQ1611" s="448"/>
      <c r="FR1611" s="448"/>
      <c r="FS1611" s="448"/>
      <c r="FT1611" s="448"/>
      <c r="FU1611" s="448"/>
      <c r="FV1611" s="448"/>
      <c r="FW1611" s="448"/>
      <c r="FX1611" s="448"/>
      <c r="FY1611" s="448"/>
      <c r="FZ1611" s="448"/>
      <c r="GA1611" s="448"/>
      <c r="GB1611" s="448"/>
      <c r="GC1611" s="448"/>
      <c r="GD1611" s="448"/>
    </row>
    <row r="1612" spans="1:186" s="496" customFormat="1" ht="21.75" customHeight="1">
      <c r="A1612" s="535"/>
    </row>
    <row r="1613" spans="1:186" s="496" customFormat="1" ht="21.75" customHeight="1">
      <c r="A1613" s="535"/>
    </row>
    <row r="1614" spans="1:186" s="496" customFormat="1" ht="21.75" customHeight="1">
      <c r="A1614" s="535"/>
    </row>
    <row r="1615" spans="1:186" s="501" customFormat="1" ht="21.75" customHeight="1">
      <c r="A1615" s="534"/>
    </row>
    <row r="1616" spans="1:186" s="495" customFormat="1" ht="21.75" customHeight="1">
      <c r="A1616" s="539"/>
    </row>
    <row r="1617" spans="1:78" s="496" customFormat="1" ht="21.75" customHeight="1">
      <c r="A1617" s="535"/>
    </row>
    <row r="1618" spans="1:78" s="496" customFormat="1" ht="21.75" customHeight="1">
      <c r="A1618" s="535"/>
    </row>
    <row r="1619" spans="1:78" ht="21.75" customHeight="1">
      <c r="A1619" s="194"/>
      <c r="B1619" s="6"/>
      <c r="C1619" s="6"/>
      <c r="D1619" s="6"/>
      <c r="E1619" s="6"/>
      <c r="F1619" s="6"/>
      <c r="G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O1619" s="6"/>
      <c r="AP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</row>
    <row r="1620" spans="1:78" ht="21.75" customHeight="1">
      <c r="A1620" s="194"/>
      <c r="B1620" s="6"/>
      <c r="C1620" s="6"/>
      <c r="D1620" s="6"/>
      <c r="E1620" s="6"/>
      <c r="F1620" s="6"/>
      <c r="G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O1620" s="6"/>
      <c r="AP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</row>
    <row r="1621" spans="1:78" s="497" customFormat="1" ht="21.75" customHeight="1">
      <c r="A1621" s="533"/>
    </row>
    <row r="1622" spans="1:78" s="495" customFormat="1" ht="21.75" customHeight="1">
      <c r="A1622" s="539"/>
    </row>
    <row r="1623" spans="1:78" s="496" customFormat="1" ht="21.75" customHeight="1">
      <c r="A1623" s="535"/>
    </row>
    <row r="1624" spans="1:78" s="497" customFormat="1" ht="21.75" customHeight="1">
      <c r="A1624" s="533"/>
    </row>
    <row r="1625" spans="1:78" s="495" customFormat="1" ht="21.75" customHeight="1">
      <c r="A1625" s="539"/>
    </row>
    <row r="1626" spans="1:78" s="450" customFormat="1" ht="21.75" customHeight="1">
      <c r="A1626" s="451"/>
    </row>
    <row r="1627" spans="1:78" s="495" customFormat="1" ht="21.75" customHeight="1">
      <c r="A1627" s="539"/>
    </row>
    <row r="1628" spans="1:78" s="496" customFormat="1" ht="21.75" customHeight="1">
      <c r="A1628" s="535"/>
    </row>
    <row r="1629" spans="1:78" s="497" customFormat="1" ht="21.75" customHeight="1">
      <c r="A1629" s="533"/>
    </row>
    <row r="1630" spans="1:78" s="448" customFormat="1" ht="21.75" customHeight="1">
      <c r="A1630" s="449"/>
    </row>
    <row r="1631" spans="1:78" s="496" customFormat="1" ht="21.75" customHeight="1">
      <c r="A1631" s="535"/>
    </row>
    <row r="1632" spans="1:78" s="450" customFormat="1" ht="21.75" customHeight="1">
      <c r="A1632" s="451"/>
    </row>
    <row r="1633" spans="1:186" s="495" customFormat="1" ht="21.75" customHeight="1">
      <c r="A1633" s="539"/>
    </row>
    <row r="1634" spans="1:186" s="496" customFormat="1" ht="21.75" customHeight="1">
      <c r="A1634" s="535"/>
    </row>
    <row r="1635" spans="1:186" s="496" customFormat="1" ht="21.75" customHeight="1">
      <c r="A1635" s="535"/>
    </row>
    <row r="1636" spans="1:186" ht="21.75" customHeight="1">
      <c r="A1636" s="194"/>
      <c r="B1636" s="6"/>
      <c r="C1636" s="6"/>
      <c r="D1636" s="6"/>
      <c r="E1636" s="6"/>
      <c r="F1636" s="6"/>
      <c r="G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O1636" s="6"/>
      <c r="AP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</row>
    <row r="1637" spans="1:186" s="524" customFormat="1" ht="21.75" customHeight="1">
      <c r="A1637" s="558"/>
    </row>
    <row r="1638" spans="1:186" s="529" customFormat="1" ht="21.75" customHeight="1">
      <c r="A1638" s="449"/>
      <c r="B1638" s="448"/>
      <c r="C1638" s="448"/>
      <c r="D1638" s="448"/>
      <c r="E1638" s="448"/>
      <c r="F1638" s="448"/>
      <c r="G1638" s="448"/>
      <c r="H1638" s="448"/>
      <c r="I1638" s="448"/>
      <c r="J1638" s="448"/>
      <c r="K1638" s="448"/>
      <c r="L1638" s="448"/>
      <c r="M1638" s="448"/>
      <c r="N1638" s="448"/>
      <c r="O1638" s="448"/>
      <c r="P1638" s="448"/>
      <c r="Q1638" s="448"/>
      <c r="R1638" s="448"/>
      <c r="S1638" s="448"/>
      <c r="T1638" s="448"/>
      <c r="U1638" s="448"/>
      <c r="V1638" s="448"/>
      <c r="W1638" s="448"/>
      <c r="X1638" s="448"/>
      <c r="Y1638" s="448"/>
      <c r="Z1638" s="448"/>
      <c r="AA1638" s="448"/>
      <c r="AB1638" s="448"/>
      <c r="AC1638" s="448"/>
      <c r="AD1638" s="448"/>
      <c r="AE1638" s="448"/>
      <c r="AF1638" s="448"/>
      <c r="AG1638" s="448"/>
      <c r="AH1638" s="448"/>
      <c r="AI1638" s="448"/>
      <c r="AJ1638" s="448"/>
      <c r="AK1638" s="448"/>
      <c r="AL1638" s="448"/>
      <c r="AM1638" s="448"/>
      <c r="AN1638" s="448"/>
      <c r="AO1638" s="448"/>
      <c r="AP1638" s="448"/>
      <c r="AQ1638" s="448"/>
      <c r="AR1638" s="448"/>
      <c r="AS1638" s="448"/>
      <c r="AT1638" s="448"/>
      <c r="AU1638" s="448"/>
      <c r="AV1638" s="448"/>
      <c r="AW1638" s="448"/>
      <c r="AX1638" s="448"/>
      <c r="AY1638" s="448"/>
      <c r="AZ1638" s="448"/>
      <c r="BA1638" s="448"/>
      <c r="BB1638" s="448"/>
      <c r="BC1638" s="448"/>
      <c r="BD1638" s="448"/>
      <c r="BE1638" s="448"/>
      <c r="BF1638" s="448"/>
      <c r="BG1638" s="448"/>
      <c r="BH1638" s="448"/>
      <c r="BI1638" s="448"/>
      <c r="BJ1638" s="448"/>
      <c r="BK1638" s="448"/>
      <c r="BL1638" s="448"/>
      <c r="BM1638" s="448"/>
      <c r="BN1638" s="448"/>
      <c r="BO1638" s="448"/>
      <c r="BP1638" s="448"/>
      <c r="BQ1638" s="448"/>
      <c r="BR1638" s="448"/>
      <c r="BS1638" s="448"/>
      <c r="BT1638" s="448"/>
      <c r="BU1638" s="448"/>
      <c r="BV1638" s="448"/>
      <c r="BW1638" s="448"/>
      <c r="BX1638" s="448"/>
      <c r="BY1638" s="448"/>
      <c r="BZ1638" s="448"/>
      <c r="CA1638" s="448"/>
      <c r="CB1638" s="448"/>
      <c r="CC1638" s="448"/>
      <c r="CD1638" s="448"/>
      <c r="CE1638" s="448"/>
      <c r="CF1638" s="448"/>
      <c r="CG1638" s="448"/>
      <c r="CH1638" s="448"/>
      <c r="CI1638" s="448"/>
      <c r="CJ1638" s="448"/>
      <c r="CK1638" s="448"/>
      <c r="CL1638" s="448"/>
      <c r="CM1638" s="448"/>
      <c r="CN1638" s="448"/>
      <c r="CO1638" s="448"/>
      <c r="CP1638" s="448"/>
      <c r="CQ1638" s="448"/>
      <c r="CR1638" s="448"/>
      <c r="CS1638" s="448"/>
      <c r="CT1638" s="448"/>
      <c r="CU1638" s="448"/>
      <c r="CV1638" s="448"/>
      <c r="CW1638" s="448"/>
      <c r="CX1638" s="448"/>
      <c r="CY1638" s="448"/>
      <c r="CZ1638" s="448"/>
      <c r="DA1638" s="448"/>
      <c r="DB1638" s="448"/>
      <c r="DC1638" s="448"/>
      <c r="DD1638" s="448"/>
      <c r="DE1638" s="448"/>
      <c r="DF1638" s="448"/>
      <c r="DG1638" s="448"/>
      <c r="DH1638" s="448"/>
      <c r="DI1638" s="448"/>
      <c r="DJ1638" s="448"/>
      <c r="DK1638" s="448"/>
      <c r="DL1638" s="448"/>
      <c r="DM1638" s="448"/>
      <c r="DN1638" s="448"/>
      <c r="DO1638" s="448"/>
      <c r="DP1638" s="448"/>
      <c r="DQ1638" s="448"/>
      <c r="DR1638" s="448"/>
      <c r="DS1638" s="448"/>
      <c r="DT1638" s="448"/>
      <c r="DU1638" s="448"/>
      <c r="DV1638" s="448"/>
      <c r="DW1638" s="448"/>
      <c r="DX1638" s="448"/>
      <c r="DY1638" s="448"/>
      <c r="DZ1638" s="448"/>
      <c r="EA1638" s="448"/>
      <c r="EB1638" s="448"/>
      <c r="EC1638" s="448"/>
      <c r="ED1638" s="448"/>
      <c r="EE1638" s="448"/>
      <c r="EF1638" s="448"/>
      <c r="EG1638" s="448"/>
      <c r="EH1638" s="448"/>
      <c r="EI1638" s="448"/>
      <c r="EJ1638" s="448"/>
      <c r="EK1638" s="448"/>
      <c r="EL1638" s="448"/>
      <c r="EM1638" s="448"/>
      <c r="EN1638" s="448"/>
      <c r="EO1638" s="448"/>
      <c r="EP1638" s="448"/>
      <c r="EQ1638" s="448"/>
      <c r="ER1638" s="448"/>
      <c r="ES1638" s="448"/>
      <c r="ET1638" s="448"/>
      <c r="EU1638" s="448"/>
      <c r="EV1638" s="448"/>
      <c r="EW1638" s="448"/>
      <c r="EX1638" s="448"/>
      <c r="EY1638" s="448"/>
      <c r="EZ1638" s="448"/>
      <c r="FA1638" s="448"/>
      <c r="FB1638" s="448"/>
      <c r="FC1638" s="448"/>
      <c r="FD1638" s="448"/>
      <c r="FE1638" s="448"/>
      <c r="FF1638" s="448"/>
      <c r="FG1638" s="448"/>
      <c r="FH1638" s="448"/>
      <c r="FI1638" s="448"/>
      <c r="FJ1638" s="448"/>
      <c r="FK1638" s="448"/>
      <c r="FL1638" s="448"/>
      <c r="FM1638" s="448"/>
      <c r="FN1638" s="448"/>
      <c r="FO1638" s="448"/>
      <c r="FP1638" s="448"/>
      <c r="FQ1638" s="448"/>
      <c r="FR1638" s="448"/>
      <c r="FS1638" s="448"/>
      <c r="FT1638" s="448"/>
      <c r="FU1638" s="448"/>
      <c r="FV1638" s="448"/>
      <c r="FW1638" s="448"/>
      <c r="FX1638" s="448"/>
      <c r="FY1638" s="448"/>
      <c r="FZ1638" s="448"/>
      <c r="GA1638" s="448"/>
      <c r="GB1638" s="448"/>
      <c r="GC1638" s="448"/>
      <c r="GD1638" s="448"/>
    </row>
    <row r="1639" spans="1:186" s="496" customFormat="1" ht="21.75" customHeight="1">
      <c r="A1639" s="535"/>
    </row>
    <row r="1640" spans="1:186" s="496" customFormat="1" ht="21.75" customHeight="1">
      <c r="A1640" s="535"/>
    </row>
    <row r="1641" spans="1:186" s="448" customFormat="1" ht="21.75" customHeight="1">
      <c r="A1641" s="449"/>
    </row>
    <row r="1642" spans="1:186" s="496" customFormat="1" ht="21.75" customHeight="1">
      <c r="A1642" s="535"/>
    </row>
    <row r="1643" spans="1:186" s="496" customFormat="1" ht="21.75" customHeight="1">
      <c r="A1643" s="535"/>
    </row>
    <row r="1644" spans="1:186" s="478" customFormat="1" ht="21.75" customHeight="1">
      <c r="A1644" s="479"/>
    </row>
    <row r="1645" spans="1:186" s="501" customFormat="1" ht="21.75" customHeight="1">
      <c r="A1645" s="534"/>
    </row>
    <row r="1646" spans="1:186" s="466" customFormat="1" ht="21.75" customHeight="1">
      <c r="A1646" s="467"/>
    </row>
    <row r="1647" spans="1:186" s="495" customFormat="1" ht="21.75" customHeight="1">
      <c r="A1647" s="539"/>
    </row>
    <row r="1648" spans="1:186" s="496" customFormat="1" ht="21.75" customHeight="1">
      <c r="A1648" s="535"/>
    </row>
    <row r="1649" spans="1:78" s="497" customFormat="1" ht="21.75" customHeight="1">
      <c r="A1649" s="533"/>
    </row>
    <row r="1650" spans="1:78" s="495" customFormat="1" ht="21.75" customHeight="1">
      <c r="A1650" s="539"/>
    </row>
    <row r="1651" spans="1:78" s="496" customFormat="1" ht="21.75" customHeight="1">
      <c r="A1651" s="535"/>
    </row>
    <row r="1652" spans="1:78" s="505" customFormat="1" ht="21.75" customHeight="1">
      <c r="A1652" s="546"/>
    </row>
    <row r="1653" spans="1:78" s="496" customFormat="1" ht="21.75" customHeight="1">
      <c r="A1653" s="535"/>
    </row>
    <row r="1654" spans="1:78" s="450" customFormat="1" ht="21.75" customHeight="1">
      <c r="A1654" s="451"/>
    </row>
    <row r="1655" spans="1:78" s="448" customFormat="1" ht="21.75" customHeight="1">
      <c r="A1655" s="449"/>
    </row>
    <row r="1656" spans="1:78" s="504" customFormat="1" ht="21.75" customHeight="1">
      <c r="A1656" s="553"/>
    </row>
    <row r="1657" spans="1:78" s="497" customFormat="1" ht="21.75" customHeight="1">
      <c r="A1657" s="533"/>
    </row>
    <row r="1658" spans="1:78" s="448" customFormat="1" ht="21.75" customHeight="1">
      <c r="A1658" s="449"/>
    </row>
    <row r="1659" spans="1:78" ht="21.75" customHeight="1">
      <c r="A1659" s="194"/>
      <c r="B1659" s="6"/>
      <c r="C1659" s="6"/>
      <c r="D1659" s="6"/>
      <c r="E1659" s="6"/>
      <c r="F1659" s="6"/>
      <c r="G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O1659" s="6"/>
      <c r="AP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</row>
    <row r="1660" spans="1:78" s="450" customFormat="1" ht="21.75" customHeight="1">
      <c r="A1660" s="451"/>
    </row>
    <row r="1661" spans="1:78" s="495" customFormat="1" ht="21.75" customHeight="1">
      <c r="A1661" s="539"/>
    </row>
    <row r="1662" spans="1:78" s="448" customFormat="1" ht="21.75" customHeight="1">
      <c r="A1662" s="449"/>
    </row>
    <row r="1663" spans="1:78" s="450" customFormat="1" ht="21.75" customHeight="1">
      <c r="A1663" s="451"/>
    </row>
    <row r="1664" spans="1:78" s="501" customFormat="1" ht="21.75" customHeight="1">
      <c r="A1664" s="534"/>
    </row>
    <row r="1665" spans="1:78" s="500" customFormat="1" ht="21.75" customHeight="1">
      <c r="A1665" s="552"/>
    </row>
    <row r="1666" spans="1:78" s="496" customFormat="1" ht="21.75" customHeight="1">
      <c r="A1666" s="535"/>
    </row>
    <row r="1667" spans="1:78" s="496" customFormat="1" ht="21.75" customHeight="1">
      <c r="A1667" s="535"/>
    </row>
    <row r="1668" spans="1:78" s="496" customFormat="1" ht="21.75" customHeight="1">
      <c r="A1668" s="535"/>
    </row>
    <row r="1669" spans="1:78" ht="21.75" customHeight="1">
      <c r="A1669" s="194"/>
      <c r="B1669" s="6"/>
      <c r="C1669" s="6"/>
      <c r="D1669" s="6"/>
      <c r="E1669" s="6"/>
      <c r="F1669" s="6"/>
      <c r="G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O1669" s="6"/>
      <c r="AP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</row>
    <row r="1670" spans="1:78" s="496" customFormat="1" ht="21.75" customHeight="1">
      <c r="A1670" s="535"/>
    </row>
    <row r="1671" spans="1:78" ht="21.75" customHeight="1">
      <c r="A1671" s="194"/>
      <c r="B1671" s="6"/>
      <c r="C1671" s="6"/>
      <c r="D1671" s="6"/>
      <c r="E1671" s="6"/>
      <c r="F1671" s="6"/>
      <c r="G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O1671" s="6"/>
      <c r="AP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</row>
    <row r="1672" spans="1:78" s="495" customFormat="1" ht="21.75" customHeight="1">
      <c r="A1672" s="539"/>
    </row>
    <row r="1673" spans="1:78" ht="21.75" customHeight="1">
      <c r="A1673" s="194"/>
      <c r="B1673" s="6"/>
      <c r="C1673" s="6"/>
      <c r="D1673" s="6"/>
      <c r="E1673" s="6"/>
      <c r="F1673" s="6"/>
      <c r="G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O1673" s="6"/>
      <c r="AP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</row>
    <row r="1674" spans="1:78" ht="21.75" customHeight="1">
      <c r="A1674" s="194"/>
      <c r="B1674" s="6"/>
      <c r="C1674" s="6"/>
      <c r="D1674" s="6"/>
      <c r="E1674" s="6"/>
      <c r="F1674" s="6"/>
      <c r="G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O1674" s="6"/>
      <c r="AP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</row>
    <row r="1675" spans="1:78" s="496" customFormat="1" ht="21.75" customHeight="1">
      <c r="A1675" s="535"/>
    </row>
    <row r="1676" spans="1:78" s="448" customFormat="1" ht="21.75" customHeight="1">
      <c r="A1676" s="449"/>
    </row>
    <row r="1677" spans="1:78" s="496" customFormat="1" ht="21.75" customHeight="1">
      <c r="A1677" s="535"/>
    </row>
    <row r="1678" spans="1:78" s="468" customFormat="1" ht="21.75" customHeight="1">
      <c r="A1678" s="469"/>
    </row>
    <row r="1679" spans="1:78" s="448" customFormat="1" ht="21.75" customHeight="1">
      <c r="A1679" s="449"/>
    </row>
    <row r="1680" spans="1:78" s="497" customFormat="1" ht="21.75" customHeight="1">
      <c r="A1680" s="533"/>
    </row>
    <row r="1681" spans="1:78" s="448" customFormat="1" ht="21.75" customHeight="1">
      <c r="A1681" s="449"/>
    </row>
    <row r="1682" spans="1:78" s="450" customFormat="1" ht="21.75" customHeight="1">
      <c r="A1682" s="451"/>
    </row>
    <row r="1683" spans="1:78" s="448" customFormat="1" ht="21.75" customHeight="1">
      <c r="A1683" s="449"/>
    </row>
    <row r="1684" spans="1:78" ht="21.75" customHeight="1">
      <c r="A1684" s="194"/>
      <c r="B1684" s="6"/>
      <c r="C1684" s="6"/>
      <c r="D1684" s="6"/>
      <c r="E1684" s="6"/>
      <c r="F1684" s="6"/>
      <c r="G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O1684" s="6"/>
      <c r="AP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</row>
    <row r="1685" spans="1:78" s="496" customFormat="1" ht="21.75" customHeight="1">
      <c r="A1685" s="535"/>
    </row>
    <row r="1686" spans="1:78" ht="21.75" customHeight="1">
      <c r="A1686" s="194"/>
      <c r="B1686" s="6"/>
      <c r="C1686" s="6"/>
      <c r="D1686" s="6"/>
      <c r="E1686" s="6"/>
      <c r="F1686" s="6"/>
      <c r="G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O1686" s="6"/>
      <c r="AP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</row>
    <row r="1687" spans="1:78" s="495" customFormat="1" ht="21.75" customHeight="1">
      <c r="A1687" s="539"/>
    </row>
    <row r="1688" spans="1:78" s="450" customFormat="1" ht="21.75" customHeight="1">
      <c r="A1688" s="451"/>
    </row>
    <row r="1689" spans="1:78" s="495" customFormat="1" ht="21.75" customHeight="1">
      <c r="A1689" s="539"/>
    </row>
    <row r="1690" spans="1:78" s="497" customFormat="1" ht="21.75" customHeight="1">
      <c r="A1690" s="533"/>
    </row>
    <row r="1691" spans="1:78" s="495" customFormat="1" ht="21.75" customHeight="1">
      <c r="A1691" s="539"/>
    </row>
    <row r="1692" spans="1:78" s="496" customFormat="1" ht="21.75" customHeight="1">
      <c r="A1692" s="535"/>
    </row>
    <row r="1693" spans="1:78" s="505" customFormat="1" ht="21.75" customHeight="1">
      <c r="A1693" s="546"/>
    </row>
    <row r="1694" spans="1:78" s="541" customFormat="1" ht="21.75" customHeight="1">
      <c r="A1694" s="559"/>
    </row>
    <row r="1695" spans="1:78" s="495" customFormat="1" ht="21.75" customHeight="1">
      <c r="A1695" s="539"/>
    </row>
    <row r="1696" spans="1:78" s="497" customFormat="1" ht="21.75" customHeight="1">
      <c r="A1696" s="533"/>
    </row>
    <row r="1697" spans="1:78" s="495" customFormat="1" ht="21.75" customHeight="1">
      <c r="A1697" s="539"/>
    </row>
    <row r="1698" spans="1:78" s="472" customFormat="1" ht="21.75" customHeight="1">
      <c r="A1698" s="473"/>
    </row>
    <row r="1699" spans="1:78" s="497" customFormat="1" ht="21.75" customHeight="1">
      <c r="A1699" s="533"/>
    </row>
    <row r="1700" spans="1:78" s="495" customFormat="1" ht="21.75" customHeight="1">
      <c r="A1700" s="539"/>
    </row>
    <row r="1701" spans="1:78" ht="21.75" customHeight="1">
      <c r="A1701" s="194"/>
      <c r="B1701" s="6"/>
      <c r="C1701" s="6"/>
      <c r="D1701" s="6"/>
      <c r="E1701" s="6"/>
      <c r="F1701" s="6"/>
      <c r="G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O1701" s="6"/>
      <c r="AP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</row>
    <row r="1702" spans="1:78" ht="21.75" customHeight="1">
      <c r="A1702" s="194"/>
      <c r="B1702" s="6"/>
      <c r="C1702" s="6"/>
      <c r="D1702" s="6"/>
      <c r="E1702" s="6"/>
      <c r="F1702" s="6"/>
      <c r="G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O1702" s="6"/>
      <c r="AP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</row>
    <row r="1703" spans="1:78" s="450" customFormat="1" ht="21.75" customHeight="1">
      <c r="A1703" s="451"/>
    </row>
    <row r="1704" spans="1:78" s="468" customFormat="1" ht="21.75" customHeight="1">
      <c r="A1704" s="469"/>
    </row>
    <row r="1705" spans="1:78" s="495" customFormat="1" ht="21.75" customHeight="1">
      <c r="A1705" s="539"/>
    </row>
    <row r="1706" spans="1:78" s="504" customFormat="1" ht="21.75" customHeight="1">
      <c r="A1706" s="553"/>
    </row>
    <row r="1707" spans="1:78" s="496" customFormat="1" ht="21.75" customHeight="1">
      <c r="A1707" s="535"/>
    </row>
    <row r="1708" spans="1:78" ht="21.75" customHeight="1">
      <c r="A1708" s="194"/>
      <c r="B1708" s="6"/>
      <c r="C1708" s="6"/>
      <c r="D1708" s="6"/>
      <c r="E1708" s="6"/>
      <c r="F1708" s="6"/>
      <c r="G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O1708" s="6"/>
      <c r="AP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</row>
    <row r="1709" spans="1:78" s="461" customFormat="1" ht="21.75" customHeight="1">
      <c r="A1709" s="462"/>
    </row>
    <row r="1710" spans="1:78" s="495" customFormat="1" ht="21.75" customHeight="1">
      <c r="A1710" s="539"/>
    </row>
    <row r="1711" spans="1:78" s="497" customFormat="1" ht="21.75" customHeight="1">
      <c r="A1711" s="533"/>
    </row>
    <row r="1712" spans="1:78" s="495" customFormat="1" ht="21.75" customHeight="1">
      <c r="A1712" s="539"/>
    </row>
    <row r="1713" spans="1:1" s="496" customFormat="1" ht="21.75" customHeight="1">
      <c r="A1713" s="535"/>
    </row>
    <row r="1714" spans="1:1" s="496" customFormat="1" ht="21.75" customHeight="1">
      <c r="A1714" s="535"/>
    </row>
    <row r="1715" spans="1:1" s="496" customFormat="1" ht="21.75" customHeight="1">
      <c r="A1715" s="535"/>
    </row>
    <row r="1716" spans="1:1" s="495" customFormat="1" ht="21.75" customHeight="1">
      <c r="A1716" s="539"/>
    </row>
    <row r="1717" spans="1:1" s="496" customFormat="1" ht="21.75" customHeight="1">
      <c r="A1717" s="535"/>
    </row>
    <row r="1718" spans="1:1" s="450" customFormat="1" ht="21.75" customHeight="1">
      <c r="A1718" s="451"/>
    </row>
    <row r="1719" spans="1:1" s="547" customFormat="1" ht="21.75" customHeight="1">
      <c r="A1719" s="548"/>
    </row>
    <row r="1720" spans="1:1" s="495" customFormat="1" ht="21.75" customHeight="1">
      <c r="A1720" s="539"/>
    </row>
    <row r="1721" spans="1:1" s="496" customFormat="1" ht="21.75" customHeight="1">
      <c r="A1721" s="535"/>
    </row>
    <row r="1722" spans="1:1" s="496" customFormat="1" ht="21.75" customHeight="1">
      <c r="A1722" s="535"/>
    </row>
    <row r="1723" spans="1:1" s="497" customFormat="1" ht="21.75" customHeight="1">
      <c r="A1723" s="533"/>
    </row>
    <row r="1724" spans="1:1" s="495" customFormat="1" ht="21.75" customHeight="1">
      <c r="A1724" s="539"/>
    </row>
    <row r="1725" spans="1:1" s="495" customFormat="1" ht="21.75" customHeight="1">
      <c r="A1725" s="539"/>
    </row>
    <row r="1726" spans="1:1" s="496" customFormat="1" ht="21.75" customHeight="1">
      <c r="A1726" s="535"/>
    </row>
    <row r="1727" spans="1:1" s="497" customFormat="1" ht="21.75" customHeight="1">
      <c r="A1727" s="533"/>
    </row>
    <row r="1728" spans="1:1" s="495" customFormat="1" ht="21.75" customHeight="1">
      <c r="A1728" s="539"/>
    </row>
    <row r="1729" spans="1:78" s="496" customFormat="1" ht="21.75" customHeight="1">
      <c r="A1729" s="535"/>
    </row>
    <row r="1730" spans="1:78" s="496" customFormat="1" ht="21.75" customHeight="1">
      <c r="A1730" s="535"/>
    </row>
    <row r="1731" spans="1:78" s="450" customFormat="1" ht="21.75" customHeight="1">
      <c r="A1731" s="451"/>
    </row>
    <row r="1732" spans="1:78" s="468" customFormat="1" ht="21.75" customHeight="1">
      <c r="A1732" s="469"/>
    </row>
    <row r="1733" spans="1:78" s="448" customFormat="1" ht="21.75" customHeight="1">
      <c r="A1733" s="449"/>
    </row>
    <row r="1734" spans="1:78" s="497" customFormat="1" ht="21.75" customHeight="1">
      <c r="A1734" s="533"/>
    </row>
    <row r="1735" spans="1:78" s="495" customFormat="1" ht="21.75" customHeight="1">
      <c r="A1735" s="539"/>
    </row>
    <row r="1736" spans="1:78" s="505" customFormat="1" ht="21.75" customHeight="1">
      <c r="A1736" s="546"/>
    </row>
    <row r="1737" spans="1:78" s="496" customFormat="1" ht="21.75" customHeight="1">
      <c r="A1737" s="535"/>
    </row>
    <row r="1738" spans="1:78" s="496" customFormat="1" ht="21.75" customHeight="1">
      <c r="A1738" s="535"/>
    </row>
    <row r="1739" spans="1:78" ht="21.75" customHeight="1">
      <c r="A1739" s="194"/>
      <c r="B1739" s="6"/>
      <c r="C1739" s="6"/>
      <c r="D1739" s="6"/>
      <c r="E1739" s="6"/>
      <c r="F1739" s="6"/>
      <c r="G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O1739" s="6"/>
      <c r="AP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</row>
    <row r="1740" spans="1:78" s="496" customFormat="1" ht="21.75" customHeight="1">
      <c r="A1740" s="535"/>
    </row>
    <row r="1741" spans="1:78" s="468" customFormat="1" ht="21.75" customHeight="1">
      <c r="A1741" s="469"/>
    </row>
    <row r="1742" spans="1:78" s="448" customFormat="1" ht="21.75" customHeight="1">
      <c r="A1742" s="449"/>
    </row>
    <row r="1743" spans="1:78" ht="21.75" customHeight="1">
      <c r="A1743" s="194"/>
      <c r="B1743" s="6"/>
      <c r="C1743" s="6"/>
      <c r="D1743" s="6"/>
      <c r="E1743" s="6"/>
      <c r="F1743" s="6"/>
      <c r="G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O1743" s="6"/>
      <c r="AP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</row>
    <row r="1744" spans="1:78" s="524" customFormat="1" ht="21.75" customHeight="1">
      <c r="A1744" s="558"/>
    </row>
    <row r="1745" spans="1:78" s="496" customFormat="1" ht="21.75" customHeight="1">
      <c r="A1745" s="535"/>
    </row>
    <row r="1746" spans="1:78" ht="21.75" customHeight="1">
      <c r="A1746" s="194"/>
      <c r="B1746" s="6"/>
      <c r="C1746" s="6"/>
      <c r="D1746" s="6"/>
      <c r="E1746" s="6"/>
      <c r="F1746" s="6"/>
      <c r="G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O1746" s="6"/>
      <c r="AP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</row>
    <row r="1747" spans="1:78" ht="21.75" customHeight="1">
      <c r="A1747" s="194"/>
      <c r="B1747" s="6"/>
      <c r="C1747" s="6"/>
      <c r="D1747" s="6"/>
      <c r="E1747" s="6"/>
      <c r="F1747" s="6"/>
      <c r="G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O1747" s="6"/>
      <c r="AP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</row>
    <row r="1748" spans="1:78" s="450" customFormat="1" ht="21.75" customHeight="1">
      <c r="A1748" s="451"/>
    </row>
    <row r="1749" spans="1:78" s="468" customFormat="1" ht="21.75" customHeight="1">
      <c r="A1749" s="469"/>
    </row>
    <row r="1750" spans="1:78" s="504" customFormat="1" ht="21.75" customHeight="1">
      <c r="A1750" s="553"/>
    </row>
    <row r="1751" spans="1:78" s="496" customFormat="1" ht="21.75" customHeight="1">
      <c r="A1751" s="535"/>
    </row>
    <row r="1752" spans="1:78" s="496" customFormat="1" ht="21.75" customHeight="1">
      <c r="A1752" s="535"/>
    </row>
    <row r="1753" spans="1:78" s="496" customFormat="1" ht="21.75" customHeight="1">
      <c r="A1753" s="535"/>
    </row>
    <row r="1754" spans="1:78" s="501" customFormat="1" ht="21.75" customHeight="1">
      <c r="A1754" s="534"/>
    </row>
    <row r="1755" spans="1:78" s="476" customFormat="1" ht="21.75" customHeight="1">
      <c r="A1755" s="477"/>
    </row>
    <row r="1756" spans="1:78" s="496" customFormat="1" ht="21.75" customHeight="1">
      <c r="A1756" s="535"/>
    </row>
    <row r="1757" spans="1:78" ht="21.75" customHeight="1">
      <c r="A1757" s="194"/>
      <c r="B1757" s="6"/>
      <c r="C1757" s="6"/>
      <c r="D1757" s="6"/>
      <c r="E1757" s="6"/>
      <c r="F1757" s="6"/>
      <c r="G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O1757" s="6"/>
      <c r="AP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</row>
    <row r="1758" spans="1:78" s="496" customFormat="1" ht="21.75" customHeight="1">
      <c r="A1758" s="535"/>
    </row>
    <row r="1759" spans="1:78" ht="21.75" customHeight="1">
      <c r="A1759" s="194"/>
      <c r="B1759" s="6"/>
      <c r="C1759" s="6"/>
      <c r="D1759" s="6"/>
      <c r="E1759" s="6"/>
      <c r="F1759" s="6"/>
      <c r="G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O1759" s="6"/>
      <c r="AP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</row>
    <row r="1760" spans="1:78" s="497" customFormat="1" ht="21.75" customHeight="1">
      <c r="A1760" s="533"/>
    </row>
    <row r="1761" spans="1:78" s="448" customFormat="1" ht="21.75" customHeight="1">
      <c r="A1761" s="449"/>
    </row>
    <row r="1762" spans="1:78" s="496" customFormat="1" ht="21.75" customHeight="1">
      <c r="A1762" s="535"/>
    </row>
    <row r="1763" spans="1:78" s="450" customFormat="1" ht="21.75" customHeight="1">
      <c r="A1763" s="451"/>
    </row>
    <row r="1764" spans="1:78" s="495" customFormat="1" ht="21.75" customHeight="1">
      <c r="A1764" s="539"/>
    </row>
    <row r="1765" spans="1:78" s="496" customFormat="1" ht="21.75" customHeight="1">
      <c r="A1765" s="535"/>
    </row>
    <row r="1766" spans="1:78" s="497" customFormat="1" ht="21.75" customHeight="1">
      <c r="A1766" s="533"/>
    </row>
    <row r="1767" spans="1:78" s="448" customFormat="1" ht="21.75" customHeight="1">
      <c r="A1767" s="449"/>
    </row>
    <row r="1768" spans="1:78" s="472" customFormat="1" ht="21.75" customHeight="1">
      <c r="A1768" s="473"/>
    </row>
    <row r="1769" spans="1:78" s="448" customFormat="1" ht="21.75" customHeight="1">
      <c r="A1769" s="449"/>
    </row>
    <row r="1770" spans="1:78" s="496" customFormat="1" ht="21.75" customHeight="1">
      <c r="A1770" s="535"/>
    </row>
    <row r="1771" spans="1:78" s="452" customFormat="1" ht="21.75" customHeight="1">
      <c r="A1771" s="453"/>
    </row>
    <row r="1772" spans="1:78" s="496" customFormat="1" ht="21.75" customHeight="1">
      <c r="A1772" s="535"/>
    </row>
    <row r="1773" spans="1:78" ht="21.75" customHeight="1">
      <c r="A1773" s="194"/>
      <c r="B1773" s="6"/>
      <c r="C1773" s="6"/>
      <c r="D1773" s="6"/>
      <c r="E1773" s="6"/>
      <c r="F1773" s="6"/>
      <c r="G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O1773" s="6"/>
      <c r="AP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</row>
    <row r="1774" spans="1:78" s="500" customFormat="1" ht="21.75" customHeight="1">
      <c r="A1774" s="552"/>
    </row>
    <row r="1775" spans="1:78" s="497" customFormat="1" ht="21.75" customHeight="1">
      <c r="A1775" s="533"/>
    </row>
    <row r="1776" spans="1:78" s="504" customFormat="1" ht="21.75" customHeight="1">
      <c r="A1776" s="553"/>
    </row>
    <row r="1777" spans="1:78" s="496" customFormat="1" ht="21.75" customHeight="1">
      <c r="A1777" s="535"/>
    </row>
    <row r="1778" spans="1:78" s="496" customFormat="1" ht="21.75" customHeight="1">
      <c r="A1778" s="535"/>
    </row>
    <row r="1779" spans="1:78" ht="21.75" customHeight="1">
      <c r="A1779" s="194"/>
      <c r="B1779" s="6"/>
      <c r="C1779" s="6"/>
      <c r="D1779" s="6"/>
      <c r="E1779" s="6"/>
      <c r="F1779" s="6"/>
      <c r="G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O1779" s="6"/>
      <c r="AP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</row>
    <row r="1780" spans="1:78" s="495" customFormat="1" ht="21.75" customHeight="1">
      <c r="A1780" s="539"/>
    </row>
    <row r="1781" spans="1:78" s="450" customFormat="1" ht="21.75" customHeight="1">
      <c r="A1781" s="451"/>
    </row>
    <row r="1782" spans="1:78" s="495" customFormat="1" ht="21.75" customHeight="1">
      <c r="A1782" s="539"/>
    </row>
    <row r="1783" spans="1:78" s="497" customFormat="1" ht="21.75" customHeight="1">
      <c r="A1783" s="533"/>
    </row>
    <row r="1784" spans="1:78" s="474" customFormat="1" ht="21.75" customHeight="1">
      <c r="A1784" s="475"/>
    </row>
    <row r="1785" spans="1:78" ht="21.75" customHeight="1">
      <c r="A1785" s="194"/>
      <c r="B1785" s="6"/>
      <c r="C1785" s="6"/>
      <c r="D1785" s="6"/>
      <c r="E1785" s="6"/>
      <c r="F1785" s="6"/>
      <c r="G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O1785" s="6"/>
      <c r="AP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</row>
    <row r="1786" spans="1:78" s="496" customFormat="1" ht="21.75" customHeight="1">
      <c r="A1786" s="535"/>
    </row>
    <row r="1787" spans="1:78" s="497" customFormat="1" ht="21.75" customHeight="1">
      <c r="A1787" s="533"/>
    </row>
    <row r="1788" spans="1:78" s="504" customFormat="1" ht="21.75" customHeight="1">
      <c r="A1788" s="553"/>
    </row>
    <row r="1789" spans="1:78" s="496" customFormat="1" ht="21.75" customHeight="1">
      <c r="A1789" s="535"/>
    </row>
    <row r="1790" spans="1:78" s="496" customFormat="1" ht="21.75" customHeight="1">
      <c r="A1790" s="535"/>
    </row>
    <row r="1791" spans="1:78" s="497" customFormat="1" ht="21.75" customHeight="1">
      <c r="A1791" s="533"/>
    </row>
    <row r="1792" spans="1:78" s="448" customFormat="1" ht="21.75" customHeight="1">
      <c r="A1792" s="449"/>
    </row>
    <row r="1793" spans="1:78" s="472" customFormat="1" ht="21.75" customHeight="1">
      <c r="A1793" s="473"/>
    </row>
    <row r="1794" spans="1:78" s="495" customFormat="1" ht="21.75" customHeight="1">
      <c r="A1794" s="539"/>
    </row>
    <row r="1795" spans="1:78" ht="21.75" customHeight="1">
      <c r="A1795" s="194"/>
      <c r="B1795" s="6"/>
      <c r="C1795" s="6"/>
      <c r="D1795" s="6"/>
      <c r="E1795" s="6"/>
      <c r="F1795" s="6"/>
      <c r="G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O1795" s="6"/>
      <c r="AP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</row>
    <row r="1796" spans="1:78" s="497" customFormat="1" ht="21.75" customHeight="1">
      <c r="A1796" s="533"/>
    </row>
    <row r="1797" spans="1:78" s="448" customFormat="1" ht="21.75" customHeight="1">
      <c r="A1797" s="449"/>
    </row>
    <row r="1798" spans="1:78" s="496" customFormat="1" ht="21.75" customHeight="1">
      <c r="A1798" s="535"/>
    </row>
    <row r="1799" spans="1:78" s="496" customFormat="1" ht="21.75" customHeight="1">
      <c r="A1799" s="535"/>
    </row>
    <row r="1800" spans="1:78" s="496" customFormat="1" ht="21.75" customHeight="1">
      <c r="A1800" s="535"/>
    </row>
    <row r="1801" spans="1:78" s="496" customFormat="1" ht="21.75" customHeight="1">
      <c r="A1801" s="535"/>
    </row>
    <row r="1802" spans="1:78" ht="21.75" customHeight="1">
      <c r="A1802" s="194"/>
      <c r="B1802" s="6"/>
      <c r="C1802" s="6"/>
      <c r="D1802" s="6"/>
      <c r="E1802" s="6"/>
      <c r="F1802" s="6"/>
      <c r="G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O1802" s="6"/>
      <c r="AP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</row>
    <row r="1803" spans="1:78" s="496" customFormat="1" ht="21.75" customHeight="1">
      <c r="A1803" s="535"/>
    </row>
    <row r="1804" spans="1:78" ht="21.75" customHeight="1">
      <c r="A1804" s="194"/>
      <c r="B1804" s="6"/>
      <c r="C1804" s="6"/>
      <c r="D1804" s="6"/>
      <c r="E1804" s="6"/>
      <c r="F1804" s="6"/>
      <c r="G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O1804" s="6"/>
      <c r="AP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</row>
    <row r="1805" spans="1:78" s="497" customFormat="1" ht="21.75" customHeight="1">
      <c r="A1805" s="533"/>
    </row>
    <row r="1806" spans="1:78" s="495" customFormat="1" ht="21.75" customHeight="1">
      <c r="A1806" s="539"/>
    </row>
    <row r="1807" spans="1:78" ht="21.75" customHeight="1">
      <c r="A1807" s="194"/>
      <c r="B1807" s="6"/>
      <c r="C1807" s="6"/>
      <c r="D1807" s="6"/>
      <c r="E1807" s="6"/>
      <c r="F1807" s="6"/>
      <c r="G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O1807" s="6"/>
      <c r="AP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</row>
    <row r="1808" spans="1:78" ht="21.75" customHeight="1">
      <c r="A1808" s="194"/>
      <c r="B1808" s="6"/>
      <c r="C1808" s="6"/>
      <c r="D1808" s="6"/>
      <c r="E1808" s="6"/>
      <c r="F1808" s="6"/>
      <c r="G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O1808" s="6"/>
      <c r="AP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</row>
    <row r="1809" spans="1:78" s="496" customFormat="1" ht="21.75" customHeight="1">
      <c r="A1809" s="535"/>
    </row>
    <row r="1810" spans="1:78" ht="21.75" customHeight="1">
      <c r="A1810" s="194"/>
      <c r="B1810" s="6"/>
      <c r="C1810" s="6"/>
      <c r="D1810" s="6"/>
      <c r="E1810" s="6"/>
      <c r="F1810" s="6"/>
      <c r="G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O1810" s="6"/>
      <c r="AP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</row>
    <row r="1811" spans="1:78" ht="21.75" customHeight="1">
      <c r="A1811" s="194"/>
      <c r="B1811" s="6"/>
      <c r="C1811" s="6"/>
      <c r="D1811" s="6"/>
      <c r="E1811" s="6"/>
      <c r="F1811" s="6"/>
      <c r="G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O1811" s="6"/>
      <c r="AP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</row>
    <row r="1812" spans="1:78" s="496" customFormat="1" ht="21.75" customHeight="1">
      <c r="A1812" s="535"/>
    </row>
    <row r="1813" spans="1:78" s="450" customFormat="1" ht="21.75" customHeight="1">
      <c r="A1813" s="451"/>
    </row>
    <row r="1814" spans="1:78" s="468" customFormat="1" ht="21.75" customHeight="1">
      <c r="A1814" s="469"/>
    </row>
    <row r="1815" spans="1:78" s="495" customFormat="1" ht="21.75" customHeight="1">
      <c r="A1815" s="539"/>
    </row>
    <row r="1816" spans="1:78" s="448" customFormat="1" ht="21.75" customHeight="1">
      <c r="A1816" s="449"/>
    </row>
    <row r="1817" spans="1:78" ht="21.75" customHeight="1">
      <c r="A1817" s="194"/>
      <c r="B1817" s="6"/>
      <c r="C1817" s="6"/>
      <c r="D1817" s="6"/>
      <c r="E1817" s="6"/>
      <c r="F1817" s="6"/>
      <c r="G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O1817" s="6"/>
      <c r="AP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</row>
    <row r="1818" spans="1:78" s="496" customFormat="1" ht="21.75" customHeight="1">
      <c r="A1818" s="535"/>
    </row>
    <row r="1819" spans="1:78" s="496" customFormat="1" ht="21.75" customHeight="1">
      <c r="A1819" s="535"/>
    </row>
    <row r="1820" spans="1:78" ht="21.75" customHeight="1">
      <c r="A1820" s="194"/>
      <c r="B1820" s="6"/>
      <c r="C1820" s="6"/>
      <c r="D1820" s="6"/>
      <c r="E1820" s="6"/>
      <c r="F1820" s="6"/>
      <c r="G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O1820" s="6"/>
      <c r="AP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</row>
    <row r="1821" spans="1:78" s="496" customFormat="1" ht="21.75" customHeight="1">
      <c r="A1821" s="535"/>
    </row>
    <row r="1822" spans="1:78" s="478" customFormat="1" ht="21.75" customHeight="1">
      <c r="A1822" s="479"/>
    </row>
    <row r="1823" spans="1:78" s="495" customFormat="1" ht="21.75" customHeight="1">
      <c r="A1823" s="539"/>
    </row>
    <row r="1824" spans="1:78" s="497" customFormat="1" ht="21.75" customHeight="1">
      <c r="A1824" s="533"/>
    </row>
    <row r="1825" spans="1:78" s="476" customFormat="1" ht="21.75" customHeight="1">
      <c r="A1825" s="477"/>
    </row>
    <row r="1826" spans="1:78" ht="21.75" customHeight="1">
      <c r="A1826" s="194"/>
      <c r="B1826" s="6"/>
      <c r="C1826" s="6"/>
      <c r="D1826" s="6"/>
      <c r="E1826" s="6"/>
      <c r="F1826" s="6"/>
      <c r="G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O1826" s="6"/>
      <c r="AP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</row>
    <row r="1827" spans="1:78" s="496" customFormat="1" ht="21.75" customHeight="1">
      <c r="A1827" s="535"/>
    </row>
    <row r="1828" spans="1:78" s="496" customFormat="1" ht="21.75" customHeight="1">
      <c r="A1828" s="535"/>
    </row>
    <row r="1829" spans="1:78" ht="21.75" customHeight="1">
      <c r="A1829" s="194"/>
      <c r="B1829" s="6"/>
      <c r="C1829" s="6"/>
      <c r="D1829" s="6"/>
      <c r="E1829" s="6"/>
      <c r="F1829" s="6"/>
      <c r="G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O1829" s="6"/>
      <c r="AP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</row>
    <row r="1830" spans="1:78" s="496" customFormat="1" ht="21.75" customHeight="1">
      <c r="A1830" s="535"/>
    </row>
    <row r="1831" spans="1:78" s="496" customFormat="1" ht="21.75" customHeight="1">
      <c r="A1831" s="535"/>
    </row>
    <row r="1832" spans="1:78" s="505" customFormat="1" ht="21.75" customHeight="1">
      <c r="A1832" s="546"/>
    </row>
    <row r="1833" spans="1:78" s="496" customFormat="1" ht="21.75" customHeight="1">
      <c r="A1833" s="535"/>
    </row>
    <row r="1834" spans="1:78" s="501" customFormat="1" ht="21.75" customHeight="1">
      <c r="A1834" s="534"/>
    </row>
    <row r="1835" spans="1:78" s="496" customFormat="1" ht="21.75" customHeight="1">
      <c r="A1835" s="535"/>
    </row>
    <row r="1836" spans="1:78" ht="21.75" customHeight="1">
      <c r="A1836" s="194"/>
      <c r="B1836" s="6"/>
      <c r="C1836" s="6"/>
      <c r="D1836" s="6"/>
      <c r="E1836" s="6"/>
      <c r="F1836" s="6"/>
      <c r="G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O1836" s="6"/>
      <c r="AP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</row>
    <row r="1837" spans="1:78" s="499" customFormat="1" ht="21.75" customHeight="1">
      <c r="A1837" s="543"/>
    </row>
    <row r="1838" spans="1:78" s="496" customFormat="1" ht="21.75" customHeight="1">
      <c r="A1838" s="535"/>
    </row>
    <row r="1839" spans="1:78" s="496" customFormat="1" ht="21.75" customHeight="1">
      <c r="A1839" s="535"/>
    </row>
    <row r="1840" spans="1:78" s="448" customFormat="1" ht="21.75" customHeight="1">
      <c r="A1840" s="449"/>
    </row>
    <row r="1841" spans="1:78" ht="21.75" customHeight="1">
      <c r="A1841" s="194"/>
      <c r="B1841" s="6"/>
      <c r="C1841" s="6"/>
      <c r="D1841" s="6"/>
      <c r="E1841" s="6"/>
      <c r="F1841" s="6"/>
      <c r="G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O1841" s="6"/>
      <c r="AP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</row>
    <row r="1842" spans="1:78" ht="21.75" customHeight="1">
      <c r="A1842" s="194"/>
      <c r="B1842" s="6"/>
      <c r="C1842" s="6"/>
      <c r="D1842" s="6"/>
      <c r="E1842" s="6"/>
      <c r="F1842" s="6"/>
      <c r="G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O1842" s="6"/>
      <c r="AP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</row>
    <row r="1843" spans="1:78" ht="21.75" customHeight="1">
      <c r="A1843" s="194"/>
      <c r="B1843" s="6"/>
      <c r="C1843" s="6"/>
      <c r="D1843" s="6"/>
      <c r="E1843" s="6"/>
      <c r="F1843" s="6"/>
      <c r="G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O1843" s="6"/>
      <c r="AP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</row>
    <row r="1844" spans="1:78" ht="21.75" customHeight="1">
      <c r="A1844" s="194"/>
      <c r="B1844" s="6"/>
      <c r="C1844" s="6"/>
      <c r="D1844" s="6"/>
      <c r="E1844" s="6"/>
      <c r="F1844" s="6"/>
      <c r="G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O1844" s="6"/>
      <c r="AP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</row>
    <row r="1845" spans="1:78" s="497" customFormat="1" ht="21.75" customHeight="1">
      <c r="A1845" s="533"/>
    </row>
    <row r="1846" spans="1:78" s="448" customFormat="1" ht="21.75" customHeight="1">
      <c r="A1846" s="449"/>
    </row>
    <row r="1847" spans="1:78" s="496" customFormat="1" ht="21.75" customHeight="1">
      <c r="A1847" s="535"/>
    </row>
    <row r="1848" spans="1:78" s="496" customFormat="1" ht="21.75" customHeight="1">
      <c r="A1848" s="535"/>
    </row>
    <row r="1849" spans="1:78" s="450" customFormat="1" ht="21.75" customHeight="1">
      <c r="A1849" s="451"/>
    </row>
    <row r="1850" spans="1:78" s="497" customFormat="1" ht="21.75" customHeight="1"/>
    <row r="1851" spans="1:78" s="448" customFormat="1" ht="21.75" customHeight="1"/>
    <row r="1852" spans="1:78" s="450" customFormat="1" ht="21.75" customHeight="1"/>
    <row r="1853" spans="1:78" s="495" customFormat="1" ht="21.75" customHeight="1"/>
    <row r="1854" spans="1:78" s="495" customFormat="1" ht="21.75" customHeight="1"/>
    <row r="1855" spans="1:78" ht="21.75" customHeight="1">
      <c r="A1855" s="6"/>
      <c r="B1855" s="6"/>
      <c r="C1855" s="6"/>
      <c r="D1855" s="6"/>
      <c r="E1855" s="6"/>
      <c r="F1855" s="6"/>
      <c r="G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O1855" s="6"/>
      <c r="AP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</row>
    <row r="1856" spans="1:78" s="496" customFormat="1" ht="21.75" customHeight="1"/>
    <row r="1857" spans="1:78" s="496" customFormat="1" ht="21.75" customHeight="1"/>
    <row r="1858" spans="1:78" s="496" customFormat="1" ht="21.75" customHeight="1"/>
    <row r="1859" spans="1:78" s="497" customFormat="1" ht="21.75" customHeight="1"/>
    <row r="1860" spans="1:78" s="474" customFormat="1" ht="21.75" customHeight="1"/>
    <row r="1861" spans="1:78" ht="21.75" customHeight="1">
      <c r="A1861" s="6"/>
      <c r="B1861" s="6"/>
      <c r="C1861" s="6"/>
      <c r="D1861" s="6"/>
      <c r="E1861" s="6"/>
      <c r="F1861" s="6"/>
      <c r="G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O1861" s="6"/>
      <c r="AP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</row>
    <row r="1862" spans="1:78" s="496" customFormat="1" ht="21.75" customHeight="1"/>
    <row r="1863" spans="1:78" s="501" customFormat="1" ht="21.75" customHeight="1"/>
    <row r="1864" spans="1:78" s="495" customFormat="1" ht="21.75" customHeight="1"/>
    <row r="1865" spans="1:78" s="476" customFormat="1" ht="21.75" customHeight="1"/>
    <row r="1866" spans="1:78" s="472" customFormat="1" ht="21.75" customHeight="1"/>
    <row r="1867" spans="1:78" s="496" customFormat="1" ht="21.75" customHeight="1"/>
    <row r="1868" spans="1:78" s="496" customFormat="1" ht="21.75" customHeight="1"/>
    <row r="1869" spans="1:78" s="505" customFormat="1" ht="21.75" customHeight="1"/>
    <row r="1870" spans="1:78" ht="21.75" customHeight="1">
      <c r="A1870" s="6"/>
      <c r="B1870" s="6"/>
      <c r="C1870" s="6"/>
      <c r="D1870" s="6"/>
      <c r="E1870" s="6"/>
      <c r="F1870" s="6"/>
      <c r="G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O1870" s="6"/>
      <c r="AP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/>
      <c r="BY1870" s="6"/>
      <c r="BZ1870" s="6"/>
    </row>
    <row r="1871" spans="1:78" ht="21.75" customHeight="1">
      <c r="A1871" s="6"/>
      <c r="B1871" s="6"/>
      <c r="C1871" s="6"/>
      <c r="D1871" s="6"/>
      <c r="E1871" s="6"/>
      <c r="F1871" s="6"/>
      <c r="G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O1871" s="6"/>
      <c r="AP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  <c r="BW1871" s="6"/>
      <c r="BX1871" s="6"/>
      <c r="BY1871" s="6"/>
      <c r="BZ1871" s="6"/>
    </row>
    <row r="1872" spans="1:78" s="496" customFormat="1" ht="21.75" customHeight="1"/>
    <row r="1873" spans="1:78" s="496" customFormat="1" ht="21.75" customHeight="1"/>
    <row r="1874" spans="1:78" s="448" customFormat="1" ht="21.75" customHeight="1"/>
    <row r="1875" spans="1:78" s="496" customFormat="1" ht="21.75" customHeight="1"/>
    <row r="1876" spans="1:78" s="496" customFormat="1" ht="21.75" customHeight="1"/>
    <row r="1877" spans="1:78" s="496" customFormat="1" ht="21.75" customHeight="1"/>
    <row r="1878" spans="1:78" s="497" customFormat="1" ht="21.75" customHeight="1"/>
    <row r="1879" spans="1:78" s="448" customFormat="1" ht="21.75" customHeight="1"/>
    <row r="1880" spans="1:78" s="527" customFormat="1" ht="21.75" customHeight="1"/>
    <row r="1881" spans="1:78" s="495" customFormat="1" ht="21.75" customHeight="1"/>
    <row r="1882" spans="1:78" s="472" customFormat="1" ht="21.75" customHeight="1"/>
    <row r="1883" spans="1:78" ht="21.75" customHeight="1">
      <c r="A1883" s="6"/>
      <c r="B1883" s="6"/>
      <c r="C1883" s="6"/>
      <c r="D1883" s="6"/>
      <c r="E1883" s="6"/>
      <c r="F1883" s="6"/>
      <c r="G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O1883" s="6"/>
      <c r="AP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6"/>
    </row>
    <row r="1884" spans="1:78" s="496" customFormat="1" ht="21.75" customHeight="1"/>
    <row r="1885" spans="1:78" s="496" customFormat="1" ht="21.75" customHeight="1"/>
    <row r="1886" spans="1:78" s="448" customFormat="1" ht="21.75" customHeight="1"/>
    <row r="1887" spans="1:78" ht="21.75" customHeight="1">
      <c r="A1887" s="6"/>
      <c r="B1887" s="6"/>
      <c r="C1887" s="6"/>
      <c r="D1887" s="6"/>
      <c r="E1887" s="6"/>
      <c r="F1887" s="6"/>
      <c r="G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O1887" s="6"/>
      <c r="AP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6"/>
    </row>
    <row r="1888" spans="1:78" s="496" customFormat="1" ht="21.75" customHeight="1"/>
    <row r="1889" spans="1:78" s="496" customFormat="1" ht="21.75" customHeight="1"/>
    <row r="1890" spans="1:78" s="497" customFormat="1" ht="21.75" customHeight="1"/>
    <row r="1891" spans="1:78" s="556" customFormat="1" ht="21.75" customHeight="1"/>
    <row r="1892" spans="1:78" s="495" customFormat="1" ht="21.75" customHeight="1"/>
    <row r="1893" spans="1:78" ht="21.75" customHeight="1">
      <c r="A1893" s="6"/>
      <c r="B1893" s="6"/>
      <c r="C1893" s="6"/>
      <c r="D1893" s="6"/>
      <c r="E1893" s="6"/>
      <c r="F1893" s="6"/>
      <c r="G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O1893" s="6"/>
      <c r="AP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6"/>
    </row>
    <row r="1894" spans="1:78" ht="21.75" customHeight="1">
      <c r="A1894" s="6"/>
      <c r="B1894" s="6"/>
      <c r="C1894" s="6"/>
      <c r="D1894" s="6"/>
      <c r="E1894" s="6"/>
      <c r="F1894" s="6"/>
      <c r="G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O1894" s="6"/>
      <c r="AP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6"/>
    </row>
    <row r="1895" spans="1:78" ht="21.75" customHeight="1">
      <c r="A1895" s="6"/>
      <c r="B1895" s="6"/>
      <c r="C1895" s="6"/>
      <c r="D1895" s="6"/>
      <c r="E1895" s="6"/>
      <c r="F1895" s="6"/>
      <c r="G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O1895" s="6"/>
      <c r="AP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  <c r="BZ1895" s="6"/>
    </row>
    <row r="1896" spans="1:78" ht="21.75" customHeight="1">
      <c r="A1896" s="6"/>
      <c r="B1896" s="6"/>
      <c r="C1896" s="6"/>
      <c r="D1896" s="6"/>
      <c r="E1896" s="6"/>
      <c r="F1896" s="6"/>
      <c r="G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O1896" s="6"/>
      <c r="AP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6"/>
    </row>
    <row r="1897" spans="1:78" s="496" customFormat="1" ht="21.75" customHeight="1"/>
    <row r="1898" spans="1:78" s="497" customFormat="1" ht="21.75" customHeight="1"/>
    <row r="1899" spans="1:78" s="495" customFormat="1" ht="21.75" customHeight="1"/>
    <row r="1900" spans="1:78" s="496" customFormat="1" ht="21.75" customHeight="1"/>
    <row r="1901" spans="1:78" s="448" customFormat="1" ht="21.75" customHeight="1"/>
    <row r="1902" spans="1:78" s="496" customFormat="1" ht="21.75" customHeight="1"/>
    <row r="1903" spans="1:78" s="505" customFormat="1" ht="21.75" customHeight="1"/>
    <row r="1904" spans="1:78" s="505" customFormat="1" ht="21.75" customHeight="1"/>
    <row r="1905" spans="1:78" s="496" customFormat="1" ht="21.75" customHeight="1"/>
    <row r="1906" spans="1:78" s="496" customFormat="1" ht="21.75" customHeight="1"/>
    <row r="1907" spans="1:78" s="496" customFormat="1" ht="21.75" customHeight="1"/>
    <row r="1908" spans="1:78" s="496" customFormat="1" ht="21.75" customHeight="1"/>
    <row r="1909" spans="1:78" ht="21.75" customHeight="1">
      <c r="A1909" s="6"/>
      <c r="B1909" s="6"/>
      <c r="C1909" s="6"/>
      <c r="D1909" s="6"/>
      <c r="E1909" s="6"/>
      <c r="F1909" s="6"/>
      <c r="G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O1909" s="6"/>
      <c r="AP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</row>
    <row r="1910" spans="1:78" s="495" customFormat="1" ht="21.75" customHeight="1"/>
    <row r="1911" spans="1:78" s="496" customFormat="1" ht="21.75" customHeight="1"/>
    <row r="1912" spans="1:78" ht="21.75" customHeight="1">
      <c r="A1912" s="6"/>
      <c r="B1912" s="6"/>
      <c r="C1912" s="6"/>
      <c r="D1912" s="6"/>
      <c r="E1912" s="6"/>
      <c r="F1912" s="6"/>
      <c r="G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O1912" s="6"/>
      <c r="AP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6"/>
    </row>
    <row r="1913" spans="1:78" ht="21.75" customHeight="1">
      <c r="A1913" s="6"/>
      <c r="B1913" s="6"/>
      <c r="C1913" s="6"/>
      <c r="D1913" s="6"/>
      <c r="E1913" s="6"/>
      <c r="F1913" s="6"/>
      <c r="G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O1913" s="6"/>
      <c r="AP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  <c r="BZ1913" s="6"/>
    </row>
    <row r="1914" spans="1:78" ht="21.75" customHeight="1">
      <c r="A1914" s="6"/>
      <c r="B1914" s="6"/>
      <c r="C1914" s="6"/>
      <c r="D1914" s="6"/>
      <c r="E1914" s="6"/>
      <c r="F1914" s="6"/>
      <c r="G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O1914" s="6"/>
      <c r="AP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</row>
    <row r="1915" spans="1:78" ht="21.75" customHeight="1">
      <c r="A1915" s="6"/>
      <c r="B1915" s="6"/>
      <c r="C1915" s="6"/>
      <c r="D1915" s="6"/>
      <c r="E1915" s="6"/>
      <c r="F1915" s="6"/>
      <c r="G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O1915" s="6"/>
      <c r="AP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  <c r="BZ1915" s="6"/>
    </row>
    <row r="1916" spans="1:78" ht="21.75" customHeight="1">
      <c r="A1916" s="6"/>
      <c r="B1916" s="6"/>
      <c r="C1916" s="6"/>
      <c r="D1916" s="6"/>
      <c r="E1916" s="6"/>
      <c r="F1916" s="6"/>
      <c r="G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O1916" s="6"/>
      <c r="AP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6"/>
    </row>
    <row r="1917" spans="1:78" s="450" customFormat="1" ht="21.75" customHeight="1"/>
    <row r="1918" spans="1:78" s="504" customFormat="1" ht="21.75" customHeight="1"/>
    <row r="1919" spans="1:78" s="505" customFormat="1" ht="21.75" customHeight="1"/>
    <row r="1920" spans="1:78" s="448" customFormat="1" ht="21.75" customHeight="1"/>
    <row r="1921" spans="1:78" ht="21.75" customHeight="1">
      <c r="A1921" s="6"/>
      <c r="B1921" s="6"/>
      <c r="C1921" s="6"/>
      <c r="D1921" s="6"/>
      <c r="E1921" s="6"/>
      <c r="F1921" s="6"/>
      <c r="G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O1921" s="6"/>
      <c r="AP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6"/>
    </row>
    <row r="1922" spans="1:78" ht="21.75" customHeight="1">
      <c r="A1922" s="6"/>
      <c r="B1922" s="6"/>
      <c r="C1922" s="6"/>
      <c r="D1922" s="6"/>
      <c r="E1922" s="6"/>
      <c r="F1922" s="6"/>
      <c r="G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O1922" s="6"/>
      <c r="AP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6"/>
    </row>
    <row r="1923" spans="1:78" s="496" customFormat="1" ht="21.75" customHeight="1"/>
    <row r="1924" spans="1:78" s="495" customFormat="1" ht="21.75" customHeight="1"/>
    <row r="1925" spans="1:78" s="496" customFormat="1" ht="21.75" customHeight="1"/>
    <row r="1926" spans="1:78" s="496" customFormat="1" ht="21.75" customHeight="1"/>
    <row r="1927" spans="1:78" ht="21.75" customHeight="1">
      <c r="A1927" s="6"/>
      <c r="B1927" s="6"/>
      <c r="C1927" s="6"/>
      <c r="D1927" s="6"/>
      <c r="E1927" s="6"/>
      <c r="F1927" s="6"/>
      <c r="G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O1927" s="6"/>
      <c r="AP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  <c r="BZ1927" s="6"/>
    </row>
    <row r="1928" spans="1:78" s="468" customFormat="1" ht="21.75" customHeight="1"/>
    <row r="1929" spans="1:78" s="448" customFormat="1" ht="21.75" customHeight="1"/>
    <row r="1930" spans="1:78" s="496" customFormat="1" ht="21.75" customHeight="1"/>
    <row r="1931" spans="1:78" s="472" customFormat="1" ht="21.75" customHeight="1"/>
    <row r="1932" spans="1:78" ht="21.75" customHeight="1">
      <c r="A1932" s="6"/>
      <c r="B1932" s="6"/>
      <c r="C1932" s="6"/>
      <c r="D1932" s="6"/>
      <c r="E1932" s="6"/>
      <c r="F1932" s="6"/>
      <c r="G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O1932" s="6"/>
      <c r="AP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  <c r="BZ1932" s="6"/>
    </row>
    <row r="1933" spans="1:78" s="496" customFormat="1" ht="21.75" customHeight="1"/>
    <row r="1934" spans="1:78" ht="21.75" customHeight="1">
      <c r="A1934" s="6"/>
      <c r="B1934" s="6"/>
      <c r="C1934" s="6"/>
      <c r="D1934" s="6"/>
      <c r="E1934" s="6"/>
      <c r="F1934" s="6"/>
      <c r="G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O1934" s="6"/>
      <c r="AP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  <c r="BZ1934" s="6"/>
    </row>
    <row r="1935" spans="1:78" s="495" customFormat="1" ht="21.75" customHeight="1"/>
    <row r="1936" spans="1:78" s="496" customFormat="1" ht="21.75" customHeight="1"/>
    <row r="1937" spans="1:78" s="496" customFormat="1" ht="21.75" customHeight="1"/>
    <row r="1938" spans="1:78" ht="21.75" customHeight="1">
      <c r="A1938" s="6"/>
      <c r="B1938" s="6"/>
      <c r="C1938" s="6"/>
      <c r="D1938" s="6"/>
      <c r="E1938" s="6"/>
      <c r="F1938" s="6"/>
      <c r="G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O1938" s="6"/>
      <c r="AP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  <c r="BZ1938" s="6"/>
    </row>
    <row r="1939" spans="1:78" s="448" customFormat="1" ht="21.75" customHeight="1"/>
    <row r="1940" spans="1:78" s="496" customFormat="1" ht="21.75" customHeight="1"/>
    <row r="1941" spans="1:78" s="496" customFormat="1" ht="21.75" customHeight="1"/>
    <row r="1942" spans="1:78" s="496" customFormat="1" ht="21.75" customHeight="1"/>
    <row r="1943" spans="1:78" ht="21.75" customHeight="1">
      <c r="A1943" s="6"/>
      <c r="B1943" s="6"/>
      <c r="C1943" s="6"/>
      <c r="D1943" s="6"/>
      <c r="E1943" s="6"/>
      <c r="F1943" s="6"/>
      <c r="G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O1943" s="6"/>
      <c r="AP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6"/>
    </row>
    <row r="1944" spans="1:78" ht="21.75" customHeight="1">
      <c r="A1944" s="6"/>
      <c r="B1944" s="6"/>
      <c r="C1944" s="6"/>
      <c r="D1944" s="6"/>
      <c r="E1944" s="6"/>
      <c r="F1944" s="6"/>
      <c r="G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O1944" s="6"/>
      <c r="AP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6"/>
    </row>
    <row r="1945" spans="1:78" s="468" customFormat="1" ht="21.75" customHeight="1"/>
    <row r="1946" spans="1:78" s="504" customFormat="1" ht="21.75" customHeight="1"/>
    <row r="1947" spans="1:78" s="504" customFormat="1" ht="21.75" customHeight="1"/>
    <row r="1948" spans="1:78" s="496" customFormat="1" ht="21.75" customHeight="1"/>
    <row r="1949" spans="1:78" s="496" customFormat="1" ht="21.75" customHeight="1"/>
    <row r="1950" spans="1:78" s="496" customFormat="1" ht="21.75" customHeight="1"/>
    <row r="1951" spans="1:78" s="496" customFormat="1" ht="21.75" customHeight="1"/>
    <row r="1952" spans="1:78" ht="21.75" customHeight="1">
      <c r="A1952" s="6"/>
      <c r="B1952" s="6"/>
      <c r="C1952" s="6"/>
      <c r="D1952" s="6"/>
      <c r="E1952" s="6"/>
      <c r="F1952" s="6"/>
      <c r="G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O1952" s="6"/>
      <c r="AP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  <c r="BZ1952" s="6"/>
    </row>
    <row r="1953" spans="1:78" s="496" customFormat="1" ht="21.75" customHeight="1"/>
    <row r="1954" spans="1:78" ht="21.75" customHeight="1">
      <c r="A1954" s="6"/>
      <c r="B1954" s="6"/>
      <c r="C1954" s="6"/>
      <c r="D1954" s="6"/>
      <c r="E1954" s="6"/>
      <c r="F1954" s="6"/>
      <c r="G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O1954" s="6"/>
      <c r="AP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/>
      <c r="BY1954" s="6"/>
      <c r="BZ1954" s="6"/>
    </row>
    <row r="1955" spans="1:78" ht="21.75" customHeight="1">
      <c r="A1955" s="6"/>
      <c r="B1955" s="6"/>
      <c r="C1955" s="6"/>
      <c r="D1955" s="6"/>
      <c r="E1955" s="6"/>
      <c r="F1955" s="6"/>
      <c r="G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O1955" s="6"/>
      <c r="AP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/>
      <c r="BY1955" s="6"/>
      <c r="BZ1955" s="6"/>
    </row>
    <row r="1956" spans="1:78" ht="21.75" customHeight="1">
      <c r="A1956" s="6"/>
      <c r="B1956" s="6"/>
      <c r="C1956" s="6"/>
      <c r="D1956" s="6"/>
      <c r="E1956" s="6"/>
      <c r="F1956" s="6"/>
      <c r="G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O1956" s="6"/>
      <c r="AP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/>
      <c r="BY1956" s="6"/>
      <c r="BZ1956" s="6"/>
    </row>
    <row r="1957" spans="1:78" s="495" customFormat="1" ht="21.75" customHeight="1"/>
    <row r="1958" spans="1:78" ht="21.75" customHeight="1">
      <c r="A1958" s="6"/>
      <c r="B1958" s="6"/>
      <c r="C1958" s="6"/>
      <c r="D1958" s="6"/>
      <c r="E1958" s="6"/>
      <c r="F1958" s="6"/>
      <c r="G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O1958" s="6"/>
      <c r="AP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/>
      <c r="BY1958" s="6"/>
      <c r="BZ1958" s="6"/>
    </row>
    <row r="1959" spans="1:78" ht="21.75" customHeight="1">
      <c r="A1959" s="6"/>
      <c r="B1959" s="6"/>
      <c r="C1959" s="6"/>
      <c r="D1959" s="6"/>
      <c r="E1959" s="6"/>
      <c r="F1959" s="6"/>
      <c r="G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O1959" s="6"/>
      <c r="AP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/>
      <c r="BY1959" s="6"/>
      <c r="BZ1959" s="6"/>
    </row>
    <row r="1960" spans="1:78" s="472" customFormat="1" ht="21.75" customHeight="1"/>
    <row r="1961" spans="1:78" ht="21.75" customHeight="1">
      <c r="A1961" s="6"/>
      <c r="B1961" s="6"/>
      <c r="C1961" s="6"/>
      <c r="D1961" s="6"/>
      <c r="E1961" s="6"/>
      <c r="F1961" s="6"/>
      <c r="G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O1961" s="6"/>
      <c r="AP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  <c r="BY1961" s="6"/>
      <c r="BZ1961" s="6"/>
    </row>
    <row r="1962" spans="1:78" s="497" customFormat="1" ht="21.75" customHeight="1"/>
    <row r="1963" spans="1:78" s="495" customFormat="1" ht="21.75" customHeight="1"/>
    <row r="1964" spans="1:78" ht="21.75" customHeight="1">
      <c r="A1964" s="6"/>
      <c r="B1964" s="6"/>
      <c r="C1964" s="6"/>
      <c r="D1964" s="6"/>
      <c r="E1964" s="6"/>
      <c r="F1964" s="6"/>
      <c r="G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O1964" s="6"/>
      <c r="AP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  <c r="BW1964" s="6"/>
      <c r="BX1964" s="6"/>
      <c r="BY1964" s="6"/>
      <c r="BZ1964" s="6"/>
    </row>
    <row r="1965" spans="1:78" s="496" customFormat="1" ht="21.75" customHeight="1"/>
    <row r="1966" spans="1:78" ht="21.75" customHeight="1">
      <c r="A1966" s="6"/>
      <c r="B1966" s="6"/>
      <c r="C1966" s="6"/>
      <c r="D1966" s="6"/>
      <c r="E1966" s="6"/>
      <c r="F1966" s="6"/>
      <c r="G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O1966" s="6"/>
      <c r="AP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  <c r="BW1966" s="6"/>
      <c r="BX1966" s="6"/>
      <c r="BY1966" s="6"/>
      <c r="BZ1966" s="6"/>
    </row>
    <row r="1967" spans="1:78" s="496" customFormat="1" ht="21.75" customHeight="1"/>
    <row r="1968" spans="1:78" s="495" customFormat="1" ht="21.75" customHeight="1"/>
    <row r="1969" spans="1:78" s="496" customFormat="1" ht="21.75" customHeight="1"/>
    <row r="1970" spans="1:78" s="496" customFormat="1" ht="21.75" customHeight="1"/>
    <row r="1971" spans="1:78" s="472" customFormat="1" ht="21.75" customHeight="1"/>
    <row r="1972" spans="1:78" ht="21.75" customHeight="1">
      <c r="A1972" s="6"/>
      <c r="B1972" s="6"/>
      <c r="C1972" s="6"/>
      <c r="D1972" s="6"/>
      <c r="E1972" s="6"/>
      <c r="F1972" s="6"/>
      <c r="G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O1972" s="6"/>
      <c r="AP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  <c r="BW1972" s="6"/>
      <c r="BX1972" s="6"/>
      <c r="BY1972" s="6"/>
      <c r="BZ1972" s="6"/>
    </row>
    <row r="1973" spans="1:78" ht="21.75" customHeight="1">
      <c r="A1973" s="6"/>
      <c r="B1973" s="6"/>
      <c r="C1973" s="6"/>
      <c r="D1973" s="6"/>
      <c r="E1973" s="6"/>
      <c r="F1973" s="6"/>
      <c r="G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O1973" s="6"/>
      <c r="AP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  <c r="BW1973" s="6"/>
      <c r="BX1973" s="6"/>
      <c r="BY1973" s="6"/>
      <c r="BZ1973" s="6"/>
    </row>
    <row r="1974" spans="1:78" s="496" customFormat="1" ht="21.75" customHeight="1"/>
    <row r="1975" spans="1:78" ht="21.75" customHeight="1">
      <c r="A1975" s="6"/>
      <c r="B1975" s="6"/>
      <c r="C1975" s="6"/>
      <c r="D1975" s="6"/>
      <c r="E1975" s="6"/>
      <c r="F1975" s="6"/>
      <c r="G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O1975" s="6"/>
      <c r="AP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  <c r="BW1975" s="6"/>
      <c r="BX1975" s="6"/>
      <c r="BY1975" s="6"/>
      <c r="BZ1975" s="6"/>
    </row>
    <row r="1976" spans="1:78" ht="21.75" customHeight="1">
      <c r="A1976" s="6"/>
      <c r="B1976" s="6"/>
      <c r="C1976" s="6"/>
      <c r="D1976" s="6"/>
      <c r="E1976" s="6"/>
      <c r="F1976" s="6"/>
      <c r="G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O1976" s="6"/>
      <c r="AP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  <c r="BW1976" s="6"/>
      <c r="BX1976" s="6"/>
      <c r="BY1976" s="6"/>
      <c r="BZ1976" s="6"/>
    </row>
    <row r="1977" spans="1:78" s="497" customFormat="1" ht="21.75" customHeight="1"/>
    <row r="1978" spans="1:78" s="476" customFormat="1" ht="21.75" customHeight="1"/>
    <row r="1979" spans="1:78" ht="21.75" customHeight="1">
      <c r="A1979" s="6"/>
      <c r="B1979" s="6"/>
      <c r="C1979" s="6"/>
      <c r="D1979" s="6"/>
      <c r="E1979" s="6"/>
      <c r="F1979" s="6"/>
      <c r="G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O1979" s="6"/>
      <c r="AP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  <c r="BW1979" s="6"/>
      <c r="BX1979" s="6"/>
      <c r="BY1979" s="6"/>
      <c r="BZ1979" s="6"/>
    </row>
    <row r="1980" spans="1:78" ht="21.75" customHeight="1">
      <c r="A1980" s="6"/>
      <c r="B1980" s="6"/>
      <c r="C1980" s="6"/>
      <c r="D1980" s="6"/>
      <c r="E1980" s="6"/>
      <c r="F1980" s="6"/>
      <c r="G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O1980" s="6"/>
      <c r="AP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  <c r="BW1980" s="6"/>
      <c r="BX1980" s="6"/>
      <c r="BY1980" s="6"/>
      <c r="BZ1980" s="6"/>
    </row>
    <row r="1981" spans="1:78" s="472" customFormat="1" ht="21.75" customHeight="1"/>
    <row r="1982" spans="1:78" ht="21.75" customHeight="1">
      <c r="A1982" s="6"/>
      <c r="B1982" s="6"/>
      <c r="C1982" s="6"/>
      <c r="D1982" s="6"/>
      <c r="E1982" s="6"/>
      <c r="F1982" s="6"/>
      <c r="G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O1982" s="6"/>
      <c r="AP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  <c r="BW1982" s="6"/>
      <c r="BX1982" s="6"/>
      <c r="BY1982" s="6"/>
      <c r="BZ1982" s="6"/>
    </row>
    <row r="1983" spans="1:78" s="450" customFormat="1" ht="21.75" customHeight="1"/>
    <row r="1984" spans="1:78" s="448" customFormat="1" ht="21.75" customHeight="1"/>
    <row r="1985" spans="1:78" s="472" customFormat="1" ht="21.75" customHeight="1"/>
    <row r="1986" spans="1:78" s="496" customFormat="1" ht="21.75" customHeight="1"/>
    <row r="1987" spans="1:78" ht="21.75" customHeight="1">
      <c r="A1987" s="6"/>
      <c r="B1987" s="6"/>
      <c r="C1987" s="6"/>
      <c r="D1987" s="6"/>
      <c r="E1987" s="6"/>
      <c r="F1987" s="6"/>
      <c r="G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O1987" s="6"/>
      <c r="AP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  <c r="BW1987" s="6"/>
      <c r="BX1987" s="6"/>
      <c r="BY1987" s="6"/>
      <c r="BZ1987" s="6"/>
    </row>
    <row r="1988" spans="1:78" s="496" customFormat="1" ht="21.75" customHeight="1"/>
    <row r="1989" spans="1:78" s="496" customFormat="1" ht="21.75" customHeight="1"/>
    <row r="1990" spans="1:78" ht="21.75" customHeight="1">
      <c r="A1990" s="6"/>
      <c r="B1990" s="6"/>
      <c r="C1990" s="6"/>
      <c r="D1990" s="6"/>
      <c r="E1990" s="6"/>
      <c r="F1990" s="6"/>
      <c r="G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O1990" s="6"/>
      <c r="AP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  <c r="BW1990" s="6"/>
      <c r="BX1990" s="6"/>
      <c r="BY1990" s="6"/>
      <c r="BZ1990" s="6"/>
    </row>
    <row r="1991" spans="1:78" s="496" customFormat="1" ht="21.75" customHeight="1"/>
    <row r="1992" spans="1:78" s="496" customFormat="1" ht="21.75" customHeight="1"/>
    <row r="1993" spans="1:78" s="495" customFormat="1" ht="21.75" customHeight="1"/>
    <row r="1994" spans="1:78" s="505" customFormat="1" ht="21.75" customHeight="1"/>
    <row r="1995" spans="1:78" s="496" customFormat="1" ht="21.75" customHeight="1"/>
    <row r="1996" spans="1:78" s="496" customFormat="1" ht="21.75" customHeight="1"/>
    <row r="1997" spans="1:78" s="496" customFormat="1" ht="21.75" customHeight="1"/>
    <row r="1998" spans="1:78" s="496" customFormat="1" ht="21.75" customHeight="1"/>
    <row r="1999" spans="1:78" s="448" customFormat="1" ht="21.75" customHeight="1"/>
    <row r="2000" spans="1:78" s="496" customFormat="1" ht="21.75" customHeight="1"/>
    <row r="2001" spans="1:78" s="505" customFormat="1" ht="21.75" customHeight="1"/>
    <row r="2002" spans="1:78" ht="21.75" customHeight="1">
      <c r="A2002" s="6"/>
      <c r="B2002" s="6"/>
      <c r="C2002" s="6"/>
      <c r="D2002" s="6"/>
      <c r="E2002" s="6"/>
      <c r="F2002" s="6"/>
      <c r="G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O2002" s="6"/>
      <c r="AP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6"/>
      <c r="BW2002" s="6"/>
      <c r="BX2002" s="6"/>
      <c r="BY2002" s="6"/>
      <c r="BZ2002" s="6"/>
    </row>
    <row r="2003" spans="1:78" s="496" customFormat="1" ht="21.75" customHeight="1"/>
    <row r="2004" spans="1:78" s="496" customFormat="1" ht="21.75" customHeight="1"/>
    <row r="2005" spans="1:78" ht="21.75" customHeight="1">
      <c r="A2005" s="6"/>
      <c r="B2005" s="6"/>
      <c r="C2005" s="6"/>
      <c r="D2005" s="6"/>
      <c r="E2005" s="6"/>
      <c r="F2005" s="6"/>
      <c r="G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O2005" s="6"/>
      <c r="AP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6"/>
      <c r="BW2005" s="6"/>
      <c r="BX2005" s="6"/>
      <c r="BY2005" s="6"/>
      <c r="BZ2005" s="6"/>
    </row>
    <row r="2006" spans="1:78" ht="21.75" customHeight="1">
      <c r="A2006" s="6"/>
      <c r="B2006" s="6"/>
      <c r="C2006" s="6"/>
      <c r="D2006" s="6"/>
      <c r="E2006" s="6"/>
      <c r="F2006" s="6"/>
      <c r="G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O2006" s="6"/>
      <c r="AP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6"/>
      <c r="BW2006" s="6"/>
      <c r="BX2006" s="6"/>
      <c r="BY2006" s="6"/>
      <c r="BZ2006" s="6"/>
    </row>
    <row r="2007" spans="1:78" s="450" customFormat="1" ht="21.75" customHeight="1"/>
    <row r="2008" spans="1:78" s="504" customFormat="1" ht="21.75" customHeight="1"/>
    <row r="2009" spans="1:78" s="505" customFormat="1" ht="21.75" customHeight="1"/>
    <row r="2010" spans="1:78" s="496" customFormat="1" ht="21.75" customHeight="1"/>
    <row r="2011" spans="1:78" ht="21.75" customHeight="1">
      <c r="A2011" s="6"/>
      <c r="B2011" s="6"/>
      <c r="C2011" s="6"/>
      <c r="D2011" s="6"/>
      <c r="E2011" s="6"/>
      <c r="F2011" s="6"/>
      <c r="G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O2011" s="6"/>
      <c r="AP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6"/>
      <c r="BW2011" s="6"/>
      <c r="BX2011" s="6"/>
      <c r="BY2011" s="6"/>
      <c r="BZ2011" s="6"/>
    </row>
    <row r="2012" spans="1:78" s="496" customFormat="1" ht="21.75" customHeight="1"/>
    <row r="2013" spans="1:78" s="496" customFormat="1" ht="21.75" customHeight="1"/>
    <row r="2014" spans="1:78" s="496" customFormat="1" ht="21.75" customHeight="1"/>
    <row r="2015" spans="1:78" ht="21.75" customHeight="1">
      <c r="A2015" s="6"/>
      <c r="B2015" s="6"/>
      <c r="C2015" s="6"/>
      <c r="D2015" s="6"/>
      <c r="E2015" s="6"/>
      <c r="F2015" s="6"/>
      <c r="G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O2015" s="6"/>
      <c r="AP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6"/>
      <c r="BW2015" s="6"/>
      <c r="BX2015" s="6"/>
      <c r="BY2015" s="6"/>
      <c r="BZ2015" s="6"/>
    </row>
    <row r="2016" spans="1:78" s="495" customFormat="1" ht="21.75" customHeight="1"/>
    <row r="2017" spans="1:186" s="496" customFormat="1" ht="21.75" customHeight="1"/>
    <row r="2018" spans="1:186" s="505" customFormat="1" ht="21.75" customHeight="1"/>
    <row r="2019" spans="1:186" s="472" customFormat="1" ht="21.75" customHeight="1"/>
    <row r="2020" spans="1:186" s="505" customFormat="1" ht="21.75" customHeight="1"/>
    <row r="2021" spans="1:186" ht="21.75" customHeight="1">
      <c r="A2021" s="6"/>
      <c r="B2021" s="6"/>
      <c r="C2021" s="6"/>
      <c r="D2021" s="6"/>
      <c r="E2021" s="6"/>
      <c r="F2021" s="6"/>
      <c r="G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O2021" s="6"/>
      <c r="AP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6"/>
      <c r="BW2021" s="6"/>
      <c r="BX2021" s="6"/>
      <c r="BY2021" s="6"/>
      <c r="BZ2021" s="6"/>
    </row>
    <row r="2022" spans="1:186" s="496" customFormat="1" ht="21.75" customHeight="1"/>
    <row r="2023" spans="1:186" s="472" customFormat="1" ht="21.75" customHeight="1"/>
    <row r="2024" spans="1:186" s="448" customFormat="1" ht="21.75" customHeight="1"/>
    <row r="2025" spans="1:186" s="496" customFormat="1" ht="21.75" customHeight="1"/>
    <row r="2026" spans="1:186" s="496" customFormat="1" ht="21.75" customHeight="1"/>
    <row r="2027" spans="1:186" ht="21.75" customHeight="1">
      <c r="A2027" s="6"/>
      <c r="B2027" s="6"/>
      <c r="C2027" s="6"/>
      <c r="D2027" s="6"/>
      <c r="E2027" s="6"/>
      <c r="F2027" s="6"/>
      <c r="G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O2027" s="6"/>
      <c r="AP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6"/>
      <c r="BW2027" s="6"/>
      <c r="BX2027" s="6"/>
      <c r="BY2027" s="6"/>
      <c r="BZ2027" s="6"/>
    </row>
    <row r="2028" spans="1:186" s="450" customFormat="1" ht="21.75" customHeight="1"/>
    <row r="2029" spans="1:186" s="476" customFormat="1" ht="21.75" customHeight="1"/>
    <row r="2030" spans="1:186" ht="21.75" customHeight="1">
      <c r="A2030" s="6"/>
      <c r="B2030" s="6"/>
      <c r="C2030" s="6"/>
      <c r="D2030" s="6"/>
      <c r="E2030" s="6"/>
      <c r="F2030" s="6"/>
      <c r="G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O2030" s="6"/>
      <c r="AP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6"/>
      <c r="BW2030" s="6"/>
      <c r="BX2030" s="6"/>
      <c r="BY2030" s="6"/>
      <c r="BZ2030" s="6"/>
    </row>
    <row r="2031" spans="1:186" s="496" customFormat="1" ht="21.75" customHeight="1"/>
    <row r="2032" spans="1:186" s="528" customFormat="1" ht="21.75" customHeight="1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6"/>
      <c r="BU2032" s="6"/>
      <c r="BV2032" s="6"/>
      <c r="BW2032" s="6"/>
      <c r="BX2032" s="6"/>
      <c r="BY2032" s="6"/>
      <c r="BZ2032" s="6"/>
      <c r="CA2032" s="6"/>
      <c r="CB2032" s="6"/>
      <c r="CC2032" s="6"/>
      <c r="CD2032" s="6"/>
      <c r="CE2032" s="6"/>
      <c r="CF2032" s="6"/>
      <c r="CG2032" s="6"/>
      <c r="CH2032" s="6"/>
      <c r="CI2032" s="6"/>
      <c r="CJ2032" s="6"/>
      <c r="CK2032" s="6"/>
      <c r="CL2032" s="6"/>
      <c r="CM2032" s="6"/>
      <c r="CN2032" s="6"/>
      <c r="CO2032" s="6"/>
      <c r="CP2032" s="6"/>
      <c r="CQ2032" s="6"/>
      <c r="CR2032" s="6"/>
      <c r="CS2032" s="6"/>
      <c r="CT2032" s="6"/>
      <c r="CU2032" s="6"/>
      <c r="CV2032" s="6"/>
      <c r="CW2032" s="6"/>
      <c r="CX2032" s="6"/>
      <c r="CY2032" s="6"/>
      <c r="CZ2032" s="6"/>
      <c r="DA2032" s="6"/>
      <c r="DB2032" s="6"/>
      <c r="DC2032" s="6"/>
      <c r="DD2032" s="6"/>
      <c r="DE2032" s="6"/>
      <c r="DF2032" s="6"/>
      <c r="DG2032" s="6"/>
      <c r="DH2032" s="6"/>
      <c r="DI2032" s="6"/>
      <c r="DJ2032" s="6"/>
      <c r="DK2032" s="6"/>
      <c r="DL2032" s="6"/>
      <c r="DM2032" s="6"/>
      <c r="DN2032" s="6"/>
      <c r="DO2032" s="6"/>
      <c r="DP2032" s="6"/>
      <c r="DQ2032" s="6"/>
      <c r="DR2032" s="6"/>
      <c r="DS2032" s="6"/>
      <c r="DT2032" s="6"/>
      <c r="DU2032" s="6"/>
      <c r="DV2032" s="6"/>
      <c r="DW2032" s="6"/>
      <c r="DX2032" s="6"/>
      <c r="DY2032" s="6"/>
      <c r="DZ2032" s="6"/>
      <c r="EA2032" s="6"/>
      <c r="EB2032" s="6"/>
      <c r="EC2032" s="6"/>
      <c r="ED2032" s="6"/>
      <c r="EE2032" s="6"/>
      <c r="EF2032" s="6"/>
      <c r="EG2032" s="6"/>
      <c r="EH2032" s="6"/>
      <c r="EI2032" s="6"/>
      <c r="EJ2032" s="6"/>
      <c r="EK2032" s="6"/>
      <c r="EL2032" s="6"/>
      <c r="EM2032" s="6"/>
      <c r="EN2032" s="6"/>
      <c r="EO2032" s="6"/>
      <c r="EP2032" s="6"/>
      <c r="EQ2032" s="6"/>
      <c r="ER2032" s="6"/>
      <c r="ES2032" s="6"/>
      <c r="ET2032" s="6"/>
      <c r="EU2032" s="6"/>
      <c r="EV2032" s="6"/>
      <c r="EW2032" s="6"/>
      <c r="EX2032" s="6"/>
      <c r="EY2032" s="6"/>
      <c r="EZ2032" s="6"/>
      <c r="FA2032" s="6"/>
      <c r="FB2032" s="6"/>
      <c r="FC2032" s="6"/>
      <c r="FD2032" s="6"/>
      <c r="FE2032" s="6"/>
      <c r="FF2032" s="6"/>
      <c r="FG2032" s="6"/>
      <c r="FH2032" s="6"/>
      <c r="FI2032" s="6"/>
      <c r="FJ2032" s="6"/>
      <c r="FK2032" s="6"/>
      <c r="FL2032" s="6"/>
      <c r="FM2032" s="6"/>
      <c r="FN2032" s="6"/>
      <c r="FO2032" s="6"/>
      <c r="FP2032" s="6"/>
      <c r="FQ2032" s="6"/>
      <c r="FR2032" s="6"/>
      <c r="FS2032" s="6"/>
      <c r="FT2032" s="6"/>
      <c r="FU2032" s="6"/>
      <c r="FV2032" s="6"/>
      <c r="FW2032" s="6"/>
      <c r="FX2032" s="6"/>
      <c r="FY2032" s="6"/>
      <c r="FZ2032" s="6"/>
      <c r="GA2032" s="6"/>
      <c r="GB2032" s="6"/>
      <c r="GC2032" s="6"/>
      <c r="GD2032" s="6"/>
    </row>
    <row r="2033" spans="1:78" ht="21.75" customHeight="1">
      <c r="A2033" s="6"/>
      <c r="B2033" s="6"/>
      <c r="C2033" s="6"/>
      <c r="D2033" s="6"/>
      <c r="E2033" s="6"/>
      <c r="F2033" s="6"/>
      <c r="G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O2033" s="6"/>
      <c r="AP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6"/>
      <c r="BU2033" s="6"/>
      <c r="BV2033" s="6"/>
      <c r="BW2033" s="6"/>
      <c r="BX2033" s="6"/>
      <c r="BY2033" s="6"/>
      <c r="BZ2033" s="6"/>
    </row>
    <row r="2034" spans="1:78" s="496" customFormat="1" ht="21.75" customHeight="1"/>
    <row r="2035" spans="1:78" s="496" customFormat="1" ht="21.75" customHeight="1"/>
    <row r="2036" spans="1:78" s="496" customFormat="1" ht="21.75" customHeight="1"/>
    <row r="2037" spans="1:78" ht="21.75" customHeight="1">
      <c r="A2037" s="6"/>
      <c r="B2037" s="6"/>
      <c r="C2037" s="6"/>
      <c r="D2037" s="6"/>
      <c r="E2037" s="6"/>
      <c r="F2037" s="6"/>
      <c r="G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O2037" s="6"/>
      <c r="AP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6"/>
      <c r="BU2037" s="6"/>
      <c r="BV2037" s="6"/>
      <c r="BW2037" s="6"/>
      <c r="BX2037" s="6"/>
      <c r="BY2037" s="6"/>
      <c r="BZ2037" s="6"/>
    </row>
    <row r="2038" spans="1:78" s="495" customFormat="1" ht="21.75" customHeight="1"/>
    <row r="2039" spans="1:78" ht="21.75" customHeight="1">
      <c r="A2039" s="6"/>
      <c r="B2039" s="6"/>
      <c r="C2039" s="6"/>
      <c r="D2039" s="6"/>
      <c r="E2039" s="6"/>
      <c r="F2039" s="6"/>
      <c r="G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O2039" s="6"/>
      <c r="AP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6"/>
      <c r="BU2039" s="6"/>
      <c r="BV2039" s="6"/>
      <c r="BW2039" s="6"/>
      <c r="BX2039" s="6"/>
      <c r="BY2039" s="6"/>
      <c r="BZ2039" s="6"/>
    </row>
    <row r="2040" spans="1:78" s="496" customFormat="1" ht="21.75" customHeight="1"/>
    <row r="2041" spans="1:78" s="472" customFormat="1" ht="21.75" customHeight="1"/>
    <row r="2042" spans="1:78" ht="21.75" customHeight="1">
      <c r="A2042" s="6"/>
      <c r="B2042" s="6"/>
      <c r="C2042" s="6"/>
      <c r="D2042" s="6"/>
      <c r="E2042" s="6"/>
      <c r="F2042" s="6"/>
      <c r="G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O2042" s="6"/>
      <c r="AP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6"/>
      <c r="BU2042" s="6"/>
      <c r="BV2042" s="6"/>
      <c r="BW2042" s="6"/>
      <c r="BX2042" s="6"/>
      <c r="BY2042" s="6"/>
      <c r="BZ2042" s="6"/>
    </row>
    <row r="2043" spans="1:78" s="497" customFormat="1" ht="21.75" customHeight="1"/>
    <row r="2044" spans="1:78" s="495" customFormat="1" ht="21.75" customHeight="1"/>
    <row r="2045" spans="1:78" s="496" customFormat="1" ht="21.75" customHeight="1"/>
    <row r="2046" spans="1:78" ht="21.75" customHeight="1">
      <c r="A2046" s="6"/>
      <c r="B2046" s="6"/>
      <c r="C2046" s="6"/>
      <c r="D2046" s="6"/>
      <c r="E2046" s="6"/>
      <c r="F2046" s="6"/>
      <c r="G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O2046" s="6"/>
      <c r="AP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6"/>
      <c r="BU2046" s="6"/>
      <c r="BV2046" s="6"/>
      <c r="BW2046" s="6"/>
      <c r="BX2046" s="6"/>
      <c r="BY2046" s="6"/>
      <c r="BZ2046" s="6"/>
    </row>
    <row r="2047" spans="1:78" s="472" customFormat="1" ht="21.75" customHeight="1"/>
    <row r="2048" spans="1:78" s="505" customFormat="1" ht="21.75" customHeight="1"/>
    <row r="2049" spans="1:78" s="496" customFormat="1" ht="21.75" customHeight="1"/>
    <row r="2050" spans="1:78" s="496" customFormat="1" ht="21.75" customHeight="1"/>
    <row r="2051" spans="1:78" s="505" customFormat="1" ht="21.75" customHeight="1"/>
    <row r="2052" spans="1:78" ht="21.75" customHeight="1">
      <c r="A2052" s="6"/>
      <c r="B2052" s="6"/>
      <c r="C2052" s="6"/>
      <c r="D2052" s="6"/>
      <c r="E2052" s="6"/>
      <c r="F2052" s="6"/>
      <c r="G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O2052" s="6"/>
      <c r="AP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6"/>
      <c r="BU2052" s="6"/>
      <c r="BV2052" s="6"/>
      <c r="BW2052" s="6"/>
      <c r="BX2052" s="6"/>
      <c r="BY2052" s="6"/>
      <c r="BZ2052" s="6"/>
    </row>
    <row r="2053" spans="1:78" s="452" customFormat="1" ht="21.75" customHeight="1"/>
    <row r="2054" spans="1:78" s="496" customFormat="1" ht="21.75" customHeight="1"/>
    <row r="2055" spans="1:78" ht="21.75" customHeight="1">
      <c r="A2055" s="6"/>
      <c r="B2055" s="6"/>
      <c r="C2055" s="6"/>
      <c r="D2055" s="6"/>
      <c r="E2055" s="6"/>
      <c r="F2055" s="6"/>
      <c r="G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O2055" s="6"/>
      <c r="AP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6"/>
      <c r="BU2055" s="6"/>
      <c r="BV2055" s="6"/>
      <c r="BW2055" s="6"/>
      <c r="BX2055" s="6"/>
      <c r="BY2055" s="6"/>
      <c r="BZ2055" s="6"/>
    </row>
    <row r="2056" spans="1:78" s="472" customFormat="1" ht="21.75" customHeight="1"/>
    <row r="2057" spans="1:78" s="495" customFormat="1" ht="21.75" customHeight="1"/>
    <row r="2058" spans="1:78" s="496" customFormat="1" ht="21.75" customHeight="1"/>
    <row r="2059" spans="1:78" s="472" customFormat="1" ht="21.75" customHeight="1"/>
    <row r="2060" spans="1:78" s="496" customFormat="1" ht="21.75" customHeight="1"/>
    <row r="2061" spans="1:78" ht="21.75" customHeight="1">
      <c r="A2061" s="6"/>
      <c r="B2061" s="6"/>
      <c r="C2061" s="6"/>
      <c r="D2061" s="6"/>
      <c r="E2061" s="6"/>
      <c r="F2061" s="6"/>
      <c r="G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O2061" s="6"/>
      <c r="AP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6"/>
      <c r="BU2061" s="6"/>
      <c r="BV2061" s="6"/>
      <c r="BW2061" s="6"/>
      <c r="BX2061" s="6"/>
      <c r="BY2061" s="6"/>
      <c r="BZ2061" s="6"/>
    </row>
    <row r="2062" spans="1:78" s="496" customFormat="1" ht="21.75" customHeight="1"/>
    <row r="2063" spans="1:78" s="497" customFormat="1" ht="21.75" customHeight="1"/>
    <row r="2064" spans="1:78" s="495" customFormat="1" ht="21.75" customHeight="1"/>
    <row r="2065" spans="1:78" ht="21.75" customHeight="1">
      <c r="A2065" s="6"/>
      <c r="B2065" s="6"/>
      <c r="C2065" s="6"/>
      <c r="D2065" s="6"/>
      <c r="E2065" s="6"/>
      <c r="F2065" s="6"/>
      <c r="G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O2065" s="6"/>
      <c r="AP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6"/>
      <c r="BU2065" s="6"/>
      <c r="BV2065" s="6"/>
      <c r="BW2065" s="6"/>
      <c r="BX2065" s="6"/>
      <c r="BY2065" s="6"/>
      <c r="BZ2065" s="6"/>
    </row>
    <row r="2066" spans="1:78" ht="21.75" customHeight="1">
      <c r="A2066" s="6"/>
      <c r="B2066" s="6"/>
      <c r="C2066" s="6"/>
      <c r="D2066" s="6"/>
      <c r="E2066" s="6"/>
      <c r="F2066" s="6"/>
      <c r="G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O2066" s="6"/>
      <c r="AP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6"/>
      <c r="BU2066" s="6"/>
      <c r="BV2066" s="6"/>
      <c r="BW2066" s="6"/>
      <c r="BX2066" s="6"/>
      <c r="BY2066" s="6"/>
      <c r="BZ2066" s="6"/>
    </row>
    <row r="2067" spans="1:78" s="496" customFormat="1" ht="21.75" customHeight="1"/>
    <row r="2068" spans="1:78" s="496" customFormat="1" ht="21.75" customHeight="1"/>
    <row r="2069" spans="1:78" ht="21.75" customHeight="1">
      <c r="A2069" s="6"/>
      <c r="B2069" s="6"/>
      <c r="C2069" s="6"/>
      <c r="D2069" s="6"/>
      <c r="E2069" s="6"/>
      <c r="F2069" s="6"/>
      <c r="G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O2069" s="6"/>
      <c r="AP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6"/>
      <c r="BU2069" s="6"/>
      <c r="BV2069" s="6"/>
      <c r="BW2069" s="6"/>
      <c r="BX2069" s="6"/>
      <c r="BY2069" s="6"/>
      <c r="BZ2069" s="6"/>
    </row>
    <row r="2070" spans="1:78" s="496" customFormat="1" ht="21.75" customHeight="1"/>
    <row r="2071" spans="1:78" ht="21.75" customHeight="1">
      <c r="A2071" s="6"/>
      <c r="B2071" s="6"/>
      <c r="C2071" s="6"/>
      <c r="D2071" s="6"/>
      <c r="E2071" s="6"/>
      <c r="F2071" s="6"/>
      <c r="G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O2071" s="6"/>
      <c r="AP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6"/>
      <c r="BU2071" s="6"/>
      <c r="BV2071" s="6"/>
      <c r="BW2071" s="6"/>
      <c r="BX2071" s="6"/>
      <c r="BY2071" s="6"/>
      <c r="BZ2071" s="6"/>
    </row>
    <row r="2072" spans="1:78" s="496" customFormat="1" ht="21.75" customHeight="1"/>
    <row r="2073" spans="1:78" s="496" customFormat="1" ht="21.75" customHeight="1"/>
    <row r="2074" spans="1:78" s="495" customFormat="1" ht="21.75" customHeight="1"/>
    <row r="2075" spans="1:78" s="496" customFormat="1" ht="21.75" customHeight="1"/>
    <row r="2076" spans="1:78" ht="21.75" customHeight="1">
      <c r="A2076" s="6"/>
      <c r="B2076" s="6"/>
      <c r="C2076" s="6"/>
      <c r="D2076" s="6"/>
      <c r="E2076" s="6"/>
      <c r="F2076" s="6"/>
      <c r="G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O2076" s="6"/>
      <c r="AP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6"/>
      <c r="BU2076" s="6"/>
      <c r="BV2076" s="6"/>
      <c r="BW2076" s="6"/>
      <c r="BX2076" s="6"/>
      <c r="BY2076" s="6"/>
      <c r="BZ2076" s="6"/>
    </row>
    <row r="2077" spans="1:78" s="472" customFormat="1" ht="21.75" customHeight="1"/>
    <row r="2078" spans="1:78" s="496" customFormat="1" ht="21.75" customHeight="1"/>
    <row r="2079" spans="1:78" s="496" customFormat="1" ht="21.75" customHeight="1"/>
    <row r="2080" spans="1:78" ht="21.75" customHeight="1">
      <c r="A2080" s="6"/>
      <c r="B2080" s="6"/>
      <c r="C2080" s="6"/>
      <c r="D2080" s="6"/>
      <c r="E2080" s="6"/>
      <c r="F2080" s="6"/>
      <c r="G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O2080" s="6"/>
      <c r="AP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6"/>
      <c r="BU2080" s="6"/>
      <c r="BV2080" s="6"/>
      <c r="BW2080" s="6"/>
      <c r="BX2080" s="6"/>
      <c r="BY2080" s="6"/>
      <c r="BZ2080" s="6"/>
    </row>
    <row r="2081" spans="1:78" s="496" customFormat="1" ht="21.75" customHeight="1"/>
    <row r="2082" spans="1:78" ht="21.75" customHeight="1">
      <c r="A2082" s="6"/>
      <c r="B2082" s="6"/>
      <c r="C2082" s="6"/>
      <c r="D2082" s="6"/>
      <c r="E2082" s="6"/>
      <c r="F2082" s="6"/>
      <c r="G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O2082" s="6"/>
      <c r="AP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6"/>
      <c r="BU2082" s="6"/>
      <c r="BV2082" s="6"/>
      <c r="BW2082" s="6"/>
      <c r="BX2082" s="6"/>
      <c r="BY2082" s="6"/>
      <c r="BZ2082" s="6"/>
    </row>
    <row r="2083" spans="1:78" s="450" customFormat="1" ht="21.75" customHeight="1"/>
    <row r="2084" spans="1:78" s="448" customFormat="1" ht="21.75" customHeight="1"/>
    <row r="2085" spans="1:78" s="504" customFormat="1" ht="21.75" customHeight="1"/>
    <row r="2086" spans="1:78" ht="21.75" customHeight="1">
      <c r="A2086" s="6"/>
      <c r="B2086" s="6"/>
      <c r="C2086" s="6"/>
      <c r="D2086" s="6"/>
      <c r="E2086" s="6"/>
      <c r="F2086" s="6"/>
      <c r="G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O2086" s="6"/>
      <c r="AP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6"/>
      <c r="BU2086" s="6"/>
      <c r="BV2086" s="6"/>
      <c r="BW2086" s="6"/>
      <c r="BX2086" s="6"/>
      <c r="BY2086" s="6"/>
      <c r="BZ2086" s="6"/>
    </row>
    <row r="2087" spans="1:78" ht="21.75" customHeight="1">
      <c r="A2087" s="6"/>
      <c r="B2087" s="6"/>
      <c r="C2087" s="6"/>
      <c r="D2087" s="6"/>
      <c r="E2087" s="6"/>
      <c r="F2087" s="6"/>
      <c r="G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O2087" s="6"/>
      <c r="AP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6"/>
      <c r="BU2087" s="6"/>
      <c r="BV2087" s="6"/>
      <c r="BW2087" s="6"/>
      <c r="BX2087" s="6"/>
      <c r="BY2087" s="6"/>
      <c r="BZ2087" s="6"/>
    </row>
    <row r="2088" spans="1:78" ht="21.75" customHeight="1">
      <c r="A2088" s="6"/>
      <c r="B2088" s="6"/>
      <c r="C2088" s="6"/>
      <c r="D2088" s="6"/>
      <c r="E2088" s="6"/>
      <c r="F2088" s="6"/>
      <c r="G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O2088" s="6"/>
      <c r="AP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6"/>
      <c r="BU2088" s="6"/>
      <c r="BV2088" s="6"/>
      <c r="BW2088" s="6"/>
      <c r="BX2088" s="6"/>
      <c r="BY2088" s="6"/>
      <c r="BZ2088" s="6"/>
    </row>
    <row r="2089" spans="1:78" ht="21.75" customHeight="1">
      <c r="A2089" s="6"/>
      <c r="B2089" s="6"/>
      <c r="C2089" s="6"/>
      <c r="D2089" s="6"/>
      <c r="E2089" s="6"/>
      <c r="F2089" s="6"/>
      <c r="G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O2089" s="6"/>
      <c r="AP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6"/>
      <c r="BU2089" s="6"/>
      <c r="BV2089" s="6"/>
      <c r="BW2089" s="6"/>
      <c r="BX2089" s="6"/>
      <c r="BY2089" s="6"/>
      <c r="BZ2089" s="6"/>
    </row>
    <row r="2090" spans="1:78" ht="21.75" customHeight="1">
      <c r="A2090" s="6"/>
      <c r="B2090" s="6"/>
      <c r="C2090" s="6"/>
      <c r="D2090" s="6"/>
      <c r="E2090" s="6"/>
      <c r="F2090" s="6"/>
      <c r="G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O2090" s="6"/>
      <c r="AP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6"/>
      <c r="BU2090" s="6"/>
      <c r="BV2090" s="6"/>
      <c r="BW2090" s="6"/>
      <c r="BX2090" s="6"/>
      <c r="BY2090" s="6"/>
      <c r="BZ2090" s="6"/>
    </row>
    <row r="2091" spans="1:78" ht="21.75" customHeight="1">
      <c r="A2091" s="6"/>
      <c r="B2091" s="6"/>
      <c r="C2091" s="6"/>
      <c r="D2091" s="6"/>
      <c r="E2091" s="6"/>
      <c r="F2091" s="6"/>
      <c r="G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O2091" s="6"/>
      <c r="AP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6"/>
      <c r="BU2091" s="6"/>
      <c r="BV2091" s="6"/>
      <c r="BW2091" s="6"/>
      <c r="BX2091" s="6"/>
      <c r="BY2091" s="6"/>
      <c r="BZ2091" s="6"/>
    </row>
    <row r="2092" spans="1:78" ht="21.75" customHeight="1">
      <c r="A2092" s="6"/>
      <c r="B2092" s="6"/>
      <c r="C2092" s="6"/>
      <c r="D2092" s="6"/>
      <c r="E2092" s="6"/>
      <c r="F2092" s="6"/>
      <c r="G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O2092" s="6"/>
      <c r="AP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6"/>
      <c r="BU2092" s="6"/>
      <c r="BV2092" s="6"/>
      <c r="BW2092" s="6"/>
      <c r="BX2092" s="6"/>
      <c r="BY2092" s="6"/>
      <c r="BZ2092" s="6"/>
    </row>
    <row r="2093" spans="1:78" ht="21.75" customHeight="1">
      <c r="A2093" s="6"/>
      <c r="B2093" s="6"/>
      <c r="C2093" s="6"/>
      <c r="D2093" s="6"/>
      <c r="E2093" s="6"/>
      <c r="F2093" s="6"/>
      <c r="G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O2093" s="6"/>
      <c r="AP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6"/>
      <c r="BU2093" s="6"/>
      <c r="BV2093" s="6"/>
      <c r="BW2093" s="6"/>
      <c r="BX2093" s="6"/>
      <c r="BY2093" s="6"/>
      <c r="BZ2093" s="6"/>
    </row>
    <row r="2094" spans="1:78" s="496" customFormat="1" ht="21.75" customHeight="1"/>
    <row r="2095" spans="1:78" ht="21.75" customHeight="1">
      <c r="A2095" s="6"/>
      <c r="B2095" s="6"/>
      <c r="C2095" s="6"/>
      <c r="D2095" s="6"/>
      <c r="E2095" s="6"/>
      <c r="F2095" s="6"/>
      <c r="G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O2095" s="6"/>
      <c r="AP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6"/>
      <c r="BU2095" s="6"/>
      <c r="BV2095" s="6"/>
      <c r="BW2095" s="6"/>
      <c r="BX2095" s="6"/>
      <c r="BY2095" s="6"/>
      <c r="BZ2095" s="6"/>
    </row>
    <row r="2096" spans="1:78" s="504" customFormat="1" ht="21.75" customHeight="1"/>
    <row r="2097" spans="1:78" ht="21.75" customHeight="1">
      <c r="A2097" s="6"/>
      <c r="B2097" s="6"/>
      <c r="C2097" s="6"/>
      <c r="D2097" s="6"/>
      <c r="E2097" s="6"/>
      <c r="F2097" s="6"/>
      <c r="G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O2097" s="6"/>
      <c r="AP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6"/>
      <c r="BU2097" s="6"/>
      <c r="BV2097" s="6"/>
      <c r="BW2097" s="6"/>
      <c r="BX2097" s="6"/>
      <c r="BY2097" s="6"/>
      <c r="BZ2097" s="6"/>
    </row>
    <row r="2098" spans="1:78" s="496" customFormat="1" ht="21.75" customHeight="1"/>
    <row r="2099" spans="1:78" ht="21.75" customHeight="1">
      <c r="A2099" s="6"/>
      <c r="B2099" s="6"/>
      <c r="C2099" s="6"/>
      <c r="D2099" s="6"/>
      <c r="E2099" s="6"/>
      <c r="F2099" s="6"/>
      <c r="G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O2099" s="6"/>
      <c r="AP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6"/>
      <c r="BU2099" s="6"/>
      <c r="BV2099" s="6"/>
      <c r="BW2099" s="6"/>
      <c r="BX2099" s="6"/>
      <c r="BY2099" s="6"/>
      <c r="BZ2099" s="6"/>
    </row>
    <row r="2100" spans="1:78" s="497" customFormat="1" ht="21.75" customHeight="1"/>
    <row r="2101" spans="1:78" s="547" customFormat="1" ht="21.75" customHeight="1"/>
    <row r="2102" spans="1:78" s="448" customFormat="1" ht="21.75" customHeight="1"/>
    <row r="2103" spans="1:78" s="496" customFormat="1" ht="21.75" customHeight="1"/>
    <row r="2104" spans="1:78" s="472" customFormat="1" ht="21.75" customHeight="1"/>
    <row r="2105" spans="1:78" s="476" customFormat="1" ht="21.75" customHeight="1"/>
    <row r="2106" spans="1:78" ht="21.75" customHeight="1">
      <c r="A2106" s="6"/>
      <c r="B2106" s="6"/>
      <c r="C2106" s="6"/>
      <c r="D2106" s="6"/>
      <c r="E2106" s="6"/>
      <c r="F2106" s="6"/>
      <c r="G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O2106" s="6"/>
      <c r="AP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6"/>
      <c r="BU2106" s="6"/>
      <c r="BV2106" s="6"/>
      <c r="BW2106" s="6"/>
      <c r="BX2106" s="6"/>
      <c r="BY2106" s="6"/>
      <c r="BZ2106" s="6"/>
    </row>
    <row r="2107" spans="1:78" ht="21.75" customHeight="1">
      <c r="A2107" s="6"/>
      <c r="B2107" s="6"/>
      <c r="C2107" s="6"/>
      <c r="D2107" s="6"/>
      <c r="E2107" s="6"/>
      <c r="F2107" s="6"/>
      <c r="G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O2107" s="6"/>
      <c r="AP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6"/>
      <c r="BU2107" s="6"/>
      <c r="BV2107" s="6"/>
      <c r="BW2107" s="6"/>
      <c r="BX2107" s="6"/>
      <c r="BY2107" s="6"/>
      <c r="BZ2107" s="6"/>
    </row>
    <row r="2108" spans="1:78" s="504" customFormat="1" ht="21.75" customHeight="1"/>
    <row r="2109" spans="1:78" ht="21.75" customHeight="1">
      <c r="A2109" s="6"/>
      <c r="B2109" s="6"/>
      <c r="C2109" s="6"/>
      <c r="D2109" s="6"/>
      <c r="E2109" s="6"/>
      <c r="F2109" s="6"/>
      <c r="G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O2109" s="6"/>
      <c r="AP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6"/>
      <c r="BU2109" s="6"/>
      <c r="BV2109" s="6"/>
      <c r="BW2109" s="6"/>
      <c r="BX2109" s="6"/>
      <c r="BY2109" s="6"/>
      <c r="BZ2109" s="6"/>
    </row>
    <row r="2110" spans="1:78" s="496" customFormat="1" ht="21.75" customHeight="1"/>
    <row r="2111" spans="1:78" s="496" customFormat="1" ht="21.75" customHeight="1"/>
    <row r="2112" spans="1:78" s="496" customFormat="1" ht="21.75" customHeight="1"/>
    <row r="2113" spans="1:78" s="496" customFormat="1" ht="21.75" customHeight="1"/>
    <row r="2114" spans="1:78" s="496" customFormat="1" ht="21.75" customHeight="1"/>
    <row r="2115" spans="1:78" s="495" customFormat="1" ht="21.75" customHeight="1"/>
    <row r="2116" spans="1:78" ht="21.75" customHeight="1">
      <c r="A2116" s="6"/>
      <c r="B2116" s="6"/>
      <c r="C2116" s="6"/>
      <c r="D2116" s="6"/>
      <c r="E2116" s="6"/>
      <c r="F2116" s="6"/>
      <c r="G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O2116" s="6"/>
      <c r="AP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6"/>
      <c r="BU2116" s="6"/>
      <c r="BV2116" s="6"/>
      <c r="BW2116" s="6"/>
      <c r="BX2116" s="6"/>
      <c r="BY2116" s="6"/>
      <c r="BZ2116" s="6"/>
    </row>
    <row r="2117" spans="1:78" s="496" customFormat="1" ht="21.75" customHeight="1"/>
    <row r="2118" spans="1:78" s="505" customFormat="1" ht="21.75" customHeight="1"/>
    <row r="2119" spans="1:78" s="448" customFormat="1" ht="21.75" customHeight="1"/>
    <row r="2120" spans="1:78" s="478" customFormat="1" ht="21.75" customHeight="1"/>
    <row r="2121" spans="1:78" s="448" customFormat="1" ht="21.75" customHeight="1"/>
    <row r="2122" spans="1:78" ht="21.75" customHeight="1">
      <c r="A2122" s="6"/>
      <c r="B2122" s="6"/>
      <c r="C2122" s="6"/>
      <c r="D2122" s="6"/>
      <c r="E2122" s="6"/>
      <c r="F2122" s="6"/>
      <c r="G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O2122" s="6"/>
      <c r="AP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6"/>
      <c r="BU2122" s="6"/>
      <c r="BV2122" s="6"/>
      <c r="BW2122" s="6"/>
      <c r="BX2122" s="6"/>
      <c r="BY2122" s="6"/>
      <c r="BZ2122" s="6"/>
    </row>
    <row r="2123" spans="1:78" ht="21.75" customHeight="1">
      <c r="A2123" s="6"/>
      <c r="B2123" s="6"/>
      <c r="C2123" s="6"/>
      <c r="D2123" s="6"/>
      <c r="E2123" s="6"/>
      <c r="F2123" s="6"/>
      <c r="G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O2123" s="6"/>
      <c r="AP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6"/>
      <c r="BU2123" s="6"/>
      <c r="BV2123" s="6"/>
      <c r="BW2123" s="6"/>
      <c r="BX2123" s="6"/>
      <c r="BY2123" s="6"/>
      <c r="BZ2123" s="6"/>
    </row>
    <row r="2124" spans="1:78" s="495" customFormat="1" ht="21.75" customHeight="1"/>
    <row r="2125" spans="1:78" s="496" customFormat="1" ht="21.75" customHeight="1"/>
    <row r="2126" spans="1:78" ht="21.75" customHeight="1">
      <c r="A2126" s="6"/>
      <c r="B2126" s="6"/>
      <c r="C2126" s="6"/>
      <c r="D2126" s="6"/>
      <c r="E2126" s="6"/>
      <c r="F2126" s="6"/>
      <c r="G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O2126" s="6"/>
      <c r="AP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6"/>
      <c r="BU2126" s="6"/>
      <c r="BV2126" s="6"/>
      <c r="BW2126" s="6"/>
      <c r="BX2126" s="6"/>
      <c r="BY2126" s="6"/>
      <c r="BZ2126" s="6"/>
    </row>
    <row r="2127" spans="1:78" s="496" customFormat="1" ht="21.75" customHeight="1"/>
    <row r="2128" spans="1:78" s="496" customFormat="1" ht="21.75" customHeight="1"/>
    <row r="2129" spans="1:78" ht="21.75" customHeight="1">
      <c r="A2129" s="6"/>
      <c r="B2129" s="6"/>
      <c r="C2129" s="6"/>
      <c r="D2129" s="6"/>
      <c r="E2129" s="6"/>
      <c r="F2129" s="6"/>
      <c r="G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O2129" s="6"/>
      <c r="AP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6"/>
      <c r="BU2129" s="6"/>
      <c r="BV2129" s="6"/>
      <c r="BW2129" s="6"/>
      <c r="BX2129" s="6"/>
      <c r="BY2129" s="6"/>
      <c r="BZ2129" s="6"/>
    </row>
    <row r="2130" spans="1:78" s="472" customFormat="1" ht="21.75" customHeight="1"/>
    <row r="2131" spans="1:78" ht="21.75" customHeight="1">
      <c r="A2131" s="6"/>
      <c r="B2131" s="6"/>
      <c r="C2131" s="6"/>
      <c r="D2131" s="6"/>
      <c r="E2131" s="6"/>
      <c r="F2131" s="6"/>
      <c r="G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O2131" s="6"/>
      <c r="AP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6"/>
      <c r="BU2131" s="6"/>
      <c r="BV2131" s="6"/>
      <c r="BW2131" s="6"/>
      <c r="BX2131" s="6"/>
      <c r="BY2131" s="6"/>
      <c r="BZ2131" s="6"/>
    </row>
    <row r="2132" spans="1:78" ht="21.75" customHeight="1">
      <c r="A2132" s="6"/>
      <c r="B2132" s="6"/>
      <c r="C2132" s="6"/>
      <c r="D2132" s="6"/>
      <c r="E2132" s="6"/>
      <c r="F2132" s="6"/>
      <c r="G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O2132" s="6"/>
      <c r="AP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6"/>
      <c r="BU2132" s="6"/>
      <c r="BV2132" s="6"/>
      <c r="BW2132" s="6"/>
      <c r="BX2132" s="6"/>
      <c r="BY2132" s="6"/>
      <c r="BZ2132" s="6"/>
    </row>
    <row r="2133" spans="1:78" ht="21.75" customHeight="1">
      <c r="A2133" s="6"/>
      <c r="B2133" s="6"/>
      <c r="C2133" s="6"/>
      <c r="D2133" s="6"/>
      <c r="E2133" s="6"/>
      <c r="F2133" s="6"/>
      <c r="G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O2133" s="6"/>
      <c r="AP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6"/>
      <c r="BU2133" s="6"/>
      <c r="BV2133" s="6"/>
      <c r="BW2133" s="6"/>
      <c r="BX2133" s="6"/>
      <c r="BY2133" s="6"/>
      <c r="BZ2133" s="6"/>
    </row>
    <row r="2134" spans="1:78" ht="21.75" customHeight="1">
      <c r="A2134" s="6"/>
      <c r="B2134" s="6"/>
      <c r="C2134" s="6"/>
      <c r="D2134" s="6"/>
      <c r="E2134" s="6"/>
      <c r="F2134" s="6"/>
      <c r="G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O2134" s="6"/>
      <c r="AP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6"/>
      <c r="BU2134" s="6"/>
      <c r="BV2134" s="6"/>
      <c r="BW2134" s="6"/>
      <c r="BX2134" s="6"/>
      <c r="BY2134" s="6"/>
      <c r="BZ2134" s="6"/>
    </row>
    <row r="2135" spans="1:78" s="450" customFormat="1" ht="21.75" customHeight="1"/>
    <row r="2136" spans="1:78" s="504" customFormat="1" ht="21.75" customHeight="1"/>
    <row r="2137" spans="1:78" s="496" customFormat="1" ht="21.75" customHeight="1"/>
    <row r="2138" spans="1:78" s="496" customFormat="1" ht="21.75" customHeight="1"/>
    <row r="2139" spans="1:78" s="504" customFormat="1" ht="21.75" customHeight="1"/>
    <row r="2140" spans="1:78" s="496" customFormat="1" ht="21.75" customHeight="1"/>
    <row r="2141" spans="1:78" s="496" customFormat="1" ht="21.75" customHeight="1"/>
    <row r="2142" spans="1:78" ht="21.75" customHeight="1">
      <c r="A2142" s="6"/>
      <c r="B2142" s="6"/>
      <c r="C2142" s="6"/>
      <c r="D2142" s="6"/>
      <c r="E2142" s="6"/>
      <c r="F2142" s="6"/>
      <c r="G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O2142" s="6"/>
      <c r="AP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6"/>
      <c r="BU2142" s="6"/>
      <c r="BV2142" s="6"/>
      <c r="BW2142" s="6"/>
      <c r="BX2142" s="6"/>
      <c r="BY2142" s="6"/>
      <c r="BZ2142" s="6"/>
    </row>
    <row r="2143" spans="1:78" s="450" customFormat="1" ht="21.75" customHeight="1"/>
    <row r="2144" spans="1:78" s="448" customFormat="1" ht="21.75" customHeight="1"/>
    <row r="2145" spans="1:78" s="496" customFormat="1" ht="21.75" customHeight="1"/>
    <row r="2146" spans="1:78" s="472" customFormat="1" ht="21.75" customHeight="1"/>
    <row r="2147" spans="1:78" s="448" customFormat="1" ht="21.75" customHeight="1"/>
    <row r="2148" spans="1:78" s="478" customFormat="1" ht="21.75" customHeight="1"/>
    <row r="2149" spans="1:78" s="448" customFormat="1" ht="21.75" customHeight="1"/>
    <row r="2150" spans="1:78" s="582" customFormat="1" ht="21.75" customHeight="1"/>
    <row r="2151" spans="1:78" s="496" customFormat="1" ht="21.75" customHeight="1"/>
    <row r="2152" spans="1:78" ht="21.75" customHeight="1">
      <c r="A2152" s="6"/>
      <c r="B2152" s="6"/>
      <c r="C2152" s="6"/>
      <c r="D2152" s="6"/>
      <c r="E2152" s="6"/>
      <c r="F2152" s="6"/>
      <c r="G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O2152" s="6"/>
      <c r="AP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  <c r="BW2152" s="6"/>
      <c r="BX2152" s="6"/>
      <c r="BY2152" s="6"/>
      <c r="BZ2152" s="6"/>
    </row>
    <row r="2153" spans="1:78" s="496" customFormat="1" ht="21.75" customHeight="1"/>
    <row r="2154" spans="1:78" s="496" customFormat="1" ht="21.75" customHeight="1"/>
    <row r="2155" spans="1:78" ht="21.75" customHeight="1">
      <c r="A2155" s="6"/>
      <c r="B2155" s="6"/>
      <c r="C2155" s="6"/>
      <c r="D2155" s="6"/>
      <c r="E2155" s="6"/>
      <c r="F2155" s="6"/>
      <c r="G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O2155" s="6"/>
      <c r="AP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6"/>
      <c r="BU2155" s="6"/>
      <c r="BV2155" s="6"/>
      <c r="BW2155" s="6"/>
      <c r="BX2155" s="6"/>
      <c r="BY2155" s="6"/>
      <c r="BZ2155" s="6"/>
    </row>
    <row r="2156" spans="1:78" ht="21.75" customHeight="1">
      <c r="A2156" s="6"/>
      <c r="B2156" s="6"/>
      <c r="C2156" s="6"/>
      <c r="D2156" s="6"/>
      <c r="E2156" s="6"/>
      <c r="F2156" s="6"/>
      <c r="G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O2156" s="6"/>
      <c r="AP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6"/>
      <c r="BU2156" s="6"/>
      <c r="BV2156" s="6"/>
      <c r="BW2156" s="6"/>
      <c r="BX2156" s="6"/>
      <c r="BY2156" s="6"/>
      <c r="BZ2156" s="6"/>
    </row>
    <row r="2157" spans="1:78" s="496" customFormat="1" ht="21.75" customHeight="1"/>
    <row r="2158" spans="1:78" ht="21.75" customHeight="1">
      <c r="A2158" s="6"/>
      <c r="B2158" s="6"/>
      <c r="C2158" s="6"/>
      <c r="D2158" s="6"/>
      <c r="E2158" s="6"/>
      <c r="F2158" s="6"/>
      <c r="G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O2158" s="6"/>
      <c r="AP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6"/>
      <c r="BU2158" s="6"/>
      <c r="BV2158" s="6"/>
      <c r="BW2158" s="6"/>
      <c r="BX2158" s="6"/>
      <c r="BY2158" s="6"/>
      <c r="BZ2158" s="6"/>
    </row>
    <row r="2159" spans="1:78" s="496" customFormat="1" ht="21.75" customHeight="1"/>
    <row r="2160" spans="1:78" s="496" customFormat="1" ht="21.75" customHeight="1"/>
    <row r="2161" spans="1:78" s="450" customFormat="1" ht="21.75" customHeight="1"/>
    <row r="2162" spans="1:78" s="495" customFormat="1" ht="21.75" customHeight="1"/>
    <row r="2163" spans="1:78" s="448" customFormat="1" ht="21.75" customHeight="1"/>
    <row r="2164" spans="1:78" ht="21.75" customHeight="1">
      <c r="A2164" s="6"/>
      <c r="B2164" s="6"/>
      <c r="C2164" s="6"/>
      <c r="D2164" s="6"/>
      <c r="E2164" s="6"/>
      <c r="F2164" s="6"/>
      <c r="G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O2164" s="6"/>
      <c r="AP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6"/>
      <c r="BU2164" s="6"/>
      <c r="BV2164" s="6"/>
      <c r="BW2164" s="6"/>
      <c r="BX2164" s="6"/>
      <c r="BY2164" s="6"/>
      <c r="BZ2164" s="6"/>
    </row>
    <row r="2165" spans="1:78" ht="21.75" customHeight="1">
      <c r="A2165" s="6"/>
      <c r="B2165" s="6"/>
      <c r="C2165" s="6"/>
      <c r="D2165" s="6"/>
      <c r="E2165" s="6"/>
      <c r="F2165" s="6"/>
      <c r="G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O2165" s="6"/>
      <c r="AP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6"/>
      <c r="BU2165" s="6"/>
      <c r="BV2165" s="6"/>
      <c r="BW2165" s="6"/>
      <c r="BX2165" s="6"/>
      <c r="BY2165" s="6"/>
      <c r="BZ2165" s="6"/>
    </row>
    <row r="2166" spans="1:78" ht="21.75" customHeight="1">
      <c r="A2166" s="6"/>
      <c r="B2166" s="6"/>
      <c r="C2166" s="6"/>
      <c r="D2166" s="6"/>
      <c r="E2166" s="6"/>
      <c r="F2166" s="6"/>
      <c r="G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O2166" s="6"/>
      <c r="AP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6"/>
      <c r="BU2166" s="6"/>
      <c r="BV2166" s="6"/>
      <c r="BW2166" s="6"/>
      <c r="BX2166" s="6"/>
      <c r="BY2166" s="6"/>
      <c r="BZ2166" s="6"/>
    </row>
    <row r="2167" spans="1:78" s="496" customFormat="1" ht="21.75" customHeight="1"/>
    <row r="2168" spans="1:78" s="495" customFormat="1" ht="21.75" customHeight="1"/>
    <row r="2169" spans="1:78" s="496" customFormat="1" ht="21.75" customHeight="1"/>
    <row r="2170" spans="1:78" ht="21.75" customHeight="1">
      <c r="A2170" s="6"/>
      <c r="B2170" s="6"/>
      <c r="C2170" s="6"/>
      <c r="D2170" s="6"/>
      <c r="E2170" s="6"/>
      <c r="F2170" s="6"/>
      <c r="G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O2170" s="6"/>
      <c r="AP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6"/>
      <c r="BU2170" s="6"/>
      <c r="BV2170" s="6"/>
      <c r="BW2170" s="6"/>
      <c r="BX2170" s="6"/>
      <c r="BY2170" s="6"/>
      <c r="BZ2170" s="6"/>
    </row>
    <row r="2171" spans="1:78" ht="21.75" customHeight="1">
      <c r="A2171" s="6"/>
      <c r="B2171" s="6"/>
      <c r="C2171" s="6"/>
      <c r="D2171" s="6"/>
      <c r="E2171" s="6"/>
      <c r="F2171" s="6"/>
      <c r="G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O2171" s="6"/>
      <c r="AP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6"/>
      <c r="BU2171" s="6"/>
      <c r="BV2171" s="6"/>
      <c r="BW2171" s="6"/>
      <c r="BX2171" s="6"/>
      <c r="BY2171" s="6"/>
      <c r="BZ2171" s="6"/>
    </row>
    <row r="2172" spans="1:78" ht="21.75" customHeight="1">
      <c r="A2172" s="6"/>
      <c r="B2172" s="6"/>
      <c r="C2172" s="6"/>
      <c r="D2172" s="6"/>
      <c r="E2172" s="6"/>
      <c r="F2172" s="6"/>
      <c r="G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O2172" s="6"/>
      <c r="AP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6"/>
      <c r="BU2172" s="6"/>
      <c r="BV2172" s="6"/>
      <c r="BW2172" s="6"/>
      <c r="BX2172" s="6"/>
      <c r="BY2172" s="6"/>
      <c r="BZ2172" s="6"/>
    </row>
    <row r="2173" spans="1:78" s="496" customFormat="1" ht="21.75" customHeight="1"/>
    <row r="2174" spans="1:78" ht="21.75" customHeight="1">
      <c r="A2174" s="6"/>
      <c r="B2174" s="6"/>
      <c r="C2174" s="6"/>
      <c r="D2174" s="6"/>
      <c r="E2174" s="6"/>
      <c r="F2174" s="6"/>
      <c r="G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O2174" s="6"/>
      <c r="AP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6"/>
      <c r="BU2174" s="6"/>
      <c r="BV2174" s="6"/>
      <c r="BW2174" s="6"/>
      <c r="BX2174" s="6"/>
      <c r="BY2174" s="6"/>
      <c r="BZ2174" s="6"/>
    </row>
    <row r="2175" spans="1:78" s="496" customFormat="1" ht="21.75" customHeight="1"/>
    <row r="2176" spans="1:78" ht="21.75" customHeight="1">
      <c r="A2176" s="6"/>
      <c r="B2176" s="6"/>
      <c r="C2176" s="6"/>
      <c r="D2176" s="6"/>
      <c r="E2176" s="6"/>
      <c r="F2176" s="6"/>
      <c r="G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O2176" s="6"/>
      <c r="AP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6"/>
      <c r="BU2176" s="6"/>
      <c r="BV2176" s="6"/>
      <c r="BW2176" s="6"/>
      <c r="BX2176" s="6"/>
      <c r="BY2176" s="6"/>
      <c r="BZ2176" s="6"/>
    </row>
    <row r="2177" spans="1:78" s="448" customFormat="1" ht="21.75" customHeight="1"/>
    <row r="2178" spans="1:78" ht="21.75" customHeight="1">
      <c r="A2178" s="6"/>
      <c r="B2178" s="6"/>
      <c r="C2178" s="6"/>
      <c r="D2178" s="6"/>
      <c r="E2178" s="6"/>
      <c r="F2178" s="6"/>
      <c r="G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O2178" s="6"/>
      <c r="AP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6"/>
      <c r="BU2178" s="6"/>
      <c r="BV2178" s="6"/>
      <c r="BW2178" s="6"/>
      <c r="BX2178" s="6"/>
      <c r="BY2178" s="6"/>
      <c r="BZ2178" s="6"/>
    </row>
    <row r="2179" spans="1:78" ht="21.75" customHeight="1">
      <c r="A2179" s="6"/>
      <c r="B2179" s="6"/>
      <c r="C2179" s="6"/>
      <c r="D2179" s="6"/>
      <c r="E2179" s="6"/>
      <c r="F2179" s="6"/>
      <c r="G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O2179" s="6"/>
      <c r="AP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6"/>
      <c r="BU2179" s="6"/>
      <c r="BV2179" s="6"/>
      <c r="BW2179" s="6"/>
      <c r="BX2179" s="6"/>
      <c r="BY2179" s="6"/>
      <c r="BZ2179" s="6"/>
    </row>
    <row r="2180" spans="1:78" s="496" customFormat="1" ht="21.75" customHeight="1"/>
    <row r="2181" spans="1:78" ht="21.75" customHeight="1">
      <c r="A2181" s="6"/>
      <c r="B2181" s="6"/>
      <c r="C2181" s="6"/>
      <c r="D2181" s="6"/>
      <c r="E2181" s="6"/>
      <c r="F2181" s="6"/>
      <c r="G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O2181" s="6"/>
      <c r="AP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6"/>
      <c r="BU2181" s="6"/>
      <c r="BV2181" s="6"/>
      <c r="BW2181" s="6"/>
      <c r="BX2181" s="6"/>
      <c r="BY2181" s="6"/>
      <c r="BZ2181" s="6"/>
    </row>
    <row r="2182" spans="1:78" s="496" customFormat="1" ht="21.75" customHeight="1"/>
    <row r="2183" spans="1:78" s="450" customFormat="1" ht="21.75" customHeight="1"/>
    <row r="2184" spans="1:78" s="504" customFormat="1" ht="21.75" customHeight="1"/>
    <row r="2185" spans="1:78" s="505" customFormat="1" ht="21.75" customHeight="1"/>
    <row r="2186" spans="1:78" ht="21.75" customHeight="1">
      <c r="A2186" s="6"/>
      <c r="B2186" s="6"/>
      <c r="C2186" s="6"/>
      <c r="D2186" s="6"/>
      <c r="E2186" s="6"/>
      <c r="F2186" s="6"/>
      <c r="G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O2186" s="6"/>
      <c r="AP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6"/>
      <c r="BU2186" s="6"/>
      <c r="BV2186" s="6"/>
      <c r="BW2186" s="6"/>
      <c r="BX2186" s="6"/>
      <c r="BY2186" s="6"/>
      <c r="BZ2186" s="6"/>
    </row>
    <row r="2187" spans="1:78" ht="21.75" customHeight="1">
      <c r="A2187" s="6"/>
      <c r="B2187" s="6"/>
      <c r="C2187" s="6"/>
      <c r="D2187" s="6"/>
      <c r="E2187" s="6"/>
      <c r="F2187" s="6"/>
      <c r="G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O2187" s="6"/>
      <c r="AP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6"/>
      <c r="BU2187" s="6"/>
      <c r="BV2187" s="6"/>
      <c r="BW2187" s="6"/>
      <c r="BX2187" s="6"/>
      <c r="BY2187" s="6"/>
      <c r="BZ2187" s="6"/>
    </row>
    <row r="2188" spans="1:78" ht="21.75" customHeight="1">
      <c r="A2188" s="6"/>
      <c r="B2188" s="6"/>
      <c r="C2188" s="6"/>
      <c r="D2188" s="6"/>
      <c r="E2188" s="6"/>
      <c r="F2188" s="6"/>
      <c r="G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O2188" s="6"/>
      <c r="AP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6"/>
      <c r="BU2188" s="6"/>
      <c r="BV2188" s="6"/>
      <c r="BW2188" s="6"/>
      <c r="BX2188" s="6"/>
      <c r="BY2188" s="6"/>
      <c r="BZ2188" s="6"/>
    </row>
    <row r="2189" spans="1:78" s="472" customFormat="1" ht="21.75" customHeight="1"/>
    <row r="2190" spans="1:78" ht="21.75" customHeight="1">
      <c r="A2190" s="6"/>
      <c r="B2190" s="6"/>
      <c r="C2190" s="6"/>
      <c r="D2190" s="6"/>
      <c r="E2190" s="6"/>
      <c r="F2190" s="6"/>
      <c r="G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O2190" s="6"/>
      <c r="AP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6"/>
      <c r="BU2190" s="6"/>
      <c r="BV2190" s="6"/>
      <c r="BW2190" s="6"/>
      <c r="BX2190" s="6"/>
      <c r="BY2190" s="6"/>
      <c r="BZ2190" s="6"/>
    </row>
    <row r="2191" spans="1:78" ht="21.75" customHeight="1">
      <c r="A2191" s="6"/>
      <c r="B2191" s="6"/>
      <c r="C2191" s="6"/>
      <c r="D2191" s="6"/>
      <c r="E2191" s="6"/>
      <c r="F2191" s="6"/>
      <c r="G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O2191" s="6"/>
      <c r="AP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6"/>
      <c r="BU2191" s="6"/>
      <c r="BV2191" s="6"/>
      <c r="BW2191" s="6"/>
      <c r="BX2191" s="6"/>
      <c r="BY2191" s="6"/>
      <c r="BZ2191" s="6"/>
    </row>
    <row r="2192" spans="1:78" ht="21.75" customHeight="1">
      <c r="A2192" s="6"/>
      <c r="B2192" s="6"/>
      <c r="C2192" s="6"/>
      <c r="D2192" s="6"/>
      <c r="E2192" s="6"/>
      <c r="F2192" s="6"/>
      <c r="G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O2192" s="6"/>
      <c r="AP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6"/>
      <c r="BU2192" s="6"/>
      <c r="BV2192" s="6"/>
      <c r="BW2192" s="6"/>
      <c r="BX2192" s="6"/>
      <c r="BY2192" s="6"/>
      <c r="BZ2192" s="6"/>
    </row>
    <row r="2193" spans="1:78" s="448" customFormat="1" ht="21.75" customHeight="1"/>
    <row r="2194" spans="1:78" s="496" customFormat="1" ht="21.75" customHeight="1"/>
    <row r="2195" spans="1:78" ht="21.75" customHeight="1">
      <c r="A2195" s="6"/>
      <c r="B2195" s="6"/>
      <c r="C2195" s="6"/>
      <c r="D2195" s="6"/>
      <c r="E2195" s="6"/>
      <c r="F2195" s="6"/>
      <c r="G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O2195" s="6"/>
      <c r="AP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6"/>
      <c r="BU2195" s="6"/>
      <c r="BV2195" s="6"/>
      <c r="BW2195" s="6"/>
      <c r="BX2195" s="6"/>
      <c r="BY2195" s="6"/>
      <c r="BZ2195" s="6"/>
    </row>
    <row r="2196" spans="1:78" ht="21.75" customHeight="1">
      <c r="A2196" s="6"/>
      <c r="B2196" s="6"/>
      <c r="C2196" s="6"/>
      <c r="D2196" s="6"/>
      <c r="E2196" s="6"/>
      <c r="F2196" s="6"/>
      <c r="G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O2196" s="6"/>
      <c r="AP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6"/>
      <c r="BU2196" s="6"/>
      <c r="BV2196" s="6"/>
      <c r="BW2196" s="6"/>
      <c r="BX2196" s="6"/>
      <c r="BY2196" s="6"/>
      <c r="BZ2196" s="6"/>
    </row>
    <row r="2197" spans="1:78" s="496" customFormat="1" ht="21.75" customHeight="1"/>
    <row r="2198" spans="1:78" s="496" customFormat="1" ht="21.75" customHeight="1"/>
    <row r="2199" spans="1:78" s="448" customFormat="1" ht="21.75" customHeight="1"/>
    <row r="2200" spans="1:78" s="472" customFormat="1" ht="21.75" customHeight="1"/>
    <row r="2201" spans="1:78" s="496" customFormat="1" ht="21.75" customHeight="1"/>
    <row r="2202" spans="1:78" ht="21.75" customHeight="1">
      <c r="A2202" s="6"/>
      <c r="B2202" s="6"/>
      <c r="C2202" s="6"/>
      <c r="D2202" s="6"/>
      <c r="E2202" s="6"/>
      <c r="F2202" s="6"/>
      <c r="G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O2202" s="6"/>
      <c r="AP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6"/>
      <c r="BU2202" s="6"/>
      <c r="BV2202" s="6"/>
      <c r="BW2202" s="6"/>
      <c r="BX2202" s="6"/>
      <c r="BY2202" s="6"/>
      <c r="BZ2202" s="6"/>
    </row>
    <row r="2203" spans="1:78" s="496" customFormat="1" ht="21.75" customHeight="1"/>
    <row r="2204" spans="1:78" ht="21.75" customHeight="1">
      <c r="A2204" s="6"/>
      <c r="B2204" s="6"/>
      <c r="C2204" s="6"/>
      <c r="D2204" s="6"/>
      <c r="E2204" s="6"/>
      <c r="F2204" s="6"/>
      <c r="G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O2204" s="6"/>
      <c r="AP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6"/>
      <c r="BU2204" s="6"/>
      <c r="BV2204" s="6"/>
      <c r="BW2204" s="6"/>
      <c r="BX2204" s="6"/>
      <c r="BY2204" s="6"/>
      <c r="BZ2204" s="6"/>
    </row>
    <row r="2205" spans="1:78" s="450" customFormat="1" ht="21.75" customHeight="1"/>
    <row r="2206" spans="1:78" s="448" customFormat="1" ht="21.75" customHeight="1"/>
    <row r="2207" spans="1:78" ht="21.75" customHeight="1">
      <c r="A2207" s="6"/>
      <c r="B2207" s="6"/>
      <c r="C2207" s="6"/>
      <c r="D2207" s="6"/>
      <c r="E2207" s="6"/>
      <c r="F2207" s="6"/>
      <c r="G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O2207" s="6"/>
      <c r="AP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6"/>
      <c r="BU2207" s="6"/>
      <c r="BV2207" s="6"/>
      <c r="BW2207" s="6"/>
      <c r="BX2207" s="6"/>
      <c r="BY2207" s="6"/>
      <c r="BZ2207" s="6"/>
    </row>
    <row r="2208" spans="1:78" s="496" customFormat="1" ht="21.75" customHeight="1"/>
    <row r="2209" spans="1:78" s="505" customFormat="1" ht="21.75" customHeight="1"/>
    <row r="2210" spans="1:78" s="504" customFormat="1" ht="21.75" customHeight="1"/>
    <row r="2211" spans="1:78" ht="21.75" customHeight="1">
      <c r="A2211" s="6"/>
      <c r="B2211" s="6"/>
      <c r="C2211" s="6"/>
      <c r="D2211" s="6"/>
      <c r="E2211" s="6"/>
      <c r="F2211" s="6"/>
      <c r="G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O2211" s="6"/>
      <c r="AP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6"/>
      <c r="BU2211" s="6"/>
      <c r="BV2211" s="6"/>
      <c r="BW2211" s="6"/>
      <c r="BX2211" s="6"/>
      <c r="BY2211" s="6"/>
      <c r="BZ2211" s="6"/>
    </row>
    <row r="2212" spans="1:78" ht="21.75" customHeight="1">
      <c r="A2212" s="6"/>
      <c r="B2212" s="6"/>
      <c r="C2212" s="6"/>
      <c r="D2212" s="6"/>
      <c r="E2212" s="6"/>
      <c r="F2212" s="6"/>
      <c r="G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O2212" s="6"/>
      <c r="AP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6"/>
      <c r="BU2212" s="6"/>
      <c r="BV2212" s="6"/>
      <c r="BW2212" s="6"/>
      <c r="BX2212" s="6"/>
      <c r="BY2212" s="6"/>
      <c r="BZ2212" s="6"/>
    </row>
    <row r="2213" spans="1:78" ht="21.75" customHeight="1">
      <c r="A2213" s="6"/>
      <c r="B2213" s="6"/>
      <c r="C2213" s="6"/>
      <c r="D2213" s="6"/>
      <c r="E2213" s="6"/>
      <c r="F2213" s="6"/>
      <c r="G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O2213" s="6"/>
      <c r="AP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6"/>
      <c r="BU2213" s="6"/>
      <c r="BV2213" s="6"/>
      <c r="BW2213" s="6"/>
      <c r="BX2213" s="6"/>
      <c r="BY2213" s="6"/>
      <c r="BZ2213" s="6"/>
    </row>
    <row r="2214" spans="1:78" s="496" customFormat="1" ht="21.75" customHeight="1"/>
    <row r="2215" spans="1:78" s="496" customFormat="1" ht="21.75" customHeight="1"/>
    <row r="2216" spans="1:78" s="496" customFormat="1" ht="21.75" customHeight="1"/>
    <row r="2217" spans="1:78" ht="21.75" customHeight="1">
      <c r="A2217" s="6"/>
      <c r="B2217" s="6"/>
      <c r="C2217" s="6"/>
      <c r="D2217" s="6"/>
      <c r="E2217" s="6"/>
      <c r="F2217" s="6"/>
      <c r="G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O2217" s="6"/>
      <c r="AP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6"/>
      <c r="BU2217" s="6"/>
      <c r="BV2217" s="6"/>
      <c r="BW2217" s="6"/>
      <c r="BX2217" s="6"/>
      <c r="BY2217" s="6"/>
      <c r="BZ2217" s="6"/>
    </row>
    <row r="2218" spans="1:78" s="495" customFormat="1" ht="21.75" customHeight="1"/>
    <row r="2219" spans="1:78" s="505" customFormat="1" ht="21.75" customHeight="1"/>
    <row r="2220" spans="1:78" s="496" customFormat="1" ht="21.75" customHeight="1"/>
    <row r="2221" spans="1:78" ht="21.75" customHeight="1">
      <c r="A2221" s="6"/>
      <c r="B2221" s="6"/>
      <c r="C2221" s="6"/>
      <c r="D2221" s="6"/>
      <c r="E2221" s="6"/>
      <c r="F2221" s="6"/>
      <c r="G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O2221" s="6"/>
      <c r="AP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6"/>
      <c r="BU2221" s="6"/>
      <c r="BV2221" s="6"/>
      <c r="BW2221" s="6"/>
      <c r="BX2221" s="6"/>
      <c r="BY2221" s="6"/>
      <c r="BZ2221" s="6"/>
    </row>
    <row r="2222" spans="1:78" s="472" customFormat="1" ht="21.75" customHeight="1"/>
    <row r="2223" spans="1:78" s="450" customFormat="1" ht="21.75" customHeight="1"/>
    <row r="2224" spans="1:78" s="466" customFormat="1" ht="21.75" customHeight="1"/>
    <row r="2225" spans="1:78" s="495" customFormat="1" ht="21.75" customHeight="1"/>
    <row r="2226" spans="1:78" s="496" customFormat="1" ht="21.75" customHeight="1"/>
    <row r="2227" spans="1:78" ht="21.75" customHeight="1">
      <c r="A2227" s="6"/>
      <c r="B2227" s="6"/>
      <c r="C2227" s="6"/>
      <c r="D2227" s="6"/>
      <c r="E2227" s="6"/>
      <c r="F2227" s="6"/>
      <c r="G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O2227" s="6"/>
      <c r="AP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6"/>
      <c r="BU2227" s="6"/>
      <c r="BV2227" s="6"/>
      <c r="BW2227" s="6"/>
      <c r="BX2227" s="6"/>
      <c r="BY2227" s="6"/>
      <c r="BZ2227" s="6"/>
    </row>
    <row r="2228" spans="1:78" ht="21.75" customHeight="1">
      <c r="A2228" s="6"/>
      <c r="B2228" s="6"/>
      <c r="C2228" s="6"/>
      <c r="D2228" s="6"/>
      <c r="E2228" s="6"/>
      <c r="F2228" s="6"/>
      <c r="G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O2228" s="6"/>
      <c r="AP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6"/>
      <c r="BU2228" s="6"/>
      <c r="BV2228" s="6"/>
      <c r="BW2228" s="6"/>
      <c r="BX2228" s="6"/>
      <c r="BY2228" s="6"/>
      <c r="BZ2228" s="6"/>
    </row>
    <row r="2229" spans="1:78" s="496" customFormat="1" ht="21.75" customHeight="1"/>
    <row r="2230" spans="1:78" s="472" customFormat="1" ht="21.75" customHeight="1"/>
    <row r="2231" spans="1:78" s="496" customFormat="1" ht="21.75" customHeight="1"/>
    <row r="2232" spans="1:78" s="496" customFormat="1" ht="21.75" customHeight="1"/>
    <row r="2233" spans="1:78" s="448" customFormat="1" ht="21.75" customHeight="1"/>
    <row r="2234" spans="1:78" s="495" customFormat="1" ht="21.75" customHeight="1"/>
    <row r="2235" spans="1:78" ht="21.75" customHeight="1">
      <c r="A2235" s="6"/>
      <c r="B2235" s="6"/>
      <c r="C2235" s="6"/>
      <c r="D2235" s="6"/>
      <c r="E2235" s="6"/>
      <c r="F2235" s="6"/>
      <c r="G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O2235" s="6"/>
      <c r="AP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6"/>
      <c r="BU2235" s="6"/>
      <c r="BV2235" s="6"/>
      <c r="BW2235" s="6"/>
      <c r="BX2235" s="6"/>
      <c r="BY2235" s="6"/>
      <c r="BZ2235" s="6"/>
    </row>
    <row r="2236" spans="1:78" ht="21.75" customHeight="1">
      <c r="A2236" s="6"/>
      <c r="B2236" s="6"/>
      <c r="C2236" s="6"/>
      <c r="D2236" s="6"/>
      <c r="E2236" s="6"/>
      <c r="F2236" s="6"/>
      <c r="G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O2236" s="6"/>
      <c r="AP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6"/>
      <c r="BU2236" s="6"/>
      <c r="BV2236" s="6"/>
      <c r="BW2236" s="6"/>
      <c r="BX2236" s="6"/>
      <c r="BY2236" s="6"/>
      <c r="BZ2236" s="6"/>
    </row>
    <row r="2237" spans="1:78" ht="21.75" customHeight="1">
      <c r="A2237" s="6"/>
      <c r="B2237" s="6"/>
      <c r="C2237" s="6"/>
      <c r="D2237" s="6"/>
      <c r="E2237" s="6"/>
      <c r="F2237" s="6"/>
      <c r="G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O2237" s="6"/>
      <c r="AP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6"/>
      <c r="BU2237" s="6"/>
      <c r="BV2237" s="6"/>
      <c r="BW2237" s="6"/>
      <c r="BX2237" s="6"/>
      <c r="BY2237" s="6"/>
      <c r="BZ2237" s="6"/>
    </row>
    <row r="2238" spans="1:78" s="468" customFormat="1" ht="21.75" customHeight="1"/>
    <row r="2239" spans="1:78" s="504" customFormat="1" ht="21.75" customHeight="1"/>
    <row r="2240" spans="1:78" ht="21.75" customHeight="1">
      <c r="A2240" s="6"/>
      <c r="B2240" s="6"/>
      <c r="C2240" s="6"/>
      <c r="D2240" s="6"/>
      <c r="E2240" s="6"/>
      <c r="F2240" s="6"/>
      <c r="G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O2240" s="6"/>
      <c r="AP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6"/>
      <c r="BU2240" s="6"/>
      <c r="BV2240" s="6"/>
      <c r="BW2240" s="6"/>
      <c r="BX2240" s="6"/>
      <c r="BY2240" s="6"/>
      <c r="BZ2240" s="6"/>
    </row>
    <row r="2241" spans="1:78" s="496" customFormat="1" ht="21.75" customHeight="1"/>
    <row r="2242" spans="1:78" s="496" customFormat="1" ht="21.75" customHeight="1"/>
    <row r="2243" spans="1:78" s="496" customFormat="1" ht="21.75" customHeight="1"/>
    <row r="2244" spans="1:78" ht="21.75" customHeight="1">
      <c r="A2244" s="6"/>
      <c r="B2244" s="6"/>
      <c r="C2244" s="6"/>
      <c r="D2244" s="6"/>
      <c r="E2244" s="6"/>
      <c r="F2244" s="6"/>
      <c r="G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O2244" s="6"/>
      <c r="AP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6"/>
      <c r="BU2244" s="6"/>
      <c r="BV2244" s="6"/>
      <c r="BW2244" s="6"/>
      <c r="BX2244" s="6"/>
      <c r="BY2244" s="6"/>
      <c r="BZ2244" s="6"/>
    </row>
    <row r="2245" spans="1:78" s="496" customFormat="1" ht="21.75" customHeight="1"/>
    <row r="2246" spans="1:78" ht="21.75" customHeight="1">
      <c r="A2246" s="6"/>
      <c r="B2246" s="6"/>
      <c r="C2246" s="6"/>
      <c r="D2246" s="6"/>
      <c r="E2246" s="6"/>
      <c r="F2246" s="6"/>
      <c r="G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O2246" s="6"/>
      <c r="AP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6"/>
      <c r="BU2246" s="6"/>
      <c r="BV2246" s="6"/>
      <c r="BW2246" s="6"/>
      <c r="BX2246" s="6"/>
      <c r="BY2246" s="6"/>
      <c r="BZ2246" s="6"/>
    </row>
    <row r="2247" spans="1:78" s="496" customFormat="1" ht="21.75" customHeight="1"/>
    <row r="2248" spans="1:78" s="496" customFormat="1" ht="21.75" customHeight="1"/>
    <row r="2249" spans="1:78" s="495" customFormat="1" ht="21.75" customHeight="1"/>
    <row r="2250" spans="1:78" s="496" customFormat="1" ht="21.75" customHeight="1"/>
    <row r="2251" spans="1:78" s="496" customFormat="1" ht="21.75" customHeight="1"/>
    <row r="2252" spans="1:78" ht="21.75" customHeight="1">
      <c r="A2252" s="6"/>
      <c r="B2252" s="6"/>
      <c r="C2252" s="6"/>
      <c r="D2252" s="6"/>
      <c r="E2252" s="6"/>
      <c r="F2252" s="6"/>
      <c r="G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O2252" s="6"/>
      <c r="AP2252" s="6"/>
      <c r="BH2252" s="6"/>
      <c r="BI2252" s="6"/>
      <c r="BJ2252" s="6"/>
      <c r="BK2252" s="6"/>
      <c r="BL2252" s="6"/>
      <c r="BM2252" s="6"/>
      <c r="BN2252" s="6"/>
      <c r="BO2252" s="6"/>
      <c r="BP2252" s="6"/>
      <c r="BQ2252" s="6"/>
      <c r="BR2252" s="6"/>
      <c r="BS2252" s="6"/>
      <c r="BT2252" s="6"/>
      <c r="BU2252" s="6"/>
      <c r="BV2252" s="6"/>
      <c r="BW2252" s="6"/>
      <c r="BX2252" s="6"/>
      <c r="BY2252" s="6"/>
      <c r="BZ2252" s="6"/>
    </row>
    <row r="2253" spans="1:78" s="496" customFormat="1" ht="21.75" customHeight="1"/>
    <row r="2254" spans="1:78" s="496" customFormat="1" ht="21.75" customHeight="1"/>
    <row r="2255" spans="1:78" ht="21.75" customHeight="1">
      <c r="A2255" s="6"/>
      <c r="B2255" s="6"/>
      <c r="C2255" s="6"/>
      <c r="D2255" s="6"/>
      <c r="E2255" s="6"/>
      <c r="F2255" s="6"/>
      <c r="G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O2255" s="6"/>
      <c r="AP2255" s="6"/>
      <c r="BH2255" s="6"/>
      <c r="BI2255" s="6"/>
      <c r="BJ2255" s="6"/>
      <c r="BK2255" s="6"/>
      <c r="BL2255" s="6"/>
      <c r="BM2255" s="6"/>
      <c r="BN2255" s="6"/>
      <c r="BO2255" s="6"/>
      <c r="BP2255" s="6"/>
      <c r="BQ2255" s="6"/>
      <c r="BR2255" s="6"/>
      <c r="BS2255" s="6"/>
      <c r="BT2255" s="6"/>
      <c r="BU2255" s="6"/>
      <c r="BV2255" s="6"/>
      <c r="BW2255" s="6"/>
      <c r="BX2255" s="6"/>
      <c r="BY2255" s="6"/>
      <c r="BZ2255" s="6"/>
    </row>
    <row r="2256" spans="1:78" s="497" customFormat="1" ht="21.75" customHeight="1"/>
    <row r="2257" spans="1:78" s="448" customFormat="1" ht="21.75" customHeight="1"/>
    <row r="2258" spans="1:78" ht="21.75" customHeight="1">
      <c r="A2258" s="6"/>
      <c r="B2258" s="6"/>
      <c r="C2258" s="6"/>
      <c r="D2258" s="6"/>
      <c r="E2258" s="6"/>
      <c r="F2258" s="6"/>
      <c r="G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O2258" s="6"/>
      <c r="AP2258" s="6"/>
      <c r="BH2258" s="6"/>
      <c r="BI2258" s="6"/>
      <c r="BJ2258" s="6"/>
      <c r="BK2258" s="6"/>
      <c r="BL2258" s="6"/>
      <c r="BM2258" s="6"/>
      <c r="BN2258" s="6"/>
      <c r="BO2258" s="6"/>
      <c r="BP2258" s="6"/>
      <c r="BQ2258" s="6"/>
      <c r="BR2258" s="6"/>
      <c r="BS2258" s="6"/>
      <c r="BT2258" s="6"/>
      <c r="BU2258" s="6"/>
      <c r="BV2258" s="6"/>
      <c r="BW2258" s="6"/>
      <c r="BX2258" s="6"/>
      <c r="BY2258" s="6"/>
      <c r="BZ2258" s="6"/>
    </row>
    <row r="2259" spans="1:78" s="472" customFormat="1" ht="21.75" customHeight="1"/>
    <row r="2260" spans="1:78" ht="21.75" customHeight="1">
      <c r="A2260" s="6"/>
      <c r="B2260" s="6"/>
      <c r="C2260" s="6"/>
      <c r="D2260" s="6"/>
      <c r="E2260" s="6"/>
      <c r="F2260" s="6"/>
      <c r="G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O2260" s="6"/>
      <c r="AP2260" s="6"/>
      <c r="BH2260" s="6"/>
      <c r="BI2260" s="6"/>
      <c r="BJ2260" s="6"/>
      <c r="BK2260" s="6"/>
      <c r="BL2260" s="6"/>
      <c r="BM2260" s="6"/>
      <c r="BN2260" s="6"/>
      <c r="BO2260" s="6"/>
      <c r="BP2260" s="6"/>
      <c r="BQ2260" s="6"/>
      <c r="BR2260" s="6"/>
      <c r="BS2260" s="6"/>
      <c r="BT2260" s="6"/>
      <c r="BU2260" s="6"/>
      <c r="BV2260" s="6"/>
      <c r="BW2260" s="6"/>
      <c r="BX2260" s="6"/>
      <c r="BY2260" s="6"/>
      <c r="BZ2260" s="6"/>
    </row>
    <row r="2261" spans="1:78" s="496" customFormat="1" ht="21.75" customHeight="1"/>
    <row r="2262" spans="1:78" s="496" customFormat="1" ht="21.75" customHeight="1"/>
    <row r="2263" spans="1:78" s="496" customFormat="1" ht="21.75" customHeight="1"/>
    <row r="2264" spans="1:78" s="496" customFormat="1" ht="21.75" customHeight="1"/>
    <row r="2265" spans="1:78" ht="21.75" customHeight="1">
      <c r="A2265" s="6"/>
      <c r="B2265" s="6"/>
      <c r="C2265" s="6"/>
      <c r="D2265" s="6"/>
      <c r="E2265" s="6"/>
      <c r="F2265" s="6"/>
      <c r="G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O2265" s="6"/>
      <c r="AP2265" s="6"/>
      <c r="BH2265" s="6"/>
      <c r="BI2265" s="6"/>
      <c r="BJ2265" s="6"/>
      <c r="BK2265" s="6"/>
      <c r="BL2265" s="6"/>
      <c r="BM2265" s="6"/>
      <c r="BN2265" s="6"/>
      <c r="BO2265" s="6"/>
      <c r="BP2265" s="6"/>
      <c r="BQ2265" s="6"/>
      <c r="BR2265" s="6"/>
      <c r="BS2265" s="6"/>
      <c r="BT2265" s="6"/>
      <c r="BU2265" s="6"/>
      <c r="BV2265" s="6"/>
      <c r="BW2265" s="6"/>
      <c r="BX2265" s="6"/>
      <c r="BY2265" s="6"/>
      <c r="BZ2265" s="6"/>
    </row>
    <row r="2266" spans="1:78" s="497" customFormat="1" ht="21.75" customHeight="1"/>
    <row r="2267" spans="1:78" s="504" customFormat="1" ht="21.75" customHeight="1"/>
    <row r="2268" spans="1:78" s="496" customFormat="1" ht="21.75" customHeight="1"/>
    <row r="2269" spans="1:78" s="496" customFormat="1" ht="21.75" customHeight="1"/>
    <row r="2270" spans="1:78" ht="21.75" customHeight="1">
      <c r="A2270" s="6"/>
      <c r="B2270" s="6"/>
      <c r="C2270" s="6"/>
      <c r="D2270" s="6"/>
      <c r="E2270" s="6"/>
      <c r="F2270" s="6"/>
      <c r="G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O2270" s="6"/>
      <c r="AP2270" s="6"/>
      <c r="BH2270" s="6"/>
      <c r="BI2270" s="6"/>
      <c r="BJ2270" s="6"/>
      <c r="BK2270" s="6"/>
      <c r="BL2270" s="6"/>
      <c r="BM2270" s="6"/>
      <c r="BN2270" s="6"/>
      <c r="BO2270" s="6"/>
      <c r="BP2270" s="6"/>
      <c r="BQ2270" s="6"/>
      <c r="BR2270" s="6"/>
      <c r="BS2270" s="6"/>
      <c r="BT2270" s="6"/>
      <c r="BU2270" s="6"/>
      <c r="BV2270" s="6"/>
      <c r="BW2270" s="6"/>
      <c r="BX2270" s="6"/>
      <c r="BY2270" s="6"/>
      <c r="BZ2270" s="6"/>
    </row>
    <row r="2271" spans="1:78" ht="21.75" customHeight="1">
      <c r="A2271" s="6"/>
      <c r="B2271" s="6"/>
      <c r="C2271" s="6"/>
      <c r="D2271" s="6"/>
      <c r="E2271" s="6"/>
      <c r="F2271" s="6"/>
      <c r="G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O2271" s="6"/>
      <c r="AP2271" s="6"/>
      <c r="BH2271" s="6"/>
      <c r="BI2271" s="6"/>
      <c r="BJ2271" s="6"/>
      <c r="BK2271" s="6"/>
      <c r="BL2271" s="6"/>
      <c r="BM2271" s="6"/>
      <c r="BN2271" s="6"/>
      <c r="BO2271" s="6"/>
      <c r="BP2271" s="6"/>
      <c r="BQ2271" s="6"/>
      <c r="BR2271" s="6"/>
      <c r="BS2271" s="6"/>
      <c r="BT2271" s="6"/>
      <c r="BU2271" s="6"/>
      <c r="BV2271" s="6"/>
      <c r="BW2271" s="6"/>
      <c r="BX2271" s="6"/>
      <c r="BY2271" s="6"/>
      <c r="BZ2271" s="6"/>
    </row>
    <row r="2272" spans="1:78" ht="21.75" customHeight="1">
      <c r="A2272" s="6"/>
      <c r="B2272" s="6"/>
      <c r="C2272" s="6"/>
      <c r="D2272" s="6"/>
      <c r="E2272" s="6"/>
      <c r="F2272" s="6"/>
      <c r="G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O2272" s="6"/>
      <c r="AP2272" s="6"/>
      <c r="BH2272" s="6"/>
      <c r="BI2272" s="6"/>
      <c r="BJ2272" s="6"/>
      <c r="BK2272" s="6"/>
      <c r="BL2272" s="6"/>
      <c r="BM2272" s="6"/>
      <c r="BN2272" s="6"/>
      <c r="BO2272" s="6"/>
      <c r="BP2272" s="6"/>
      <c r="BQ2272" s="6"/>
      <c r="BR2272" s="6"/>
      <c r="BS2272" s="6"/>
      <c r="BT2272" s="6"/>
      <c r="BU2272" s="6"/>
      <c r="BV2272" s="6"/>
      <c r="BW2272" s="6"/>
      <c r="BX2272" s="6"/>
      <c r="BY2272" s="6"/>
      <c r="BZ2272" s="6"/>
    </row>
    <row r="2273" spans="1:78" ht="21.75" customHeight="1">
      <c r="A2273" s="6"/>
      <c r="B2273" s="6"/>
      <c r="C2273" s="6"/>
      <c r="D2273" s="6"/>
      <c r="E2273" s="6"/>
      <c r="F2273" s="6"/>
      <c r="G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O2273" s="6"/>
      <c r="AP2273" s="6"/>
      <c r="BH2273" s="6"/>
      <c r="BI2273" s="6"/>
      <c r="BJ2273" s="6"/>
      <c r="BK2273" s="6"/>
      <c r="BL2273" s="6"/>
      <c r="BM2273" s="6"/>
      <c r="BN2273" s="6"/>
      <c r="BO2273" s="6"/>
      <c r="BP2273" s="6"/>
      <c r="BQ2273" s="6"/>
      <c r="BR2273" s="6"/>
      <c r="BS2273" s="6"/>
      <c r="BT2273" s="6"/>
      <c r="BU2273" s="6"/>
      <c r="BV2273" s="6"/>
      <c r="BW2273" s="6"/>
      <c r="BX2273" s="6"/>
      <c r="BY2273" s="6"/>
      <c r="BZ2273" s="6"/>
    </row>
    <row r="2274" spans="1:78" s="496" customFormat="1" ht="21.75" customHeight="1"/>
    <row r="2275" spans="1:78" s="501" customFormat="1" ht="21.75" customHeight="1"/>
    <row r="2276" spans="1:78" s="495" customFormat="1" ht="21.75" customHeight="1"/>
    <row r="2277" spans="1:78" s="496" customFormat="1" ht="21.75" customHeight="1"/>
    <row r="2278" spans="1:78" ht="21.75" customHeight="1">
      <c r="A2278" s="6"/>
      <c r="B2278" s="6"/>
      <c r="C2278" s="6"/>
      <c r="D2278" s="6"/>
      <c r="E2278" s="6"/>
      <c r="F2278" s="6"/>
      <c r="G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O2278" s="6"/>
      <c r="AP2278" s="6"/>
      <c r="BH2278" s="6"/>
      <c r="BI2278" s="6"/>
      <c r="BJ2278" s="6"/>
      <c r="BK2278" s="6"/>
      <c r="BL2278" s="6"/>
      <c r="BM2278" s="6"/>
      <c r="BN2278" s="6"/>
      <c r="BO2278" s="6"/>
      <c r="BP2278" s="6"/>
      <c r="BQ2278" s="6"/>
      <c r="BR2278" s="6"/>
      <c r="BS2278" s="6"/>
      <c r="BT2278" s="6"/>
      <c r="BU2278" s="6"/>
      <c r="BV2278" s="6"/>
      <c r="BW2278" s="6"/>
      <c r="BX2278" s="6"/>
      <c r="BY2278" s="6"/>
      <c r="BZ2278" s="6"/>
    </row>
    <row r="2279" spans="1:78" s="496" customFormat="1" ht="21.75" customHeight="1"/>
    <row r="2280" spans="1:78" s="496" customFormat="1" ht="21.75" customHeight="1"/>
    <row r="2281" spans="1:78" s="496" customFormat="1" ht="21.75" customHeight="1"/>
    <row r="2282" spans="1:78" s="495" customFormat="1" ht="21.75" customHeight="1"/>
    <row r="2283" spans="1:78" s="496" customFormat="1" ht="21.75" customHeight="1"/>
    <row r="2284" spans="1:78" s="496" customFormat="1" ht="21.75" customHeight="1"/>
    <row r="2285" spans="1:78" s="496" customFormat="1" ht="21.75" customHeight="1"/>
    <row r="2286" spans="1:78" s="496" customFormat="1" ht="21.75" customHeight="1"/>
    <row r="2287" spans="1:78" s="496" customFormat="1" ht="21.75" customHeight="1"/>
    <row r="2288" spans="1:78" ht="21.75" customHeight="1">
      <c r="A2288" s="6"/>
      <c r="B2288" s="6"/>
      <c r="C2288" s="6"/>
      <c r="D2288" s="6"/>
      <c r="E2288" s="6"/>
      <c r="F2288" s="6"/>
      <c r="G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O2288" s="6"/>
      <c r="AP2288" s="6"/>
      <c r="BH2288" s="6"/>
      <c r="BI2288" s="6"/>
      <c r="BJ2288" s="6"/>
      <c r="BK2288" s="6"/>
      <c r="BL2288" s="6"/>
      <c r="BM2288" s="6"/>
      <c r="BN2288" s="6"/>
      <c r="BO2288" s="6"/>
      <c r="BP2288" s="6"/>
      <c r="BQ2288" s="6"/>
      <c r="BR2288" s="6"/>
      <c r="BS2288" s="6"/>
      <c r="BT2288" s="6"/>
      <c r="BU2288" s="6"/>
      <c r="BV2288" s="6"/>
      <c r="BW2288" s="6"/>
      <c r="BX2288" s="6"/>
      <c r="BY2288" s="6"/>
      <c r="BZ2288" s="6"/>
    </row>
    <row r="2289" spans="1:78" s="496" customFormat="1" ht="21.75" customHeight="1"/>
    <row r="2290" spans="1:78" s="496" customFormat="1" ht="21.75" customHeight="1"/>
    <row r="2291" spans="1:78" s="495" customFormat="1" ht="21.75" customHeight="1"/>
    <row r="2292" spans="1:78" s="450" customFormat="1" ht="21.75" customHeight="1"/>
    <row r="2293" spans="1:78" s="448" customFormat="1" ht="21.75" customHeight="1"/>
    <row r="2294" spans="1:78" s="496" customFormat="1" ht="21.75" customHeight="1"/>
    <row r="2295" spans="1:78" s="496" customFormat="1" ht="21.75" customHeight="1"/>
    <row r="2296" spans="1:78" ht="21.75" customHeight="1">
      <c r="A2296" s="6"/>
      <c r="B2296" s="6"/>
      <c r="C2296" s="6"/>
      <c r="D2296" s="6"/>
      <c r="E2296" s="6"/>
      <c r="F2296" s="6"/>
      <c r="G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O2296" s="6"/>
      <c r="AP2296" s="6"/>
      <c r="BH2296" s="6"/>
      <c r="BI2296" s="6"/>
      <c r="BJ2296" s="6"/>
      <c r="BK2296" s="6"/>
      <c r="BL2296" s="6"/>
      <c r="BM2296" s="6"/>
      <c r="BN2296" s="6"/>
      <c r="BO2296" s="6"/>
      <c r="BP2296" s="6"/>
      <c r="BQ2296" s="6"/>
      <c r="BR2296" s="6"/>
      <c r="BS2296" s="6"/>
      <c r="BT2296" s="6"/>
      <c r="BU2296" s="6"/>
      <c r="BV2296" s="6"/>
      <c r="BW2296" s="6"/>
      <c r="BX2296" s="6"/>
      <c r="BY2296" s="6"/>
      <c r="BZ2296" s="6"/>
    </row>
    <row r="2297" spans="1:78" ht="21.75" customHeight="1">
      <c r="A2297" s="6"/>
      <c r="B2297" s="6"/>
      <c r="C2297" s="6"/>
      <c r="D2297" s="6"/>
      <c r="E2297" s="6"/>
      <c r="F2297" s="6"/>
      <c r="G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O2297" s="6"/>
      <c r="AP2297" s="6"/>
      <c r="BH2297" s="6"/>
      <c r="BI2297" s="6"/>
      <c r="BJ2297" s="6"/>
      <c r="BK2297" s="6"/>
      <c r="BL2297" s="6"/>
      <c r="BM2297" s="6"/>
      <c r="BN2297" s="6"/>
      <c r="BO2297" s="6"/>
      <c r="BP2297" s="6"/>
      <c r="BQ2297" s="6"/>
      <c r="BR2297" s="6"/>
      <c r="BS2297" s="6"/>
      <c r="BT2297" s="6"/>
      <c r="BU2297" s="6"/>
      <c r="BV2297" s="6"/>
      <c r="BW2297" s="6"/>
      <c r="BX2297" s="6"/>
      <c r="BY2297" s="6"/>
      <c r="BZ2297" s="6"/>
    </row>
    <row r="2298" spans="1:78" s="496" customFormat="1" ht="21.75" customHeight="1"/>
    <row r="2299" spans="1:78" ht="21.75" customHeight="1">
      <c r="A2299" s="6"/>
      <c r="B2299" s="6"/>
      <c r="C2299" s="6"/>
      <c r="D2299" s="6"/>
      <c r="E2299" s="6"/>
      <c r="F2299" s="6"/>
      <c r="G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O2299" s="6"/>
      <c r="AP2299" s="6"/>
      <c r="BH2299" s="6"/>
      <c r="BI2299" s="6"/>
      <c r="BJ2299" s="6"/>
      <c r="BK2299" s="6"/>
      <c r="BL2299" s="6"/>
      <c r="BM2299" s="6"/>
      <c r="BN2299" s="6"/>
      <c r="BO2299" s="6"/>
      <c r="BP2299" s="6"/>
      <c r="BQ2299" s="6"/>
      <c r="BR2299" s="6"/>
      <c r="BS2299" s="6"/>
      <c r="BT2299" s="6"/>
      <c r="BU2299" s="6"/>
      <c r="BV2299" s="6"/>
      <c r="BW2299" s="6"/>
      <c r="BX2299" s="6"/>
      <c r="BY2299" s="6"/>
      <c r="BZ2299" s="6"/>
    </row>
    <row r="2300" spans="1:78" s="495" customFormat="1" ht="21.75" customHeight="1"/>
    <row r="2301" spans="1:78" ht="21.75" customHeight="1">
      <c r="A2301" s="6"/>
      <c r="B2301" s="6"/>
      <c r="C2301" s="6"/>
      <c r="D2301" s="6"/>
      <c r="E2301" s="6"/>
      <c r="F2301" s="6"/>
      <c r="G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O2301" s="6"/>
      <c r="AP2301" s="6"/>
      <c r="BH2301" s="6"/>
      <c r="BI2301" s="6"/>
      <c r="BJ2301" s="6"/>
      <c r="BK2301" s="6"/>
      <c r="BL2301" s="6"/>
      <c r="BM2301" s="6"/>
      <c r="BN2301" s="6"/>
      <c r="BO2301" s="6"/>
      <c r="BP2301" s="6"/>
      <c r="BQ2301" s="6"/>
      <c r="BR2301" s="6"/>
      <c r="BS2301" s="6"/>
      <c r="BT2301" s="6"/>
      <c r="BU2301" s="6"/>
      <c r="BV2301" s="6"/>
      <c r="BW2301" s="6"/>
      <c r="BX2301" s="6"/>
      <c r="BY2301" s="6"/>
      <c r="BZ2301" s="6"/>
    </row>
    <row r="2302" spans="1:78" s="496" customFormat="1" ht="21.75" customHeight="1"/>
    <row r="2303" spans="1:78" ht="21.75" customHeight="1">
      <c r="A2303" s="6"/>
      <c r="B2303" s="6"/>
      <c r="C2303" s="6"/>
      <c r="D2303" s="6"/>
      <c r="E2303" s="6"/>
      <c r="F2303" s="6"/>
      <c r="G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O2303" s="6"/>
      <c r="AP2303" s="6"/>
      <c r="BH2303" s="6"/>
      <c r="BI2303" s="6"/>
      <c r="BJ2303" s="6"/>
      <c r="BK2303" s="6"/>
      <c r="BL2303" s="6"/>
      <c r="BM2303" s="6"/>
      <c r="BN2303" s="6"/>
      <c r="BO2303" s="6"/>
      <c r="BP2303" s="6"/>
      <c r="BQ2303" s="6"/>
      <c r="BR2303" s="6"/>
      <c r="BS2303" s="6"/>
      <c r="BT2303" s="6"/>
      <c r="BU2303" s="6"/>
      <c r="BV2303" s="6"/>
      <c r="BW2303" s="6"/>
      <c r="BX2303" s="6"/>
      <c r="BY2303" s="6"/>
      <c r="BZ2303" s="6"/>
    </row>
    <row r="2304" spans="1:78" s="505" customFormat="1" ht="21.75" customHeight="1"/>
    <row r="2305" spans="1:78" ht="21.75" customHeight="1">
      <c r="A2305" s="6"/>
      <c r="B2305" s="6"/>
      <c r="C2305" s="6"/>
      <c r="D2305" s="6"/>
      <c r="E2305" s="6"/>
      <c r="F2305" s="6"/>
      <c r="G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O2305" s="6"/>
      <c r="AP2305" s="6"/>
      <c r="BH2305" s="6"/>
      <c r="BI2305" s="6"/>
      <c r="BJ2305" s="6"/>
      <c r="BK2305" s="6"/>
      <c r="BL2305" s="6"/>
      <c r="BM2305" s="6"/>
      <c r="BN2305" s="6"/>
      <c r="BO2305" s="6"/>
      <c r="BP2305" s="6"/>
      <c r="BQ2305" s="6"/>
      <c r="BR2305" s="6"/>
      <c r="BS2305" s="6"/>
      <c r="BT2305" s="6"/>
      <c r="BU2305" s="6"/>
      <c r="BV2305" s="6"/>
      <c r="BW2305" s="6"/>
      <c r="BX2305" s="6"/>
      <c r="BY2305" s="6"/>
      <c r="BZ2305" s="6"/>
    </row>
    <row r="2306" spans="1:78" s="472" customFormat="1" ht="21.75" customHeight="1"/>
    <row r="2307" spans="1:78" s="496" customFormat="1" ht="21.75" customHeight="1"/>
    <row r="2308" spans="1:78" s="496" customFormat="1" ht="21.75" customHeight="1"/>
    <row r="2309" spans="1:78" s="497" customFormat="1" ht="21.75" customHeight="1"/>
    <row r="2310" spans="1:78" s="466" customFormat="1" ht="21.75" customHeight="1"/>
    <row r="2311" spans="1:78" s="495" customFormat="1" ht="21.75" customHeight="1"/>
    <row r="2312" spans="1:78" s="496" customFormat="1" ht="21.75" customHeight="1"/>
    <row r="2313" spans="1:78" ht="21.75" customHeight="1">
      <c r="A2313" s="6"/>
      <c r="B2313" s="6"/>
      <c r="C2313" s="6"/>
      <c r="D2313" s="6"/>
      <c r="E2313" s="6"/>
      <c r="F2313" s="6"/>
      <c r="G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O2313" s="6"/>
      <c r="AP2313" s="6"/>
      <c r="BH2313" s="6"/>
      <c r="BI2313" s="6"/>
      <c r="BJ2313" s="6"/>
      <c r="BK2313" s="6"/>
      <c r="BL2313" s="6"/>
      <c r="BM2313" s="6"/>
      <c r="BN2313" s="6"/>
      <c r="BO2313" s="6"/>
      <c r="BP2313" s="6"/>
      <c r="BQ2313" s="6"/>
      <c r="BR2313" s="6"/>
      <c r="BS2313" s="6"/>
      <c r="BT2313" s="6"/>
      <c r="BU2313" s="6"/>
      <c r="BV2313" s="6"/>
      <c r="BW2313" s="6"/>
      <c r="BX2313" s="6"/>
      <c r="BY2313" s="6"/>
      <c r="BZ2313" s="6"/>
    </row>
    <row r="2314" spans="1:78" s="496" customFormat="1" ht="21.75" customHeight="1"/>
    <row r="2315" spans="1:78" s="499" customFormat="1" ht="21.75" customHeight="1"/>
    <row r="2316" spans="1:78" ht="21.75" customHeight="1">
      <c r="A2316" s="6"/>
      <c r="B2316" s="6"/>
      <c r="C2316" s="6"/>
      <c r="D2316" s="6"/>
      <c r="E2316" s="6"/>
      <c r="F2316" s="6"/>
      <c r="G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O2316" s="6"/>
      <c r="AP2316" s="6"/>
      <c r="BH2316" s="6"/>
      <c r="BI2316" s="6"/>
      <c r="BJ2316" s="6"/>
      <c r="BK2316" s="6"/>
      <c r="BL2316" s="6"/>
      <c r="BM2316" s="6"/>
      <c r="BN2316" s="6"/>
      <c r="BO2316" s="6"/>
      <c r="BP2316" s="6"/>
      <c r="BQ2316" s="6"/>
      <c r="BR2316" s="6"/>
      <c r="BS2316" s="6"/>
      <c r="BT2316" s="6"/>
      <c r="BU2316" s="6"/>
      <c r="BV2316" s="6"/>
      <c r="BW2316" s="6"/>
      <c r="BX2316" s="6"/>
      <c r="BY2316" s="6"/>
      <c r="BZ2316" s="6"/>
    </row>
    <row r="2317" spans="1:78" s="496" customFormat="1" ht="21.75" customHeight="1"/>
    <row r="2318" spans="1:78" s="496" customFormat="1" ht="21.75" customHeight="1"/>
    <row r="2319" spans="1:78" ht="21.75" customHeight="1">
      <c r="A2319" s="6"/>
      <c r="B2319" s="6"/>
      <c r="C2319" s="6"/>
      <c r="D2319" s="6"/>
      <c r="E2319" s="6"/>
      <c r="F2319" s="6"/>
      <c r="G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O2319" s="6"/>
      <c r="AP2319" s="6"/>
      <c r="BH2319" s="6"/>
      <c r="BI2319" s="6"/>
      <c r="BJ2319" s="6"/>
      <c r="BK2319" s="6"/>
      <c r="BL2319" s="6"/>
      <c r="BM2319" s="6"/>
      <c r="BN2319" s="6"/>
      <c r="BO2319" s="6"/>
      <c r="BP2319" s="6"/>
      <c r="BQ2319" s="6"/>
      <c r="BR2319" s="6"/>
      <c r="BS2319" s="6"/>
      <c r="BT2319" s="6"/>
      <c r="BU2319" s="6"/>
      <c r="BV2319" s="6"/>
      <c r="BW2319" s="6"/>
      <c r="BX2319" s="6"/>
      <c r="BY2319" s="6"/>
      <c r="BZ2319" s="6"/>
    </row>
    <row r="2320" spans="1:78" s="505" customFormat="1" ht="21.75" customHeight="1"/>
    <row r="2321" spans="1:78" ht="21.75" customHeight="1">
      <c r="A2321" s="6"/>
      <c r="B2321" s="6"/>
      <c r="C2321" s="6"/>
      <c r="D2321" s="6"/>
      <c r="E2321" s="6"/>
      <c r="F2321" s="6"/>
      <c r="G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O2321" s="6"/>
      <c r="AP2321" s="6"/>
      <c r="BH2321" s="6"/>
      <c r="BI2321" s="6"/>
      <c r="BJ2321" s="6"/>
      <c r="BK2321" s="6"/>
      <c r="BL2321" s="6"/>
      <c r="BM2321" s="6"/>
      <c r="BN2321" s="6"/>
      <c r="BO2321" s="6"/>
      <c r="BP2321" s="6"/>
      <c r="BQ2321" s="6"/>
      <c r="BR2321" s="6"/>
      <c r="BS2321" s="6"/>
      <c r="BT2321" s="6"/>
      <c r="BU2321" s="6"/>
      <c r="BV2321" s="6"/>
      <c r="BW2321" s="6"/>
      <c r="BX2321" s="6"/>
      <c r="BY2321" s="6"/>
      <c r="BZ2321" s="6"/>
    </row>
    <row r="2322" spans="1:78" s="450" customFormat="1" ht="21.75" customHeight="1"/>
    <row r="2323" spans="1:78" s="495" customFormat="1" ht="21.75" customHeight="1"/>
    <row r="2324" spans="1:78" s="505" customFormat="1" ht="21.75" customHeight="1"/>
    <row r="2325" spans="1:78" s="448" customFormat="1" ht="21.75" customHeight="1"/>
    <row r="2326" spans="1:78" ht="21.75" customHeight="1">
      <c r="A2326" s="6"/>
      <c r="B2326" s="6"/>
      <c r="C2326" s="6"/>
      <c r="D2326" s="6"/>
      <c r="E2326" s="6"/>
      <c r="F2326" s="6"/>
      <c r="G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O2326" s="6"/>
      <c r="AP2326" s="6"/>
      <c r="BH2326" s="6"/>
      <c r="BI2326" s="6"/>
      <c r="BJ2326" s="6"/>
      <c r="BK2326" s="6"/>
      <c r="BL2326" s="6"/>
      <c r="BM2326" s="6"/>
      <c r="BN2326" s="6"/>
      <c r="BO2326" s="6"/>
      <c r="BP2326" s="6"/>
      <c r="BQ2326" s="6"/>
      <c r="BR2326" s="6"/>
      <c r="BS2326" s="6"/>
      <c r="BT2326" s="6"/>
      <c r="BU2326" s="6"/>
      <c r="BV2326" s="6"/>
      <c r="BW2326" s="6"/>
      <c r="BX2326" s="6"/>
      <c r="BY2326" s="6"/>
      <c r="BZ2326" s="6"/>
    </row>
    <row r="2327" spans="1:78" s="448" customFormat="1" ht="21.75" customHeight="1"/>
    <row r="2328" spans="1:78" ht="21.75" customHeight="1">
      <c r="A2328" s="6"/>
      <c r="B2328" s="6"/>
      <c r="C2328" s="6"/>
      <c r="D2328" s="6"/>
      <c r="E2328" s="6"/>
      <c r="F2328" s="6"/>
      <c r="G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O2328" s="6"/>
      <c r="AP2328" s="6"/>
      <c r="BH2328" s="6"/>
      <c r="BI2328" s="6"/>
      <c r="BJ2328" s="6"/>
      <c r="BK2328" s="6"/>
      <c r="BL2328" s="6"/>
      <c r="BM2328" s="6"/>
      <c r="BN2328" s="6"/>
      <c r="BO2328" s="6"/>
      <c r="BP2328" s="6"/>
      <c r="BQ2328" s="6"/>
      <c r="BR2328" s="6"/>
      <c r="BS2328" s="6"/>
      <c r="BT2328" s="6"/>
      <c r="BU2328" s="6"/>
      <c r="BV2328" s="6"/>
      <c r="BW2328" s="6"/>
      <c r="BX2328" s="6"/>
      <c r="BY2328" s="6"/>
      <c r="BZ2328" s="6"/>
    </row>
    <row r="2329" spans="1:78" s="496" customFormat="1" ht="21.75" customHeight="1"/>
    <row r="2330" spans="1:78" s="496" customFormat="1" ht="21.75" customHeight="1"/>
    <row r="2331" spans="1:78" ht="21.75" customHeight="1">
      <c r="A2331" s="6"/>
      <c r="B2331" s="6"/>
      <c r="C2331" s="6"/>
      <c r="D2331" s="6"/>
      <c r="E2331" s="6"/>
      <c r="F2331" s="6"/>
      <c r="G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O2331" s="6"/>
      <c r="AP2331" s="6"/>
      <c r="BH2331" s="6"/>
      <c r="BI2331" s="6"/>
      <c r="BJ2331" s="6"/>
      <c r="BK2331" s="6"/>
      <c r="BL2331" s="6"/>
      <c r="BM2331" s="6"/>
      <c r="BN2331" s="6"/>
      <c r="BO2331" s="6"/>
      <c r="BP2331" s="6"/>
      <c r="BQ2331" s="6"/>
      <c r="BR2331" s="6"/>
      <c r="BS2331" s="6"/>
      <c r="BT2331" s="6"/>
      <c r="BU2331" s="6"/>
      <c r="BV2331" s="6"/>
      <c r="BW2331" s="6"/>
      <c r="BX2331" s="6"/>
      <c r="BY2331" s="6"/>
      <c r="BZ2331" s="6"/>
    </row>
    <row r="2332" spans="1:78" s="496" customFormat="1" ht="21.75" customHeight="1"/>
    <row r="2333" spans="1:78" s="495" customFormat="1" ht="21.75" customHeight="1"/>
    <row r="2334" spans="1:78" ht="21.75" customHeight="1">
      <c r="A2334" s="6"/>
      <c r="B2334" s="6"/>
      <c r="C2334" s="6"/>
      <c r="D2334" s="6"/>
      <c r="E2334" s="6"/>
      <c r="F2334" s="6"/>
      <c r="G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O2334" s="6"/>
      <c r="AP2334" s="6"/>
      <c r="BH2334" s="6"/>
      <c r="BI2334" s="6"/>
      <c r="BJ2334" s="6"/>
      <c r="BK2334" s="6"/>
      <c r="BL2334" s="6"/>
      <c r="BM2334" s="6"/>
      <c r="BN2334" s="6"/>
      <c r="BO2334" s="6"/>
      <c r="BP2334" s="6"/>
      <c r="BQ2334" s="6"/>
      <c r="BR2334" s="6"/>
      <c r="BS2334" s="6"/>
      <c r="BT2334" s="6"/>
      <c r="BU2334" s="6"/>
      <c r="BV2334" s="6"/>
      <c r="BW2334" s="6"/>
      <c r="BX2334" s="6"/>
      <c r="BY2334" s="6"/>
      <c r="BZ2334" s="6"/>
    </row>
    <row r="2335" spans="1:78" s="496" customFormat="1" ht="21.75" customHeight="1"/>
    <row r="2336" spans="1:78" ht="21.75" customHeight="1">
      <c r="A2336" s="6"/>
      <c r="B2336" s="6"/>
      <c r="C2336" s="6"/>
      <c r="D2336" s="6"/>
      <c r="E2336" s="6"/>
      <c r="F2336" s="6"/>
      <c r="G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O2336" s="6"/>
      <c r="AP2336" s="6"/>
      <c r="BH2336" s="6"/>
      <c r="BI2336" s="6"/>
      <c r="BJ2336" s="6"/>
      <c r="BK2336" s="6"/>
      <c r="BL2336" s="6"/>
      <c r="BM2336" s="6"/>
      <c r="BN2336" s="6"/>
      <c r="BO2336" s="6"/>
      <c r="BP2336" s="6"/>
      <c r="BQ2336" s="6"/>
      <c r="BR2336" s="6"/>
      <c r="BS2336" s="6"/>
      <c r="BT2336" s="6"/>
      <c r="BU2336" s="6"/>
      <c r="BV2336" s="6"/>
      <c r="BW2336" s="6"/>
      <c r="BX2336" s="6"/>
      <c r="BY2336" s="6"/>
      <c r="BZ2336" s="6"/>
    </row>
    <row r="2337" spans="1:78" s="450" customFormat="1" ht="21.75" customHeight="1"/>
    <row r="2338" spans="1:78" s="495" customFormat="1" ht="21.75" customHeight="1"/>
    <row r="2339" spans="1:78" ht="21.75" customHeight="1">
      <c r="A2339" s="6"/>
      <c r="B2339" s="6"/>
      <c r="C2339" s="6"/>
      <c r="D2339" s="6"/>
      <c r="E2339" s="6"/>
      <c r="F2339" s="6"/>
      <c r="G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O2339" s="6"/>
      <c r="AP2339" s="6"/>
      <c r="BH2339" s="6"/>
      <c r="BI2339" s="6"/>
      <c r="BJ2339" s="6"/>
      <c r="BK2339" s="6"/>
      <c r="BL2339" s="6"/>
      <c r="BM2339" s="6"/>
      <c r="BN2339" s="6"/>
      <c r="BO2339" s="6"/>
      <c r="BP2339" s="6"/>
      <c r="BQ2339" s="6"/>
      <c r="BR2339" s="6"/>
      <c r="BS2339" s="6"/>
      <c r="BT2339" s="6"/>
      <c r="BU2339" s="6"/>
      <c r="BV2339" s="6"/>
      <c r="BW2339" s="6"/>
      <c r="BX2339" s="6"/>
      <c r="BY2339" s="6"/>
      <c r="BZ2339" s="6"/>
    </row>
    <row r="2340" spans="1:78" s="472" customFormat="1" ht="21.75" customHeight="1"/>
    <row r="2341" spans="1:78" s="496" customFormat="1" ht="21.75" customHeight="1"/>
    <row r="2342" spans="1:78" s="448" customFormat="1" ht="21.75" customHeight="1"/>
    <row r="2343" spans="1:78" s="450" customFormat="1" ht="21.75" customHeight="1"/>
    <row r="2344" spans="1:78" s="448" customFormat="1" ht="21.75" customHeight="1"/>
    <row r="2345" spans="1:78" ht="21.75" customHeight="1">
      <c r="A2345" s="6"/>
      <c r="B2345" s="6"/>
      <c r="C2345" s="6"/>
      <c r="D2345" s="6"/>
      <c r="E2345" s="6"/>
      <c r="F2345" s="6"/>
      <c r="G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O2345" s="6"/>
      <c r="AP2345" s="6"/>
      <c r="BH2345" s="6"/>
      <c r="BI2345" s="6"/>
      <c r="BJ2345" s="6"/>
      <c r="BK2345" s="6"/>
      <c r="BL2345" s="6"/>
      <c r="BM2345" s="6"/>
      <c r="BN2345" s="6"/>
      <c r="BO2345" s="6"/>
      <c r="BP2345" s="6"/>
      <c r="BQ2345" s="6"/>
      <c r="BR2345" s="6"/>
      <c r="BS2345" s="6"/>
      <c r="BT2345" s="6"/>
      <c r="BU2345" s="6"/>
      <c r="BV2345" s="6"/>
      <c r="BW2345" s="6"/>
      <c r="BX2345" s="6"/>
      <c r="BY2345" s="6"/>
      <c r="BZ2345" s="6"/>
    </row>
    <row r="2346" spans="1:78" ht="21.75" customHeight="1">
      <c r="A2346" s="6"/>
      <c r="B2346" s="6"/>
      <c r="C2346" s="6"/>
      <c r="D2346" s="6"/>
      <c r="E2346" s="6"/>
      <c r="F2346" s="6"/>
      <c r="G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O2346" s="6"/>
      <c r="AP2346" s="6"/>
      <c r="BH2346" s="6"/>
      <c r="BI2346" s="6"/>
      <c r="BJ2346" s="6"/>
      <c r="BK2346" s="6"/>
      <c r="BL2346" s="6"/>
      <c r="BM2346" s="6"/>
      <c r="BN2346" s="6"/>
      <c r="BO2346" s="6"/>
      <c r="BP2346" s="6"/>
      <c r="BQ2346" s="6"/>
      <c r="BR2346" s="6"/>
      <c r="BS2346" s="6"/>
      <c r="BT2346" s="6"/>
      <c r="BU2346" s="6"/>
      <c r="BV2346" s="6"/>
      <c r="BW2346" s="6"/>
      <c r="BX2346" s="6"/>
      <c r="BY2346" s="6"/>
      <c r="BZ2346" s="6"/>
    </row>
    <row r="2347" spans="1:78" ht="21.75" customHeight="1">
      <c r="A2347" s="6"/>
      <c r="B2347" s="6"/>
      <c r="C2347" s="6"/>
      <c r="D2347" s="6"/>
      <c r="E2347" s="6"/>
      <c r="F2347" s="6"/>
      <c r="G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O2347" s="6"/>
      <c r="AP2347" s="6"/>
      <c r="BH2347" s="6"/>
      <c r="BI2347" s="6"/>
      <c r="BJ2347" s="6"/>
      <c r="BK2347" s="6"/>
      <c r="BL2347" s="6"/>
      <c r="BM2347" s="6"/>
      <c r="BN2347" s="6"/>
      <c r="BO2347" s="6"/>
      <c r="BP2347" s="6"/>
      <c r="BQ2347" s="6"/>
      <c r="BR2347" s="6"/>
      <c r="BS2347" s="6"/>
      <c r="BT2347" s="6"/>
      <c r="BU2347" s="6"/>
      <c r="BV2347" s="6"/>
      <c r="BW2347" s="6"/>
      <c r="BX2347" s="6"/>
      <c r="BY2347" s="6"/>
      <c r="BZ2347" s="6"/>
    </row>
    <row r="2348" spans="1:78" ht="21.75" customHeight="1">
      <c r="A2348" s="6"/>
      <c r="B2348" s="6"/>
      <c r="C2348" s="6"/>
      <c r="D2348" s="6"/>
      <c r="E2348" s="6"/>
      <c r="F2348" s="6"/>
      <c r="G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O2348" s="6"/>
      <c r="AP2348" s="6"/>
      <c r="BH2348" s="6"/>
      <c r="BI2348" s="6"/>
      <c r="BJ2348" s="6"/>
      <c r="BK2348" s="6"/>
      <c r="BL2348" s="6"/>
      <c r="BM2348" s="6"/>
      <c r="BN2348" s="6"/>
      <c r="BO2348" s="6"/>
      <c r="BP2348" s="6"/>
      <c r="BQ2348" s="6"/>
      <c r="BR2348" s="6"/>
      <c r="BS2348" s="6"/>
      <c r="BT2348" s="6"/>
      <c r="BU2348" s="6"/>
      <c r="BV2348" s="6"/>
      <c r="BW2348" s="6"/>
      <c r="BX2348" s="6"/>
      <c r="BY2348" s="6"/>
      <c r="BZ2348" s="6"/>
    </row>
    <row r="2349" spans="1:78" s="472" customFormat="1" ht="21.75" customHeight="1"/>
    <row r="2350" spans="1:78" ht="21.75" customHeight="1">
      <c r="A2350" s="6"/>
      <c r="B2350" s="6"/>
      <c r="C2350" s="6"/>
      <c r="D2350" s="6"/>
      <c r="E2350" s="6"/>
      <c r="F2350" s="6"/>
      <c r="G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O2350" s="6"/>
      <c r="AP2350" s="6"/>
      <c r="BH2350" s="6"/>
      <c r="BI2350" s="6"/>
      <c r="BJ2350" s="6"/>
      <c r="BK2350" s="6"/>
      <c r="BL2350" s="6"/>
      <c r="BM2350" s="6"/>
      <c r="BN2350" s="6"/>
      <c r="BO2350" s="6"/>
      <c r="BP2350" s="6"/>
      <c r="BQ2350" s="6"/>
      <c r="BR2350" s="6"/>
      <c r="BS2350" s="6"/>
      <c r="BT2350" s="6"/>
      <c r="BU2350" s="6"/>
      <c r="BV2350" s="6"/>
      <c r="BW2350" s="6"/>
      <c r="BX2350" s="6"/>
      <c r="BY2350" s="6"/>
      <c r="BZ2350" s="6"/>
    </row>
    <row r="2351" spans="1:78" ht="21.75" customHeight="1">
      <c r="A2351" s="6"/>
      <c r="B2351" s="6"/>
      <c r="C2351" s="6"/>
      <c r="D2351" s="6"/>
      <c r="E2351" s="6"/>
      <c r="F2351" s="6"/>
      <c r="G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O2351" s="6"/>
      <c r="AP2351" s="6"/>
      <c r="BH2351" s="6"/>
      <c r="BI2351" s="6"/>
      <c r="BJ2351" s="6"/>
      <c r="BK2351" s="6"/>
      <c r="BL2351" s="6"/>
      <c r="BM2351" s="6"/>
      <c r="BN2351" s="6"/>
      <c r="BO2351" s="6"/>
      <c r="BP2351" s="6"/>
      <c r="BQ2351" s="6"/>
      <c r="BR2351" s="6"/>
      <c r="BS2351" s="6"/>
      <c r="BT2351" s="6"/>
      <c r="BU2351" s="6"/>
      <c r="BV2351" s="6"/>
      <c r="BW2351" s="6"/>
      <c r="BX2351" s="6"/>
      <c r="BY2351" s="6"/>
      <c r="BZ2351" s="6"/>
    </row>
    <row r="2352" spans="1:78" s="496" customFormat="1" ht="21.75" customHeight="1"/>
    <row r="2353" spans="1:186" ht="21.75" customHeight="1">
      <c r="A2353" s="6"/>
      <c r="B2353" s="6"/>
      <c r="C2353" s="6"/>
      <c r="D2353" s="6"/>
      <c r="E2353" s="6"/>
      <c r="F2353" s="6"/>
      <c r="G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O2353" s="6"/>
      <c r="AP2353" s="6"/>
      <c r="BH2353" s="6"/>
      <c r="BI2353" s="6"/>
      <c r="BJ2353" s="6"/>
      <c r="BK2353" s="6"/>
      <c r="BL2353" s="6"/>
      <c r="BM2353" s="6"/>
      <c r="BN2353" s="6"/>
      <c r="BO2353" s="6"/>
      <c r="BP2353" s="6"/>
      <c r="BQ2353" s="6"/>
      <c r="BR2353" s="6"/>
      <c r="BS2353" s="6"/>
      <c r="BT2353" s="6"/>
      <c r="BU2353" s="6"/>
      <c r="BV2353" s="6"/>
      <c r="BW2353" s="6"/>
      <c r="BX2353" s="6"/>
      <c r="BY2353" s="6"/>
      <c r="BZ2353" s="6"/>
    </row>
    <row r="2354" spans="1:186" s="452" customFormat="1" ht="21.75" customHeight="1"/>
    <row r="2355" spans="1:186" ht="21.75" customHeight="1">
      <c r="A2355" s="6"/>
      <c r="B2355" s="6"/>
      <c r="C2355" s="6"/>
      <c r="D2355" s="6"/>
      <c r="E2355" s="6"/>
      <c r="F2355" s="6"/>
      <c r="G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O2355" s="6"/>
      <c r="AP2355" s="6"/>
      <c r="BH2355" s="6"/>
      <c r="BI2355" s="6"/>
      <c r="BJ2355" s="6"/>
      <c r="BK2355" s="6"/>
      <c r="BL2355" s="6"/>
      <c r="BM2355" s="6"/>
      <c r="BN2355" s="6"/>
      <c r="BO2355" s="6"/>
      <c r="BP2355" s="6"/>
      <c r="BQ2355" s="6"/>
      <c r="BR2355" s="6"/>
      <c r="BS2355" s="6"/>
      <c r="BT2355" s="6"/>
      <c r="BU2355" s="6"/>
      <c r="BV2355" s="6"/>
      <c r="BW2355" s="6"/>
      <c r="BX2355" s="6"/>
      <c r="BY2355" s="6"/>
      <c r="BZ2355" s="6"/>
    </row>
    <row r="2356" spans="1:186" ht="21.75" customHeight="1">
      <c r="A2356" s="6"/>
      <c r="B2356" s="6"/>
      <c r="C2356" s="6"/>
      <c r="D2356" s="6"/>
      <c r="E2356" s="6"/>
      <c r="F2356" s="6"/>
      <c r="G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O2356" s="6"/>
      <c r="AP2356" s="6"/>
      <c r="BH2356" s="6"/>
      <c r="BI2356" s="6"/>
      <c r="BJ2356" s="6"/>
      <c r="BK2356" s="6"/>
      <c r="BL2356" s="6"/>
      <c r="BM2356" s="6"/>
      <c r="BN2356" s="6"/>
      <c r="BO2356" s="6"/>
      <c r="BP2356" s="6"/>
      <c r="BQ2356" s="6"/>
      <c r="BR2356" s="6"/>
      <c r="BS2356" s="6"/>
      <c r="BT2356" s="6"/>
      <c r="BU2356" s="6"/>
      <c r="BV2356" s="6"/>
      <c r="BW2356" s="6"/>
      <c r="BX2356" s="6"/>
      <c r="BY2356" s="6"/>
      <c r="BZ2356" s="6"/>
    </row>
    <row r="2357" spans="1:186" s="529" customFormat="1" ht="21.75" customHeight="1">
      <c r="A2357" s="448"/>
      <c r="B2357" s="448"/>
      <c r="C2357" s="448"/>
      <c r="D2357" s="448"/>
      <c r="E2357" s="448"/>
      <c r="F2357" s="448"/>
      <c r="G2357" s="448"/>
      <c r="H2357" s="448"/>
      <c r="I2357" s="448"/>
      <c r="J2357" s="448"/>
      <c r="K2357" s="448"/>
      <c r="L2357" s="448"/>
      <c r="M2357" s="448"/>
      <c r="N2357" s="448"/>
      <c r="O2357" s="448"/>
      <c r="P2357" s="448"/>
      <c r="Q2357" s="448"/>
      <c r="R2357" s="448"/>
      <c r="S2357" s="448"/>
      <c r="T2357" s="448"/>
      <c r="U2357" s="448"/>
      <c r="V2357" s="448"/>
      <c r="W2357" s="448"/>
      <c r="X2357" s="448"/>
      <c r="Y2357" s="448"/>
      <c r="Z2357" s="448"/>
      <c r="AA2357" s="448"/>
      <c r="AB2357" s="448"/>
      <c r="AC2357" s="448"/>
      <c r="AD2357" s="448"/>
      <c r="AE2357" s="448"/>
      <c r="AF2357" s="448"/>
      <c r="AG2357" s="448"/>
      <c r="AH2357" s="448"/>
      <c r="AI2357" s="448"/>
      <c r="AJ2357" s="448"/>
      <c r="AK2357" s="448"/>
      <c r="AL2357" s="448"/>
      <c r="AM2357" s="448"/>
      <c r="AN2357" s="448"/>
      <c r="AO2357" s="448"/>
      <c r="AP2357" s="448"/>
      <c r="AQ2357" s="448"/>
      <c r="AR2357" s="448"/>
      <c r="AS2357" s="448"/>
      <c r="AT2357" s="448"/>
      <c r="AU2357" s="448"/>
      <c r="AV2357" s="448"/>
      <c r="AW2357" s="448"/>
      <c r="AX2357" s="448"/>
      <c r="AY2357" s="448"/>
      <c r="AZ2357" s="448"/>
      <c r="BA2357" s="448"/>
      <c r="BB2357" s="448"/>
      <c r="BC2357" s="448"/>
      <c r="BD2357" s="448"/>
      <c r="BE2357" s="448"/>
      <c r="BF2357" s="448"/>
      <c r="BG2357" s="448"/>
      <c r="BH2357" s="448"/>
      <c r="BI2357" s="448"/>
      <c r="BJ2357" s="448"/>
      <c r="BK2357" s="448"/>
      <c r="BL2357" s="448"/>
      <c r="BM2357" s="448"/>
      <c r="BN2357" s="448"/>
      <c r="BO2357" s="448"/>
      <c r="BP2357" s="448"/>
      <c r="BQ2357" s="448"/>
      <c r="BR2357" s="448"/>
      <c r="BS2357" s="448"/>
      <c r="BT2357" s="448"/>
      <c r="BU2357" s="448"/>
      <c r="BV2357" s="448"/>
      <c r="BW2357" s="448"/>
      <c r="BX2357" s="448"/>
      <c r="BY2357" s="448"/>
      <c r="BZ2357" s="448"/>
      <c r="CA2357" s="448"/>
      <c r="CB2357" s="448"/>
      <c r="CC2357" s="448"/>
      <c r="CD2357" s="448"/>
      <c r="CE2357" s="448"/>
      <c r="CF2357" s="448"/>
      <c r="CG2357" s="448"/>
      <c r="CH2357" s="448"/>
      <c r="CI2357" s="448"/>
      <c r="CJ2357" s="448"/>
      <c r="CK2357" s="448"/>
      <c r="CL2357" s="448"/>
      <c r="CM2357" s="448"/>
      <c r="CN2357" s="448"/>
      <c r="CO2357" s="448"/>
      <c r="CP2357" s="448"/>
      <c r="CQ2357" s="448"/>
      <c r="CR2357" s="448"/>
      <c r="CS2357" s="448"/>
      <c r="CT2357" s="448"/>
      <c r="CU2357" s="448"/>
      <c r="CV2357" s="448"/>
      <c r="CW2357" s="448"/>
      <c r="CX2357" s="448"/>
      <c r="CY2357" s="448"/>
      <c r="CZ2357" s="448"/>
      <c r="DA2357" s="448"/>
      <c r="DB2357" s="448"/>
      <c r="DC2357" s="448"/>
      <c r="DD2357" s="448"/>
      <c r="DE2357" s="448"/>
      <c r="DF2357" s="448"/>
      <c r="DG2357" s="448"/>
      <c r="DH2357" s="448"/>
      <c r="DI2357" s="448"/>
      <c r="DJ2357" s="448"/>
      <c r="DK2357" s="448"/>
      <c r="DL2357" s="448"/>
      <c r="DM2357" s="448"/>
      <c r="DN2357" s="448"/>
      <c r="DO2357" s="448"/>
      <c r="DP2357" s="448"/>
      <c r="DQ2357" s="448"/>
      <c r="DR2357" s="448"/>
      <c r="DS2357" s="448"/>
      <c r="DT2357" s="448"/>
      <c r="DU2357" s="448"/>
      <c r="DV2357" s="448"/>
      <c r="DW2357" s="448"/>
      <c r="DX2357" s="448"/>
      <c r="DY2357" s="448"/>
      <c r="DZ2357" s="448"/>
      <c r="EA2357" s="448"/>
      <c r="EB2357" s="448"/>
      <c r="EC2357" s="448"/>
      <c r="ED2357" s="448"/>
      <c r="EE2357" s="448"/>
      <c r="EF2357" s="448"/>
      <c r="EG2357" s="448"/>
      <c r="EH2357" s="448"/>
      <c r="EI2357" s="448"/>
      <c r="EJ2357" s="448"/>
      <c r="EK2357" s="448"/>
      <c r="EL2357" s="448"/>
      <c r="EM2357" s="448"/>
      <c r="EN2357" s="448"/>
      <c r="EO2357" s="448"/>
      <c r="EP2357" s="448"/>
      <c r="EQ2357" s="448"/>
      <c r="ER2357" s="448"/>
      <c r="ES2357" s="448"/>
      <c r="ET2357" s="448"/>
      <c r="EU2357" s="448"/>
      <c r="EV2357" s="448"/>
      <c r="EW2357" s="448"/>
      <c r="EX2357" s="448"/>
      <c r="EY2357" s="448"/>
      <c r="EZ2357" s="448"/>
      <c r="FA2357" s="448"/>
      <c r="FB2357" s="448"/>
      <c r="FC2357" s="448"/>
      <c r="FD2357" s="448"/>
      <c r="FE2357" s="448"/>
      <c r="FF2357" s="448"/>
      <c r="FG2357" s="448"/>
      <c r="FH2357" s="448"/>
      <c r="FI2357" s="448"/>
      <c r="FJ2357" s="448"/>
      <c r="FK2357" s="448"/>
      <c r="FL2357" s="448"/>
      <c r="FM2357" s="448"/>
      <c r="FN2357" s="448"/>
      <c r="FO2357" s="448"/>
      <c r="FP2357" s="448"/>
      <c r="FQ2357" s="448"/>
      <c r="FR2357" s="448"/>
      <c r="FS2357" s="448"/>
      <c r="FT2357" s="448"/>
      <c r="FU2357" s="448"/>
      <c r="FV2357" s="448"/>
      <c r="FW2357" s="448"/>
      <c r="FX2357" s="448"/>
      <c r="FY2357" s="448"/>
      <c r="FZ2357" s="448"/>
      <c r="GA2357" s="448"/>
      <c r="GB2357" s="448"/>
      <c r="GC2357" s="448"/>
      <c r="GD2357" s="448"/>
    </row>
    <row r="2358" spans="1:186" s="496" customFormat="1" ht="21.75" customHeight="1"/>
    <row r="2359" spans="1:186" s="496" customFormat="1" ht="21.75" customHeight="1"/>
    <row r="2360" spans="1:186" ht="21.75" customHeight="1">
      <c r="A2360" s="6"/>
      <c r="B2360" s="6"/>
      <c r="C2360" s="6"/>
      <c r="D2360" s="6"/>
      <c r="E2360" s="6"/>
      <c r="F2360" s="6"/>
      <c r="G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O2360" s="6"/>
      <c r="AP2360" s="6"/>
      <c r="BH2360" s="6"/>
      <c r="BI2360" s="6"/>
      <c r="BJ2360" s="6"/>
      <c r="BK2360" s="6"/>
      <c r="BL2360" s="6"/>
      <c r="BM2360" s="6"/>
      <c r="BN2360" s="6"/>
      <c r="BO2360" s="6"/>
      <c r="BP2360" s="6"/>
      <c r="BQ2360" s="6"/>
      <c r="BR2360" s="6"/>
      <c r="BS2360" s="6"/>
      <c r="BT2360" s="6"/>
      <c r="BU2360" s="6"/>
      <c r="BV2360" s="6"/>
      <c r="BW2360" s="6"/>
      <c r="BX2360" s="6"/>
      <c r="BY2360" s="6"/>
      <c r="BZ2360" s="6"/>
    </row>
    <row r="2361" spans="1:186" ht="21.75" customHeight="1">
      <c r="A2361" s="6"/>
      <c r="B2361" s="6"/>
      <c r="C2361" s="6"/>
      <c r="D2361" s="6"/>
      <c r="E2361" s="6"/>
      <c r="F2361" s="6"/>
      <c r="G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O2361" s="6"/>
      <c r="AP2361" s="6"/>
      <c r="BH2361" s="6"/>
      <c r="BI2361" s="6"/>
      <c r="BJ2361" s="6"/>
      <c r="BK2361" s="6"/>
      <c r="BL2361" s="6"/>
      <c r="BM2361" s="6"/>
      <c r="BN2361" s="6"/>
      <c r="BO2361" s="6"/>
      <c r="BP2361" s="6"/>
      <c r="BQ2361" s="6"/>
      <c r="BR2361" s="6"/>
      <c r="BS2361" s="6"/>
      <c r="BT2361" s="6"/>
      <c r="BU2361" s="6"/>
      <c r="BV2361" s="6"/>
      <c r="BW2361" s="6"/>
      <c r="BX2361" s="6"/>
      <c r="BY2361" s="6"/>
      <c r="BZ2361" s="6"/>
    </row>
    <row r="2362" spans="1:186" ht="21.75" customHeight="1">
      <c r="A2362" s="6"/>
      <c r="B2362" s="6"/>
      <c r="C2362" s="6"/>
      <c r="D2362" s="6"/>
      <c r="E2362" s="6"/>
      <c r="F2362" s="6"/>
      <c r="G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O2362" s="6"/>
      <c r="AP2362" s="6"/>
      <c r="BH2362" s="6"/>
      <c r="BI2362" s="6"/>
      <c r="BJ2362" s="6"/>
      <c r="BK2362" s="6"/>
      <c r="BL2362" s="6"/>
      <c r="BM2362" s="6"/>
      <c r="BN2362" s="6"/>
      <c r="BO2362" s="6"/>
      <c r="BP2362" s="6"/>
      <c r="BQ2362" s="6"/>
      <c r="BR2362" s="6"/>
      <c r="BS2362" s="6"/>
      <c r="BT2362" s="6"/>
      <c r="BU2362" s="6"/>
      <c r="BV2362" s="6"/>
      <c r="BW2362" s="6"/>
      <c r="BX2362" s="6"/>
      <c r="BY2362" s="6"/>
      <c r="BZ2362" s="6"/>
    </row>
    <row r="2363" spans="1:186" ht="21.75" customHeight="1">
      <c r="A2363" s="6"/>
      <c r="B2363" s="6"/>
      <c r="C2363" s="6"/>
      <c r="D2363" s="6"/>
      <c r="E2363" s="6"/>
      <c r="F2363" s="6"/>
      <c r="G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O2363" s="6"/>
      <c r="AP2363" s="6"/>
      <c r="BH2363" s="6"/>
      <c r="BI2363" s="6"/>
      <c r="BJ2363" s="6"/>
      <c r="BK2363" s="6"/>
      <c r="BL2363" s="6"/>
      <c r="BM2363" s="6"/>
      <c r="BN2363" s="6"/>
      <c r="BO2363" s="6"/>
      <c r="BP2363" s="6"/>
      <c r="BQ2363" s="6"/>
      <c r="BR2363" s="6"/>
      <c r="BS2363" s="6"/>
      <c r="BT2363" s="6"/>
      <c r="BU2363" s="6"/>
      <c r="BV2363" s="6"/>
      <c r="BW2363" s="6"/>
      <c r="BX2363" s="6"/>
      <c r="BY2363" s="6"/>
      <c r="BZ2363" s="6"/>
    </row>
    <row r="2364" spans="1:186" ht="21.75" customHeight="1">
      <c r="A2364" s="6"/>
      <c r="B2364" s="6"/>
      <c r="C2364" s="6"/>
      <c r="D2364" s="6"/>
      <c r="E2364" s="6"/>
      <c r="F2364" s="6"/>
      <c r="G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O2364" s="6"/>
      <c r="AP2364" s="6"/>
      <c r="BH2364" s="6"/>
      <c r="BI2364" s="6"/>
      <c r="BJ2364" s="6"/>
      <c r="BK2364" s="6"/>
      <c r="BL2364" s="6"/>
      <c r="BM2364" s="6"/>
      <c r="BN2364" s="6"/>
      <c r="BO2364" s="6"/>
      <c r="BP2364" s="6"/>
      <c r="BQ2364" s="6"/>
      <c r="BR2364" s="6"/>
      <c r="BS2364" s="6"/>
      <c r="BT2364" s="6"/>
      <c r="BU2364" s="6"/>
      <c r="BV2364" s="6"/>
      <c r="BW2364" s="6"/>
      <c r="BX2364" s="6"/>
      <c r="BY2364" s="6"/>
      <c r="BZ2364" s="6"/>
    </row>
    <row r="2365" spans="1:186" s="495" customFormat="1" ht="21.75" customHeight="1"/>
    <row r="2366" spans="1:186" ht="21.75" customHeight="1">
      <c r="A2366" s="6"/>
      <c r="B2366" s="6"/>
      <c r="C2366" s="6"/>
      <c r="D2366" s="6"/>
      <c r="E2366" s="6"/>
      <c r="F2366" s="6"/>
      <c r="G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O2366" s="6"/>
      <c r="AP2366" s="6"/>
      <c r="BH2366" s="6"/>
      <c r="BI2366" s="6"/>
      <c r="BJ2366" s="6"/>
      <c r="BK2366" s="6"/>
      <c r="BL2366" s="6"/>
      <c r="BM2366" s="6"/>
      <c r="BN2366" s="6"/>
      <c r="BO2366" s="6"/>
      <c r="BP2366" s="6"/>
      <c r="BQ2366" s="6"/>
      <c r="BR2366" s="6"/>
      <c r="BS2366" s="6"/>
      <c r="BT2366" s="6"/>
      <c r="BU2366" s="6"/>
      <c r="BV2366" s="6"/>
      <c r="BW2366" s="6"/>
      <c r="BX2366" s="6"/>
      <c r="BY2366" s="6"/>
      <c r="BZ2366" s="6"/>
    </row>
    <row r="2367" spans="1:186" ht="21.75" customHeight="1">
      <c r="A2367" s="6"/>
      <c r="B2367" s="6"/>
      <c r="C2367" s="6"/>
      <c r="D2367" s="6"/>
      <c r="E2367" s="6"/>
      <c r="F2367" s="6"/>
      <c r="G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O2367" s="6"/>
      <c r="AP2367" s="6"/>
      <c r="BH2367" s="6"/>
      <c r="BI2367" s="6"/>
      <c r="BJ2367" s="6"/>
      <c r="BK2367" s="6"/>
      <c r="BL2367" s="6"/>
      <c r="BM2367" s="6"/>
      <c r="BN2367" s="6"/>
      <c r="BO2367" s="6"/>
      <c r="BP2367" s="6"/>
      <c r="BQ2367" s="6"/>
      <c r="BR2367" s="6"/>
      <c r="BS2367" s="6"/>
      <c r="BT2367" s="6"/>
      <c r="BU2367" s="6"/>
      <c r="BV2367" s="6"/>
      <c r="BW2367" s="6"/>
      <c r="BX2367" s="6"/>
      <c r="BY2367" s="6"/>
      <c r="BZ2367" s="6"/>
    </row>
    <row r="2368" spans="1:186" ht="21.75" customHeight="1">
      <c r="A2368" s="6"/>
      <c r="B2368" s="6"/>
      <c r="C2368" s="6"/>
      <c r="D2368" s="6"/>
      <c r="E2368" s="6"/>
      <c r="F2368" s="6"/>
      <c r="G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O2368" s="6"/>
      <c r="AP2368" s="6"/>
      <c r="BH2368" s="6"/>
      <c r="BI2368" s="6"/>
      <c r="BJ2368" s="6"/>
      <c r="BK2368" s="6"/>
      <c r="BL2368" s="6"/>
      <c r="BM2368" s="6"/>
      <c r="BN2368" s="6"/>
      <c r="BO2368" s="6"/>
      <c r="BP2368" s="6"/>
      <c r="BQ2368" s="6"/>
      <c r="BR2368" s="6"/>
      <c r="BS2368" s="6"/>
      <c r="BT2368" s="6"/>
      <c r="BU2368" s="6"/>
      <c r="BV2368" s="6"/>
      <c r="BW2368" s="6"/>
      <c r="BX2368" s="6"/>
      <c r="BY2368" s="6"/>
      <c r="BZ2368" s="6"/>
    </row>
    <row r="2369" spans="1:78" ht="21.75" customHeight="1">
      <c r="A2369" s="6"/>
      <c r="B2369" s="6"/>
      <c r="C2369" s="6"/>
      <c r="D2369" s="6"/>
      <c r="E2369" s="6"/>
      <c r="F2369" s="6"/>
      <c r="G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O2369" s="6"/>
      <c r="AP2369" s="6"/>
      <c r="BH2369" s="6"/>
      <c r="BI2369" s="6"/>
      <c r="BJ2369" s="6"/>
      <c r="BK2369" s="6"/>
      <c r="BL2369" s="6"/>
      <c r="BM2369" s="6"/>
      <c r="BN2369" s="6"/>
      <c r="BO2369" s="6"/>
      <c r="BP2369" s="6"/>
      <c r="BQ2369" s="6"/>
      <c r="BR2369" s="6"/>
      <c r="BS2369" s="6"/>
      <c r="BT2369" s="6"/>
      <c r="BU2369" s="6"/>
      <c r="BV2369" s="6"/>
      <c r="BW2369" s="6"/>
      <c r="BX2369" s="6"/>
      <c r="BY2369" s="6"/>
      <c r="BZ2369" s="6"/>
    </row>
    <row r="2370" spans="1:78" s="504" customFormat="1" ht="21.75" customHeight="1"/>
    <row r="2371" spans="1:78" s="450" customFormat="1" ht="21.75" customHeight="1"/>
    <row r="2372" spans="1:78" s="495" customFormat="1" ht="21.75" customHeight="1"/>
    <row r="2373" spans="1:78" ht="21.75" customHeight="1">
      <c r="A2373" s="6"/>
      <c r="B2373" s="6"/>
      <c r="C2373" s="6"/>
      <c r="D2373" s="6"/>
      <c r="E2373" s="6"/>
      <c r="F2373" s="6"/>
      <c r="G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O2373" s="6"/>
      <c r="AP2373" s="6"/>
      <c r="BH2373" s="6"/>
      <c r="BI2373" s="6"/>
      <c r="BJ2373" s="6"/>
      <c r="BK2373" s="6"/>
      <c r="BL2373" s="6"/>
      <c r="BM2373" s="6"/>
      <c r="BN2373" s="6"/>
      <c r="BO2373" s="6"/>
      <c r="BP2373" s="6"/>
      <c r="BQ2373" s="6"/>
      <c r="BR2373" s="6"/>
      <c r="BS2373" s="6"/>
      <c r="BT2373" s="6"/>
      <c r="BU2373" s="6"/>
      <c r="BV2373" s="6"/>
      <c r="BW2373" s="6"/>
      <c r="BX2373" s="6"/>
      <c r="BY2373" s="6"/>
      <c r="BZ2373" s="6"/>
    </row>
    <row r="2374" spans="1:78" s="472" customFormat="1" ht="21.75" customHeight="1"/>
    <row r="2375" spans="1:78" s="496" customFormat="1" ht="21.75" customHeight="1"/>
    <row r="2376" spans="1:78" s="448" customFormat="1" ht="21.75" customHeight="1"/>
    <row r="2377" spans="1:78" ht="21.75" customHeight="1">
      <c r="A2377" s="6"/>
      <c r="B2377" s="6"/>
      <c r="C2377" s="6"/>
      <c r="D2377" s="6"/>
      <c r="E2377" s="6"/>
      <c r="F2377" s="6"/>
      <c r="G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O2377" s="6"/>
      <c r="AP2377" s="6"/>
      <c r="BH2377" s="6"/>
      <c r="BI2377" s="6"/>
      <c r="BJ2377" s="6"/>
      <c r="BK2377" s="6"/>
      <c r="BL2377" s="6"/>
      <c r="BM2377" s="6"/>
      <c r="BN2377" s="6"/>
      <c r="BO2377" s="6"/>
      <c r="BP2377" s="6"/>
      <c r="BQ2377" s="6"/>
      <c r="BR2377" s="6"/>
      <c r="BS2377" s="6"/>
      <c r="BT2377" s="6"/>
      <c r="BU2377" s="6"/>
      <c r="BV2377" s="6"/>
      <c r="BW2377" s="6"/>
      <c r="BX2377" s="6"/>
      <c r="BY2377" s="6"/>
      <c r="BZ2377" s="6"/>
    </row>
    <row r="2378" spans="1:78" ht="21.75" customHeight="1">
      <c r="A2378" s="6"/>
      <c r="B2378" s="6"/>
      <c r="C2378" s="6"/>
      <c r="D2378" s="6"/>
      <c r="E2378" s="6"/>
      <c r="F2378" s="6"/>
      <c r="G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O2378" s="6"/>
      <c r="AP2378" s="6"/>
      <c r="BH2378" s="6"/>
      <c r="BI2378" s="6"/>
      <c r="BJ2378" s="6"/>
      <c r="BK2378" s="6"/>
      <c r="BL2378" s="6"/>
      <c r="BM2378" s="6"/>
      <c r="BN2378" s="6"/>
      <c r="BO2378" s="6"/>
      <c r="BP2378" s="6"/>
      <c r="BQ2378" s="6"/>
      <c r="BR2378" s="6"/>
      <c r="BS2378" s="6"/>
      <c r="BT2378" s="6"/>
      <c r="BU2378" s="6"/>
      <c r="BV2378" s="6"/>
      <c r="BW2378" s="6"/>
      <c r="BX2378" s="6"/>
      <c r="BY2378" s="6"/>
      <c r="BZ2378" s="6"/>
    </row>
    <row r="2379" spans="1:78" s="496" customFormat="1" ht="21.75" customHeight="1"/>
    <row r="2380" spans="1:78" s="496" customFormat="1" ht="21.75" customHeight="1"/>
    <row r="2381" spans="1:78" ht="21.75" customHeight="1">
      <c r="A2381" s="6"/>
      <c r="B2381" s="6"/>
      <c r="C2381" s="6"/>
      <c r="D2381" s="6"/>
      <c r="E2381" s="6"/>
      <c r="F2381" s="6"/>
      <c r="G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O2381" s="6"/>
      <c r="AP2381" s="6"/>
      <c r="BH2381" s="6"/>
      <c r="BI2381" s="6"/>
      <c r="BJ2381" s="6"/>
      <c r="BK2381" s="6"/>
      <c r="BL2381" s="6"/>
      <c r="BM2381" s="6"/>
      <c r="BN2381" s="6"/>
      <c r="BO2381" s="6"/>
      <c r="BP2381" s="6"/>
      <c r="BQ2381" s="6"/>
      <c r="BR2381" s="6"/>
      <c r="BS2381" s="6"/>
      <c r="BT2381" s="6"/>
      <c r="BU2381" s="6"/>
      <c r="BV2381" s="6"/>
      <c r="BW2381" s="6"/>
      <c r="BX2381" s="6"/>
      <c r="BY2381" s="6"/>
      <c r="BZ2381" s="6"/>
    </row>
    <row r="2382" spans="1:78" ht="21.75" customHeight="1">
      <c r="A2382" s="6"/>
      <c r="B2382" s="6"/>
      <c r="C2382" s="6"/>
      <c r="D2382" s="6"/>
      <c r="E2382" s="6"/>
      <c r="F2382" s="6"/>
      <c r="G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O2382" s="6"/>
      <c r="AP2382" s="6"/>
      <c r="BH2382" s="6"/>
      <c r="BI2382" s="6"/>
      <c r="BJ2382" s="6"/>
      <c r="BK2382" s="6"/>
      <c r="BL2382" s="6"/>
      <c r="BM2382" s="6"/>
      <c r="BN2382" s="6"/>
      <c r="BO2382" s="6"/>
      <c r="BP2382" s="6"/>
      <c r="BQ2382" s="6"/>
      <c r="BR2382" s="6"/>
      <c r="BS2382" s="6"/>
      <c r="BT2382" s="6"/>
      <c r="BU2382" s="6"/>
      <c r="BV2382" s="6"/>
      <c r="BW2382" s="6"/>
      <c r="BX2382" s="6"/>
      <c r="BY2382" s="6"/>
      <c r="BZ2382" s="6"/>
    </row>
    <row r="2383" spans="1:78" s="496" customFormat="1" ht="21.75" customHeight="1"/>
    <row r="2384" spans="1:78" ht="21.75" customHeight="1">
      <c r="A2384" s="6"/>
      <c r="B2384" s="6"/>
      <c r="C2384" s="6"/>
      <c r="D2384" s="6"/>
      <c r="E2384" s="6"/>
      <c r="F2384" s="6"/>
      <c r="G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O2384" s="6"/>
      <c r="AP2384" s="6"/>
      <c r="BH2384" s="6"/>
      <c r="BI2384" s="6"/>
      <c r="BJ2384" s="6"/>
      <c r="BK2384" s="6"/>
      <c r="BL2384" s="6"/>
      <c r="BM2384" s="6"/>
      <c r="BN2384" s="6"/>
      <c r="BO2384" s="6"/>
      <c r="BP2384" s="6"/>
      <c r="BQ2384" s="6"/>
      <c r="BR2384" s="6"/>
      <c r="BS2384" s="6"/>
      <c r="BT2384" s="6"/>
      <c r="BU2384" s="6"/>
      <c r="BV2384" s="6"/>
      <c r="BW2384" s="6"/>
      <c r="BX2384" s="6"/>
      <c r="BY2384" s="6"/>
      <c r="BZ2384" s="6"/>
    </row>
    <row r="2385" spans="1:78" ht="21.75" customHeight="1">
      <c r="A2385" s="6"/>
      <c r="B2385" s="6"/>
      <c r="C2385" s="6"/>
      <c r="D2385" s="6"/>
      <c r="E2385" s="6"/>
      <c r="F2385" s="6"/>
      <c r="G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O2385" s="6"/>
      <c r="AP2385" s="6"/>
      <c r="BH2385" s="6"/>
      <c r="BI2385" s="6"/>
      <c r="BJ2385" s="6"/>
      <c r="BK2385" s="6"/>
      <c r="BL2385" s="6"/>
      <c r="BM2385" s="6"/>
      <c r="BN2385" s="6"/>
      <c r="BO2385" s="6"/>
      <c r="BP2385" s="6"/>
      <c r="BQ2385" s="6"/>
      <c r="BR2385" s="6"/>
      <c r="BS2385" s="6"/>
      <c r="BT2385" s="6"/>
      <c r="BU2385" s="6"/>
      <c r="BV2385" s="6"/>
      <c r="BW2385" s="6"/>
      <c r="BX2385" s="6"/>
      <c r="BY2385" s="6"/>
      <c r="BZ2385" s="6"/>
    </row>
    <row r="2386" spans="1:78" s="496" customFormat="1" ht="21.75" customHeight="1"/>
    <row r="2387" spans="1:78" ht="21.75" customHeight="1">
      <c r="A2387" s="6"/>
      <c r="B2387" s="6"/>
      <c r="C2387" s="6"/>
      <c r="D2387" s="6"/>
      <c r="E2387" s="6"/>
      <c r="F2387" s="6"/>
      <c r="G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O2387" s="6"/>
      <c r="AP2387" s="6"/>
      <c r="BH2387" s="6"/>
      <c r="BI2387" s="6"/>
      <c r="BJ2387" s="6"/>
      <c r="BK2387" s="6"/>
      <c r="BL2387" s="6"/>
      <c r="BM2387" s="6"/>
      <c r="BN2387" s="6"/>
      <c r="BO2387" s="6"/>
      <c r="BP2387" s="6"/>
      <c r="BQ2387" s="6"/>
      <c r="BR2387" s="6"/>
      <c r="BS2387" s="6"/>
      <c r="BT2387" s="6"/>
      <c r="BU2387" s="6"/>
      <c r="BV2387" s="6"/>
      <c r="BW2387" s="6"/>
      <c r="BX2387" s="6"/>
      <c r="BY2387" s="6"/>
      <c r="BZ2387" s="6"/>
    </row>
    <row r="2388" spans="1:78" ht="21.75" customHeight="1">
      <c r="A2388" s="6"/>
      <c r="B2388" s="6"/>
      <c r="C2388" s="6"/>
      <c r="D2388" s="6"/>
      <c r="E2388" s="6"/>
      <c r="F2388" s="6"/>
      <c r="G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O2388" s="6"/>
      <c r="AP2388" s="6"/>
      <c r="BH2388" s="6"/>
      <c r="BI2388" s="6"/>
      <c r="BJ2388" s="6"/>
      <c r="BK2388" s="6"/>
      <c r="BL2388" s="6"/>
      <c r="BM2388" s="6"/>
      <c r="BN2388" s="6"/>
      <c r="BO2388" s="6"/>
      <c r="BP2388" s="6"/>
      <c r="BQ2388" s="6"/>
      <c r="BR2388" s="6"/>
      <c r="BS2388" s="6"/>
      <c r="BT2388" s="6"/>
      <c r="BU2388" s="6"/>
      <c r="BV2388" s="6"/>
      <c r="BW2388" s="6"/>
      <c r="BX2388" s="6"/>
      <c r="BY2388" s="6"/>
      <c r="BZ2388" s="6"/>
    </row>
    <row r="2389" spans="1:78" s="496" customFormat="1" ht="21.75" customHeight="1"/>
    <row r="2390" spans="1:78" s="495" customFormat="1" ht="21.75" customHeight="1"/>
    <row r="2391" spans="1:78" ht="21.75" customHeight="1">
      <c r="A2391" s="6"/>
      <c r="B2391" s="6"/>
      <c r="C2391" s="6"/>
      <c r="D2391" s="6"/>
      <c r="E2391" s="6"/>
      <c r="F2391" s="6"/>
      <c r="G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O2391" s="6"/>
      <c r="AP2391" s="6"/>
      <c r="BH2391" s="6"/>
      <c r="BI2391" s="6"/>
      <c r="BJ2391" s="6"/>
      <c r="BK2391" s="6"/>
      <c r="BL2391" s="6"/>
      <c r="BM2391" s="6"/>
      <c r="BN2391" s="6"/>
      <c r="BO2391" s="6"/>
      <c r="BP2391" s="6"/>
      <c r="BQ2391" s="6"/>
      <c r="BR2391" s="6"/>
      <c r="BS2391" s="6"/>
      <c r="BT2391" s="6"/>
      <c r="BU2391" s="6"/>
      <c r="BV2391" s="6"/>
      <c r="BW2391" s="6"/>
      <c r="BX2391" s="6"/>
      <c r="BY2391" s="6"/>
      <c r="BZ2391" s="6"/>
    </row>
    <row r="2392" spans="1:78" s="497" customFormat="1" ht="21.75" customHeight="1"/>
    <row r="2393" spans="1:78" s="504" customFormat="1" ht="21.75" customHeight="1"/>
    <row r="2394" spans="1:78" s="496" customFormat="1" ht="21.75" customHeight="1"/>
    <row r="2395" spans="1:78" s="496" customFormat="1" ht="21.75" customHeight="1"/>
    <row r="2396" spans="1:78" ht="21.75" customHeight="1">
      <c r="A2396" s="6"/>
      <c r="B2396" s="6"/>
      <c r="C2396" s="6"/>
      <c r="D2396" s="6"/>
      <c r="E2396" s="6"/>
      <c r="F2396" s="6"/>
      <c r="G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O2396" s="6"/>
      <c r="AP2396" s="6"/>
      <c r="BH2396" s="6"/>
      <c r="BI2396" s="6"/>
      <c r="BJ2396" s="6"/>
      <c r="BK2396" s="6"/>
      <c r="BL2396" s="6"/>
      <c r="BM2396" s="6"/>
      <c r="BN2396" s="6"/>
      <c r="BO2396" s="6"/>
      <c r="BP2396" s="6"/>
      <c r="BQ2396" s="6"/>
      <c r="BR2396" s="6"/>
      <c r="BS2396" s="6"/>
      <c r="BT2396" s="6"/>
      <c r="BU2396" s="6"/>
      <c r="BV2396" s="6"/>
      <c r="BW2396" s="6"/>
      <c r="BX2396" s="6"/>
      <c r="BY2396" s="6"/>
      <c r="BZ2396" s="6"/>
    </row>
    <row r="2397" spans="1:78" s="448" customFormat="1" ht="21.75" customHeight="1"/>
    <row r="2398" spans="1:78" ht="21.75" customHeight="1">
      <c r="A2398" s="6"/>
      <c r="B2398" s="6"/>
      <c r="C2398" s="6"/>
      <c r="D2398" s="6"/>
      <c r="E2398" s="6"/>
      <c r="F2398" s="6"/>
      <c r="G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O2398" s="6"/>
      <c r="AP2398" s="6"/>
      <c r="BH2398" s="6"/>
      <c r="BI2398" s="6"/>
      <c r="BJ2398" s="6"/>
      <c r="BK2398" s="6"/>
      <c r="BL2398" s="6"/>
      <c r="BM2398" s="6"/>
      <c r="BN2398" s="6"/>
      <c r="BO2398" s="6"/>
      <c r="BP2398" s="6"/>
      <c r="BQ2398" s="6"/>
      <c r="BR2398" s="6"/>
      <c r="BS2398" s="6"/>
      <c r="BT2398" s="6"/>
      <c r="BU2398" s="6"/>
      <c r="BV2398" s="6"/>
      <c r="BW2398" s="6"/>
      <c r="BX2398" s="6"/>
      <c r="BY2398" s="6"/>
      <c r="BZ2398" s="6"/>
    </row>
    <row r="2399" spans="1:78" ht="21.75" customHeight="1">
      <c r="A2399" s="6"/>
      <c r="B2399" s="6"/>
      <c r="C2399" s="6"/>
      <c r="D2399" s="6"/>
      <c r="E2399" s="6"/>
      <c r="F2399" s="6"/>
      <c r="G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O2399" s="6"/>
      <c r="AP2399" s="6"/>
      <c r="BH2399" s="6"/>
      <c r="BI2399" s="6"/>
      <c r="BJ2399" s="6"/>
      <c r="BK2399" s="6"/>
      <c r="BL2399" s="6"/>
      <c r="BM2399" s="6"/>
      <c r="BN2399" s="6"/>
      <c r="BO2399" s="6"/>
      <c r="BP2399" s="6"/>
      <c r="BQ2399" s="6"/>
      <c r="BR2399" s="6"/>
      <c r="BS2399" s="6"/>
      <c r="BT2399" s="6"/>
      <c r="BU2399" s="6"/>
      <c r="BV2399" s="6"/>
      <c r="BW2399" s="6"/>
      <c r="BX2399" s="6"/>
      <c r="BY2399" s="6"/>
      <c r="BZ2399" s="6"/>
    </row>
    <row r="2400" spans="1:78" s="496" customFormat="1" ht="21.75" customHeight="1"/>
    <row r="2401" spans="1:78" ht="21.75" customHeight="1">
      <c r="A2401" s="6"/>
      <c r="B2401" s="6"/>
      <c r="C2401" s="6"/>
      <c r="D2401" s="6"/>
      <c r="E2401" s="6"/>
      <c r="F2401" s="6"/>
      <c r="G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O2401" s="6"/>
      <c r="AP2401" s="6"/>
      <c r="BH2401" s="6"/>
      <c r="BI2401" s="6"/>
      <c r="BJ2401" s="6"/>
      <c r="BK2401" s="6"/>
      <c r="BL2401" s="6"/>
      <c r="BM2401" s="6"/>
      <c r="BN2401" s="6"/>
      <c r="BO2401" s="6"/>
      <c r="BP2401" s="6"/>
      <c r="BQ2401" s="6"/>
      <c r="BR2401" s="6"/>
      <c r="BS2401" s="6"/>
      <c r="BT2401" s="6"/>
      <c r="BU2401" s="6"/>
      <c r="BV2401" s="6"/>
      <c r="BW2401" s="6"/>
      <c r="BX2401" s="6"/>
      <c r="BY2401" s="6"/>
      <c r="BZ2401" s="6"/>
    </row>
    <row r="2402" spans="1:78" s="496" customFormat="1" ht="21.75" customHeight="1"/>
    <row r="2403" spans="1:78" ht="21.75" customHeight="1">
      <c r="A2403" s="6"/>
      <c r="B2403" s="6"/>
      <c r="C2403" s="6"/>
      <c r="D2403" s="6"/>
      <c r="E2403" s="6"/>
      <c r="F2403" s="6"/>
      <c r="G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O2403" s="6"/>
      <c r="AP2403" s="6"/>
      <c r="BH2403" s="6"/>
      <c r="BI2403" s="6"/>
      <c r="BJ2403" s="6"/>
      <c r="BK2403" s="6"/>
      <c r="BL2403" s="6"/>
      <c r="BM2403" s="6"/>
      <c r="BN2403" s="6"/>
      <c r="BO2403" s="6"/>
      <c r="BP2403" s="6"/>
      <c r="BQ2403" s="6"/>
      <c r="BR2403" s="6"/>
      <c r="BS2403" s="6"/>
      <c r="BT2403" s="6"/>
      <c r="BU2403" s="6"/>
      <c r="BV2403" s="6"/>
      <c r="BW2403" s="6"/>
      <c r="BX2403" s="6"/>
      <c r="BY2403" s="6"/>
      <c r="BZ2403" s="6"/>
    </row>
    <row r="2404" spans="1:78" s="496" customFormat="1" ht="21.75" customHeight="1"/>
    <row r="2405" spans="1:78" ht="21.75" customHeight="1">
      <c r="A2405" s="6"/>
      <c r="B2405" s="6"/>
      <c r="C2405" s="6"/>
      <c r="D2405" s="6"/>
      <c r="E2405" s="6"/>
      <c r="F2405" s="6"/>
      <c r="G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O2405" s="6"/>
      <c r="AP2405" s="6"/>
      <c r="BH2405" s="6"/>
      <c r="BI2405" s="6"/>
      <c r="BJ2405" s="6"/>
      <c r="BK2405" s="6"/>
      <c r="BL2405" s="6"/>
      <c r="BM2405" s="6"/>
      <c r="BN2405" s="6"/>
      <c r="BO2405" s="6"/>
      <c r="BP2405" s="6"/>
      <c r="BQ2405" s="6"/>
      <c r="BR2405" s="6"/>
      <c r="BS2405" s="6"/>
      <c r="BT2405" s="6"/>
      <c r="BU2405" s="6"/>
      <c r="BV2405" s="6"/>
      <c r="BW2405" s="6"/>
      <c r="BX2405" s="6"/>
      <c r="BY2405" s="6"/>
      <c r="BZ2405" s="6"/>
    </row>
    <row r="2406" spans="1:78" s="496" customFormat="1" ht="21.75" customHeight="1"/>
    <row r="2407" spans="1:78" s="505" customFormat="1" ht="21.75" customHeight="1"/>
    <row r="2408" spans="1:78" s="450" customFormat="1" ht="21.75" customHeight="1"/>
    <row r="2409" spans="1:78" s="495" customFormat="1" ht="21.75" customHeight="1"/>
    <row r="2410" spans="1:78" s="472" customFormat="1" ht="21.75" customHeight="1"/>
    <row r="2411" spans="1:78" s="496" customFormat="1" ht="21.75" customHeight="1"/>
    <row r="2412" spans="1:78" ht="21.75" customHeight="1">
      <c r="A2412" s="6"/>
      <c r="B2412" s="6"/>
      <c r="C2412" s="6"/>
      <c r="D2412" s="6"/>
      <c r="E2412" s="6"/>
      <c r="F2412" s="6"/>
      <c r="G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O2412" s="6"/>
      <c r="AP2412" s="6"/>
      <c r="BH2412" s="6"/>
      <c r="BI2412" s="6"/>
      <c r="BJ2412" s="6"/>
      <c r="BK2412" s="6"/>
      <c r="BL2412" s="6"/>
      <c r="BM2412" s="6"/>
      <c r="BN2412" s="6"/>
      <c r="BO2412" s="6"/>
      <c r="BP2412" s="6"/>
      <c r="BQ2412" s="6"/>
      <c r="BR2412" s="6"/>
      <c r="BS2412" s="6"/>
      <c r="BT2412" s="6"/>
      <c r="BU2412" s="6"/>
      <c r="BV2412" s="6"/>
      <c r="BW2412" s="6"/>
      <c r="BX2412" s="6"/>
      <c r="BY2412" s="6"/>
      <c r="BZ2412" s="6"/>
    </row>
    <row r="2413" spans="1:78" s="496" customFormat="1" ht="21.75" customHeight="1"/>
    <row r="2414" spans="1:78" s="496" customFormat="1" ht="21.75" customHeight="1"/>
    <row r="2415" spans="1:78" s="495" customFormat="1" ht="21.75" customHeight="1"/>
    <row r="2416" spans="1:78" s="496" customFormat="1" ht="21.75" customHeight="1"/>
    <row r="2417" spans="1:78" s="496" customFormat="1" ht="21.75" customHeight="1"/>
    <row r="2418" spans="1:78" s="496" customFormat="1" ht="21.75" customHeight="1"/>
    <row r="2419" spans="1:78" ht="21.75" customHeight="1">
      <c r="A2419" s="6"/>
      <c r="B2419" s="6"/>
      <c r="C2419" s="6"/>
      <c r="D2419" s="6"/>
      <c r="E2419" s="6"/>
      <c r="F2419" s="6"/>
      <c r="G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O2419" s="6"/>
      <c r="AP2419" s="6"/>
      <c r="BH2419" s="6"/>
      <c r="BI2419" s="6"/>
      <c r="BJ2419" s="6"/>
      <c r="BK2419" s="6"/>
      <c r="BL2419" s="6"/>
      <c r="BM2419" s="6"/>
      <c r="BN2419" s="6"/>
      <c r="BO2419" s="6"/>
      <c r="BP2419" s="6"/>
      <c r="BQ2419" s="6"/>
      <c r="BR2419" s="6"/>
      <c r="BS2419" s="6"/>
      <c r="BT2419" s="6"/>
      <c r="BU2419" s="6"/>
      <c r="BV2419" s="6"/>
      <c r="BW2419" s="6"/>
      <c r="BX2419" s="6"/>
      <c r="BY2419" s="6"/>
      <c r="BZ2419" s="6"/>
    </row>
    <row r="2420" spans="1:78" s="496" customFormat="1" ht="21.75" customHeight="1"/>
    <row r="2421" spans="1:78" s="472" customFormat="1" ht="21.75" customHeight="1"/>
    <row r="2422" spans="1:78" s="496" customFormat="1" ht="21.75" customHeight="1"/>
    <row r="2423" spans="1:78" ht="21.75" customHeight="1">
      <c r="A2423" s="6"/>
      <c r="B2423" s="6"/>
      <c r="C2423" s="6"/>
      <c r="D2423" s="6"/>
      <c r="E2423" s="6"/>
      <c r="F2423" s="6"/>
      <c r="G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O2423" s="6"/>
      <c r="AP2423" s="6"/>
      <c r="BH2423" s="6"/>
      <c r="BI2423" s="6"/>
      <c r="BJ2423" s="6"/>
      <c r="BK2423" s="6"/>
      <c r="BL2423" s="6"/>
      <c r="BM2423" s="6"/>
      <c r="BN2423" s="6"/>
      <c r="BO2423" s="6"/>
      <c r="BP2423" s="6"/>
      <c r="BQ2423" s="6"/>
      <c r="BR2423" s="6"/>
      <c r="BS2423" s="6"/>
      <c r="BT2423" s="6"/>
      <c r="BU2423" s="6"/>
      <c r="BV2423" s="6"/>
      <c r="BW2423" s="6"/>
      <c r="BX2423" s="6"/>
      <c r="BY2423" s="6"/>
      <c r="BZ2423" s="6"/>
    </row>
    <row r="2424" spans="1:78" s="497" customFormat="1" ht="21.75" customHeight="1"/>
    <row r="2425" spans="1:78" s="495" customFormat="1" ht="21.75" customHeight="1"/>
    <row r="2426" spans="1:78" s="496" customFormat="1" ht="21.75" customHeight="1"/>
    <row r="2427" spans="1:78" ht="21.75" customHeight="1">
      <c r="A2427" s="6"/>
      <c r="B2427" s="6"/>
      <c r="C2427" s="6"/>
      <c r="D2427" s="6"/>
      <c r="E2427" s="6"/>
      <c r="F2427" s="6"/>
      <c r="G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O2427" s="6"/>
      <c r="AP2427" s="6"/>
      <c r="BH2427" s="6"/>
      <c r="BI2427" s="6"/>
      <c r="BJ2427" s="6"/>
      <c r="BK2427" s="6"/>
      <c r="BL2427" s="6"/>
      <c r="BM2427" s="6"/>
      <c r="BN2427" s="6"/>
      <c r="BO2427" s="6"/>
      <c r="BP2427" s="6"/>
      <c r="BQ2427" s="6"/>
      <c r="BR2427" s="6"/>
      <c r="BS2427" s="6"/>
      <c r="BT2427" s="6"/>
      <c r="BU2427" s="6"/>
      <c r="BV2427" s="6"/>
      <c r="BW2427" s="6"/>
      <c r="BX2427" s="6"/>
      <c r="BY2427" s="6"/>
      <c r="BZ2427" s="6"/>
    </row>
    <row r="2428" spans="1:78" s="496" customFormat="1" ht="21.75" customHeight="1"/>
    <row r="2429" spans="1:78" ht="21.75" customHeight="1">
      <c r="A2429" s="6"/>
      <c r="B2429" s="6"/>
      <c r="C2429" s="6"/>
      <c r="D2429" s="6"/>
      <c r="E2429" s="6"/>
      <c r="F2429" s="6"/>
      <c r="G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O2429" s="6"/>
      <c r="AP2429" s="6"/>
      <c r="BH2429" s="6"/>
      <c r="BI2429" s="6"/>
      <c r="BJ2429" s="6"/>
      <c r="BK2429" s="6"/>
      <c r="BL2429" s="6"/>
      <c r="BM2429" s="6"/>
      <c r="BN2429" s="6"/>
      <c r="BO2429" s="6"/>
      <c r="BP2429" s="6"/>
      <c r="BQ2429" s="6"/>
      <c r="BR2429" s="6"/>
      <c r="BS2429" s="6"/>
      <c r="BT2429" s="6"/>
      <c r="BU2429" s="6"/>
      <c r="BV2429" s="6"/>
      <c r="BW2429" s="6"/>
      <c r="BX2429" s="6"/>
      <c r="BY2429" s="6"/>
      <c r="BZ2429" s="6"/>
    </row>
    <row r="2430" spans="1:78" s="496" customFormat="1" ht="21.75" customHeight="1"/>
    <row r="2431" spans="1:78" ht="21.75" customHeight="1">
      <c r="A2431" s="6"/>
      <c r="B2431" s="6"/>
      <c r="C2431" s="6"/>
      <c r="D2431" s="6"/>
      <c r="E2431" s="6"/>
      <c r="F2431" s="6"/>
      <c r="G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O2431" s="6"/>
      <c r="AP2431" s="6"/>
      <c r="BH2431" s="6"/>
      <c r="BI2431" s="6"/>
      <c r="BJ2431" s="6"/>
      <c r="BK2431" s="6"/>
      <c r="BL2431" s="6"/>
      <c r="BM2431" s="6"/>
      <c r="BN2431" s="6"/>
      <c r="BO2431" s="6"/>
      <c r="BP2431" s="6"/>
      <c r="BQ2431" s="6"/>
      <c r="BR2431" s="6"/>
      <c r="BS2431" s="6"/>
      <c r="BT2431" s="6"/>
      <c r="BU2431" s="6"/>
      <c r="BV2431" s="6"/>
      <c r="BW2431" s="6"/>
      <c r="BX2431" s="6"/>
      <c r="BY2431" s="6"/>
      <c r="BZ2431" s="6"/>
    </row>
    <row r="2432" spans="1:78" s="450" customFormat="1" ht="21.75" customHeight="1"/>
    <row r="2433" spans="1:78" s="448" customFormat="1" ht="21.75" customHeight="1"/>
    <row r="2434" spans="1:78" ht="21.75" customHeight="1">
      <c r="A2434" s="6"/>
      <c r="B2434" s="6"/>
      <c r="C2434" s="6"/>
      <c r="D2434" s="6"/>
      <c r="E2434" s="6"/>
      <c r="F2434" s="6"/>
      <c r="G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O2434" s="6"/>
      <c r="AP2434" s="6"/>
      <c r="BH2434" s="6"/>
      <c r="BI2434" s="6"/>
      <c r="BJ2434" s="6"/>
      <c r="BK2434" s="6"/>
      <c r="BL2434" s="6"/>
      <c r="BM2434" s="6"/>
      <c r="BN2434" s="6"/>
      <c r="BO2434" s="6"/>
      <c r="BP2434" s="6"/>
      <c r="BQ2434" s="6"/>
      <c r="BR2434" s="6"/>
      <c r="BS2434" s="6"/>
      <c r="BT2434" s="6"/>
      <c r="BU2434" s="6"/>
      <c r="BV2434" s="6"/>
      <c r="BW2434" s="6"/>
      <c r="BX2434" s="6"/>
      <c r="BY2434" s="6"/>
      <c r="BZ2434" s="6"/>
    </row>
    <row r="2435" spans="1:78" s="496" customFormat="1" ht="21.75" customHeight="1"/>
    <row r="2436" spans="1:78" s="496" customFormat="1" ht="21.75" customHeight="1"/>
    <row r="2437" spans="1:78" s="496" customFormat="1" ht="21.75" customHeight="1"/>
    <row r="2438" spans="1:78" ht="21.75" customHeight="1">
      <c r="A2438" s="6"/>
      <c r="B2438" s="6"/>
      <c r="C2438" s="6"/>
      <c r="D2438" s="6"/>
      <c r="E2438" s="6"/>
      <c r="F2438" s="6"/>
      <c r="G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O2438" s="6"/>
      <c r="AP2438" s="6"/>
      <c r="BH2438" s="6"/>
      <c r="BI2438" s="6"/>
      <c r="BJ2438" s="6"/>
      <c r="BK2438" s="6"/>
      <c r="BL2438" s="6"/>
      <c r="BM2438" s="6"/>
      <c r="BN2438" s="6"/>
      <c r="BO2438" s="6"/>
      <c r="BP2438" s="6"/>
      <c r="BQ2438" s="6"/>
      <c r="BR2438" s="6"/>
      <c r="BS2438" s="6"/>
      <c r="BT2438" s="6"/>
      <c r="BU2438" s="6"/>
      <c r="BV2438" s="6"/>
      <c r="BW2438" s="6"/>
      <c r="BX2438" s="6"/>
      <c r="BY2438" s="6"/>
      <c r="BZ2438" s="6"/>
    </row>
    <row r="2439" spans="1:78" s="496" customFormat="1" ht="21.75" customHeight="1"/>
    <row r="2440" spans="1:78" s="497" customFormat="1" ht="21.75" customHeight="1"/>
    <row r="2441" spans="1:78" s="495" customFormat="1" ht="21.75" customHeight="1"/>
    <row r="2442" spans="1:78" ht="21.75" customHeight="1">
      <c r="A2442" s="6"/>
      <c r="B2442" s="6"/>
      <c r="C2442" s="6"/>
      <c r="D2442" s="6"/>
      <c r="E2442" s="6"/>
      <c r="F2442" s="6"/>
      <c r="G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O2442" s="6"/>
      <c r="AP2442" s="6"/>
      <c r="BH2442" s="6"/>
      <c r="BI2442" s="6"/>
      <c r="BJ2442" s="6"/>
      <c r="BK2442" s="6"/>
      <c r="BL2442" s="6"/>
      <c r="BM2442" s="6"/>
      <c r="BN2442" s="6"/>
      <c r="BO2442" s="6"/>
      <c r="BP2442" s="6"/>
      <c r="BQ2442" s="6"/>
      <c r="BR2442" s="6"/>
      <c r="BS2442" s="6"/>
      <c r="BT2442" s="6"/>
      <c r="BU2442" s="6"/>
      <c r="BV2442" s="6"/>
      <c r="BW2442" s="6"/>
      <c r="BX2442" s="6"/>
      <c r="BY2442" s="6"/>
      <c r="BZ2442" s="6"/>
    </row>
    <row r="2443" spans="1:78" ht="21.75" customHeight="1">
      <c r="A2443" s="6"/>
      <c r="B2443" s="6"/>
      <c r="C2443" s="6"/>
      <c r="D2443" s="6"/>
      <c r="E2443" s="6"/>
      <c r="F2443" s="6"/>
      <c r="G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O2443" s="6"/>
      <c r="AP2443" s="6"/>
      <c r="BH2443" s="6"/>
      <c r="BI2443" s="6"/>
      <c r="BJ2443" s="6"/>
      <c r="BK2443" s="6"/>
      <c r="BL2443" s="6"/>
      <c r="BM2443" s="6"/>
      <c r="BN2443" s="6"/>
      <c r="BO2443" s="6"/>
      <c r="BP2443" s="6"/>
      <c r="BQ2443" s="6"/>
      <c r="BR2443" s="6"/>
      <c r="BS2443" s="6"/>
      <c r="BT2443" s="6"/>
      <c r="BU2443" s="6"/>
      <c r="BV2443" s="6"/>
      <c r="BW2443" s="6"/>
      <c r="BX2443" s="6"/>
      <c r="BY2443" s="6"/>
      <c r="BZ2443" s="6"/>
    </row>
    <row r="2444" spans="1:78" s="505" customFormat="1" ht="21.75" customHeight="1"/>
    <row r="2445" spans="1:78" s="496" customFormat="1" ht="21.75" customHeight="1"/>
    <row r="2446" spans="1:78" s="505" customFormat="1" ht="21.75" customHeight="1"/>
    <row r="2447" spans="1:78" ht="21.75" customHeight="1">
      <c r="A2447" s="6"/>
      <c r="B2447" s="6"/>
      <c r="C2447" s="6"/>
      <c r="D2447" s="6"/>
      <c r="E2447" s="6"/>
      <c r="F2447" s="6"/>
      <c r="G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O2447" s="6"/>
      <c r="AP2447" s="6"/>
      <c r="BH2447" s="6"/>
      <c r="BI2447" s="6"/>
      <c r="BJ2447" s="6"/>
      <c r="BK2447" s="6"/>
      <c r="BL2447" s="6"/>
      <c r="BM2447" s="6"/>
      <c r="BN2447" s="6"/>
      <c r="BO2447" s="6"/>
      <c r="BP2447" s="6"/>
      <c r="BQ2447" s="6"/>
      <c r="BR2447" s="6"/>
      <c r="BS2447" s="6"/>
      <c r="BT2447" s="6"/>
      <c r="BU2447" s="6"/>
      <c r="BV2447" s="6"/>
      <c r="BW2447" s="6"/>
      <c r="BX2447" s="6"/>
      <c r="BY2447" s="6"/>
      <c r="BZ2447" s="6"/>
    </row>
    <row r="2448" spans="1:78" s="505" customFormat="1" ht="21.75" customHeight="1"/>
    <row r="2449" spans="1:78" s="496" customFormat="1" ht="21.75" customHeight="1"/>
    <row r="2450" spans="1:78" s="505" customFormat="1" ht="21.75" customHeight="1"/>
    <row r="2451" spans="1:78" ht="21.75" customHeight="1">
      <c r="A2451" s="6"/>
      <c r="B2451" s="6"/>
      <c r="C2451" s="6"/>
      <c r="D2451" s="6"/>
      <c r="E2451" s="6"/>
      <c r="F2451" s="6"/>
      <c r="G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O2451" s="6"/>
      <c r="AP2451" s="6"/>
      <c r="BH2451" s="6"/>
      <c r="BI2451" s="6"/>
      <c r="BJ2451" s="6"/>
      <c r="BK2451" s="6"/>
      <c r="BL2451" s="6"/>
      <c r="BM2451" s="6"/>
      <c r="BN2451" s="6"/>
      <c r="BO2451" s="6"/>
      <c r="BP2451" s="6"/>
      <c r="BQ2451" s="6"/>
      <c r="BR2451" s="6"/>
      <c r="BS2451" s="6"/>
      <c r="BT2451" s="6"/>
      <c r="BU2451" s="6"/>
      <c r="BV2451" s="6"/>
      <c r="BW2451" s="6"/>
      <c r="BX2451" s="6"/>
      <c r="BY2451" s="6"/>
      <c r="BZ2451" s="6"/>
    </row>
    <row r="2452" spans="1:78" s="496" customFormat="1" ht="21.75" customHeight="1"/>
    <row r="2453" spans="1:78" s="505" customFormat="1" ht="21.75" customHeight="1"/>
    <row r="2454" spans="1:78" s="496" customFormat="1" ht="21.75" customHeight="1"/>
    <row r="2455" spans="1:78" ht="21.75" customHeight="1">
      <c r="A2455" s="6"/>
      <c r="B2455" s="6"/>
      <c r="C2455" s="6"/>
      <c r="D2455" s="6"/>
      <c r="E2455" s="6"/>
      <c r="F2455" s="6"/>
      <c r="G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O2455" s="6"/>
      <c r="AP2455" s="6"/>
      <c r="BH2455" s="6"/>
      <c r="BI2455" s="6"/>
      <c r="BJ2455" s="6"/>
      <c r="BK2455" s="6"/>
      <c r="BL2455" s="6"/>
      <c r="BM2455" s="6"/>
      <c r="BN2455" s="6"/>
      <c r="BO2455" s="6"/>
      <c r="BP2455" s="6"/>
      <c r="BQ2455" s="6"/>
      <c r="BR2455" s="6"/>
      <c r="BS2455" s="6"/>
      <c r="BT2455" s="6"/>
      <c r="BU2455" s="6"/>
      <c r="BV2455" s="6"/>
      <c r="BW2455" s="6"/>
      <c r="BX2455" s="6"/>
      <c r="BY2455" s="6"/>
      <c r="BZ2455" s="6"/>
    </row>
    <row r="2456" spans="1:78" s="450" customFormat="1" ht="21.75" customHeight="1"/>
    <row r="2457" spans="1:78" s="495" customFormat="1" ht="21.75" customHeight="1"/>
    <row r="2458" spans="1:78" ht="21.75" customHeight="1">
      <c r="A2458" s="6"/>
      <c r="B2458" s="6"/>
      <c r="C2458" s="6"/>
      <c r="D2458" s="6"/>
      <c r="E2458" s="6"/>
      <c r="F2458" s="6"/>
      <c r="G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O2458" s="6"/>
      <c r="AP2458" s="6"/>
      <c r="BH2458" s="6"/>
      <c r="BI2458" s="6"/>
      <c r="BJ2458" s="6"/>
      <c r="BK2458" s="6"/>
      <c r="BL2458" s="6"/>
      <c r="BM2458" s="6"/>
      <c r="BN2458" s="6"/>
      <c r="BO2458" s="6"/>
      <c r="BP2458" s="6"/>
      <c r="BQ2458" s="6"/>
      <c r="BR2458" s="6"/>
      <c r="BS2458" s="6"/>
      <c r="BT2458" s="6"/>
      <c r="BU2458" s="6"/>
      <c r="BV2458" s="6"/>
      <c r="BW2458" s="6"/>
      <c r="BX2458" s="6"/>
      <c r="BY2458" s="6"/>
      <c r="BZ2458" s="6"/>
    </row>
    <row r="2459" spans="1:78" ht="21.75" customHeight="1">
      <c r="A2459" s="6"/>
      <c r="B2459" s="6"/>
      <c r="C2459" s="6"/>
      <c r="D2459" s="6"/>
      <c r="E2459" s="6"/>
      <c r="F2459" s="6"/>
      <c r="G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O2459" s="6"/>
      <c r="AP2459" s="6"/>
      <c r="BH2459" s="6"/>
      <c r="BI2459" s="6"/>
      <c r="BJ2459" s="6"/>
      <c r="BK2459" s="6"/>
      <c r="BL2459" s="6"/>
      <c r="BM2459" s="6"/>
      <c r="BN2459" s="6"/>
      <c r="BO2459" s="6"/>
      <c r="BP2459" s="6"/>
      <c r="BQ2459" s="6"/>
      <c r="BR2459" s="6"/>
      <c r="BS2459" s="6"/>
      <c r="BT2459" s="6"/>
      <c r="BU2459" s="6"/>
      <c r="BV2459" s="6"/>
      <c r="BW2459" s="6"/>
      <c r="BX2459" s="6"/>
      <c r="BY2459" s="6"/>
      <c r="BZ2459" s="6"/>
    </row>
    <row r="2460" spans="1:78" ht="21.75" customHeight="1">
      <c r="A2460" s="6"/>
      <c r="B2460" s="6"/>
      <c r="C2460" s="6"/>
      <c r="D2460" s="6"/>
      <c r="E2460" s="6"/>
      <c r="F2460" s="6"/>
      <c r="G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O2460" s="6"/>
      <c r="AP2460" s="6"/>
      <c r="BH2460" s="6"/>
      <c r="BI2460" s="6"/>
      <c r="BJ2460" s="6"/>
      <c r="BK2460" s="6"/>
      <c r="BL2460" s="6"/>
      <c r="BM2460" s="6"/>
      <c r="BN2460" s="6"/>
      <c r="BO2460" s="6"/>
      <c r="BP2460" s="6"/>
      <c r="BQ2460" s="6"/>
      <c r="BR2460" s="6"/>
      <c r="BS2460" s="6"/>
      <c r="BT2460" s="6"/>
      <c r="BU2460" s="6"/>
      <c r="BV2460" s="6"/>
      <c r="BW2460" s="6"/>
      <c r="BX2460" s="6"/>
      <c r="BY2460" s="6"/>
      <c r="BZ2460" s="6"/>
    </row>
    <row r="2461" spans="1:78" ht="21.75" customHeight="1">
      <c r="A2461" s="6"/>
      <c r="B2461" s="6"/>
      <c r="C2461" s="6"/>
      <c r="D2461" s="6"/>
      <c r="E2461" s="6"/>
      <c r="F2461" s="6"/>
      <c r="G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O2461" s="6"/>
      <c r="AP2461" s="6"/>
      <c r="BH2461" s="6"/>
      <c r="BI2461" s="6"/>
      <c r="BJ2461" s="6"/>
      <c r="BK2461" s="6"/>
      <c r="BL2461" s="6"/>
      <c r="BM2461" s="6"/>
      <c r="BN2461" s="6"/>
      <c r="BO2461" s="6"/>
      <c r="BP2461" s="6"/>
      <c r="BQ2461" s="6"/>
      <c r="BR2461" s="6"/>
      <c r="BS2461" s="6"/>
      <c r="BT2461" s="6"/>
      <c r="BU2461" s="6"/>
      <c r="BV2461" s="6"/>
      <c r="BW2461" s="6"/>
      <c r="BX2461" s="6"/>
      <c r="BY2461" s="6"/>
      <c r="BZ2461" s="6"/>
    </row>
    <row r="2462" spans="1:78" ht="21.75" customHeight="1">
      <c r="A2462" s="6"/>
      <c r="B2462" s="6"/>
      <c r="C2462" s="6"/>
      <c r="D2462" s="6"/>
      <c r="E2462" s="6"/>
      <c r="F2462" s="6"/>
      <c r="G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O2462" s="6"/>
      <c r="AP2462" s="6"/>
      <c r="BH2462" s="6"/>
      <c r="BI2462" s="6"/>
      <c r="BJ2462" s="6"/>
      <c r="BK2462" s="6"/>
      <c r="BL2462" s="6"/>
      <c r="BM2462" s="6"/>
      <c r="BN2462" s="6"/>
      <c r="BO2462" s="6"/>
      <c r="BP2462" s="6"/>
      <c r="BQ2462" s="6"/>
      <c r="BR2462" s="6"/>
      <c r="BS2462" s="6"/>
      <c r="BT2462" s="6"/>
      <c r="BU2462" s="6"/>
      <c r="BV2462" s="6"/>
      <c r="BW2462" s="6"/>
      <c r="BX2462" s="6"/>
      <c r="BY2462" s="6"/>
      <c r="BZ2462" s="6"/>
    </row>
    <row r="2463" spans="1:78" s="496" customFormat="1" ht="21.75" customHeight="1"/>
    <row r="2464" spans="1:78" ht="21.75" customHeight="1">
      <c r="A2464" s="6"/>
      <c r="B2464" s="6"/>
      <c r="C2464" s="6"/>
      <c r="D2464" s="6"/>
      <c r="E2464" s="6"/>
      <c r="F2464" s="6"/>
      <c r="G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O2464" s="6"/>
      <c r="AP2464" s="6"/>
      <c r="BH2464" s="6"/>
      <c r="BI2464" s="6"/>
      <c r="BJ2464" s="6"/>
      <c r="BK2464" s="6"/>
      <c r="BL2464" s="6"/>
      <c r="BM2464" s="6"/>
      <c r="BN2464" s="6"/>
      <c r="BO2464" s="6"/>
      <c r="BP2464" s="6"/>
      <c r="BQ2464" s="6"/>
      <c r="BR2464" s="6"/>
      <c r="BS2464" s="6"/>
      <c r="BT2464" s="6"/>
      <c r="BU2464" s="6"/>
      <c r="BV2464" s="6"/>
      <c r="BW2464" s="6"/>
      <c r="BX2464" s="6"/>
      <c r="BY2464" s="6"/>
      <c r="BZ2464" s="6"/>
    </row>
    <row r="2465" spans="1:78" ht="21.75" customHeight="1">
      <c r="A2465" s="6"/>
      <c r="B2465" s="6"/>
      <c r="C2465" s="6"/>
      <c r="D2465" s="6"/>
      <c r="E2465" s="6"/>
      <c r="F2465" s="6"/>
      <c r="G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O2465" s="6"/>
      <c r="AP2465" s="6"/>
      <c r="BH2465" s="6"/>
      <c r="BI2465" s="6"/>
      <c r="BJ2465" s="6"/>
      <c r="BK2465" s="6"/>
      <c r="BL2465" s="6"/>
      <c r="BM2465" s="6"/>
      <c r="BN2465" s="6"/>
      <c r="BO2465" s="6"/>
      <c r="BP2465" s="6"/>
      <c r="BQ2465" s="6"/>
      <c r="BR2465" s="6"/>
      <c r="BS2465" s="6"/>
      <c r="BT2465" s="6"/>
      <c r="BU2465" s="6"/>
      <c r="BV2465" s="6"/>
      <c r="BW2465" s="6"/>
      <c r="BX2465" s="6"/>
      <c r="BY2465" s="6"/>
      <c r="BZ2465" s="6"/>
    </row>
    <row r="2466" spans="1:78" s="497" customFormat="1" ht="21.75" customHeight="1"/>
    <row r="2467" spans="1:78" s="495" customFormat="1" ht="21.75" customHeight="1"/>
    <row r="2468" spans="1:78" ht="21.75" customHeight="1">
      <c r="A2468" s="6"/>
      <c r="B2468" s="6"/>
      <c r="C2468" s="6"/>
      <c r="D2468" s="6"/>
      <c r="E2468" s="6"/>
      <c r="F2468" s="6"/>
      <c r="G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O2468" s="6"/>
      <c r="AP2468" s="6"/>
      <c r="BH2468" s="6"/>
      <c r="BI2468" s="6"/>
      <c r="BJ2468" s="6"/>
      <c r="BK2468" s="6"/>
      <c r="BL2468" s="6"/>
      <c r="BM2468" s="6"/>
      <c r="BN2468" s="6"/>
      <c r="BO2468" s="6"/>
      <c r="BP2468" s="6"/>
      <c r="BQ2468" s="6"/>
      <c r="BR2468" s="6"/>
      <c r="BS2468" s="6"/>
      <c r="BT2468" s="6"/>
      <c r="BU2468" s="6"/>
      <c r="BV2468" s="6"/>
      <c r="BW2468" s="6"/>
      <c r="BX2468" s="6"/>
      <c r="BY2468" s="6"/>
      <c r="BZ2468" s="6"/>
    </row>
    <row r="2469" spans="1:78" ht="21.75" customHeight="1">
      <c r="A2469" s="6"/>
      <c r="B2469" s="6"/>
      <c r="C2469" s="6"/>
      <c r="D2469" s="6"/>
      <c r="E2469" s="6"/>
      <c r="F2469" s="6"/>
      <c r="G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O2469" s="6"/>
      <c r="AP2469" s="6"/>
      <c r="BH2469" s="6"/>
      <c r="BI2469" s="6"/>
      <c r="BJ2469" s="6"/>
      <c r="BK2469" s="6"/>
      <c r="BL2469" s="6"/>
      <c r="BM2469" s="6"/>
      <c r="BN2469" s="6"/>
      <c r="BO2469" s="6"/>
      <c r="BP2469" s="6"/>
      <c r="BQ2469" s="6"/>
      <c r="BR2469" s="6"/>
      <c r="BS2469" s="6"/>
      <c r="BT2469" s="6"/>
      <c r="BU2469" s="6"/>
      <c r="BV2469" s="6"/>
      <c r="BW2469" s="6"/>
      <c r="BX2469" s="6"/>
      <c r="BY2469" s="6"/>
      <c r="BZ2469" s="6"/>
    </row>
    <row r="2470" spans="1:78" ht="21.75" customHeight="1">
      <c r="A2470" s="6"/>
      <c r="B2470" s="6"/>
      <c r="C2470" s="6"/>
      <c r="D2470" s="6"/>
      <c r="E2470" s="6"/>
      <c r="F2470" s="6"/>
      <c r="G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O2470" s="6"/>
      <c r="AP2470" s="6"/>
      <c r="BH2470" s="6"/>
      <c r="BI2470" s="6"/>
      <c r="BJ2470" s="6"/>
      <c r="BK2470" s="6"/>
      <c r="BL2470" s="6"/>
      <c r="BM2470" s="6"/>
      <c r="BN2470" s="6"/>
      <c r="BO2470" s="6"/>
      <c r="BP2470" s="6"/>
      <c r="BQ2470" s="6"/>
      <c r="BR2470" s="6"/>
      <c r="BS2470" s="6"/>
      <c r="BT2470" s="6"/>
      <c r="BU2470" s="6"/>
      <c r="BV2470" s="6"/>
      <c r="BW2470" s="6"/>
      <c r="BX2470" s="6"/>
      <c r="BY2470" s="6"/>
      <c r="BZ2470" s="6"/>
    </row>
    <row r="2471" spans="1:78" ht="21.75" customHeight="1">
      <c r="A2471" s="6"/>
      <c r="B2471" s="6"/>
      <c r="C2471" s="6"/>
      <c r="D2471" s="6"/>
      <c r="E2471" s="6"/>
      <c r="F2471" s="6"/>
      <c r="G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O2471" s="6"/>
      <c r="AP2471" s="6"/>
      <c r="BH2471" s="6"/>
      <c r="BI2471" s="6"/>
      <c r="BJ2471" s="6"/>
      <c r="BK2471" s="6"/>
      <c r="BL2471" s="6"/>
      <c r="BM2471" s="6"/>
      <c r="BN2471" s="6"/>
      <c r="BO2471" s="6"/>
      <c r="BP2471" s="6"/>
      <c r="BQ2471" s="6"/>
      <c r="BR2471" s="6"/>
      <c r="BS2471" s="6"/>
      <c r="BT2471" s="6"/>
      <c r="BU2471" s="6"/>
      <c r="BV2471" s="6"/>
      <c r="BW2471" s="6"/>
      <c r="BX2471" s="6"/>
      <c r="BY2471" s="6"/>
      <c r="BZ2471" s="6"/>
    </row>
    <row r="2472" spans="1:78" s="496" customFormat="1" ht="21.75" customHeight="1"/>
    <row r="2473" spans="1:78" ht="21.75" customHeight="1">
      <c r="A2473" s="6"/>
      <c r="B2473" s="6"/>
      <c r="C2473" s="6"/>
      <c r="D2473" s="6"/>
      <c r="E2473" s="6"/>
      <c r="F2473" s="6"/>
      <c r="G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O2473" s="6"/>
      <c r="AP2473" s="6"/>
      <c r="BH2473" s="6"/>
      <c r="BI2473" s="6"/>
      <c r="BJ2473" s="6"/>
      <c r="BK2473" s="6"/>
      <c r="BL2473" s="6"/>
      <c r="BM2473" s="6"/>
      <c r="BN2473" s="6"/>
      <c r="BO2473" s="6"/>
      <c r="BP2473" s="6"/>
      <c r="BQ2473" s="6"/>
      <c r="BR2473" s="6"/>
      <c r="BS2473" s="6"/>
      <c r="BT2473" s="6"/>
      <c r="BU2473" s="6"/>
      <c r="BV2473" s="6"/>
      <c r="BW2473" s="6"/>
      <c r="BX2473" s="6"/>
      <c r="BY2473" s="6"/>
      <c r="BZ2473" s="6"/>
    </row>
    <row r="2474" spans="1:78" s="496" customFormat="1" ht="21.75" customHeight="1"/>
    <row r="2475" spans="1:78" s="496" customFormat="1" ht="21.75" customHeight="1"/>
    <row r="2476" spans="1:78" ht="21.75" customHeight="1">
      <c r="A2476" s="6"/>
      <c r="B2476" s="6"/>
      <c r="C2476" s="6"/>
      <c r="D2476" s="6"/>
      <c r="E2476" s="6"/>
      <c r="F2476" s="6"/>
      <c r="G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O2476" s="6"/>
      <c r="AP2476" s="6"/>
      <c r="BH2476" s="6"/>
      <c r="BI2476" s="6"/>
      <c r="BJ2476" s="6"/>
      <c r="BK2476" s="6"/>
      <c r="BL2476" s="6"/>
      <c r="BM2476" s="6"/>
      <c r="BN2476" s="6"/>
      <c r="BO2476" s="6"/>
      <c r="BP2476" s="6"/>
      <c r="BQ2476" s="6"/>
      <c r="BR2476" s="6"/>
      <c r="BS2476" s="6"/>
      <c r="BT2476" s="6"/>
      <c r="BU2476" s="6"/>
      <c r="BV2476" s="6"/>
      <c r="BW2476" s="6"/>
      <c r="BX2476" s="6"/>
      <c r="BY2476" s="6"/>
      <c r="BZ2476" s="6"/>
    </row>
    <row r="2477" spans="1:78" s="496" customFormat="1" ht="21.75" customHeight="1"/>
    <row r="2478" spans="1:78" s="496" customFormat="1" ht="21.75" customHeight="1"/>
    <row r="2479" spans="1:78" s="496" customFormat="1" ht="21.75" customHeight="1"/>
    <row r="2480" spans="1:78" s="450" customFormat="1" ht="21.75" customHeight="1"/>
    <row r="2481" spans="1:78" s="495" customFormat="1" ht="21.75" customHeight="1"/>
    <row r="2482" spans="1:78" ht="21.75" customHeight="1">
      <c r="A2482" s="6"/>
      <c r="B2482" s="6"/>
      <c r="C2482" s="6"/>
      <c r="D2482" s="6"/>
      <c r="E2482" s="6"/>
      <c r="F2482" s="6"/>
      <c r="G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O2482" s="6"/>
      <c r="AP2482" s="6"/>
      <c r="BH2482" s="6"/>
      <c r="BI2482" s="6"/>
      <c r="BJ2482" s="6"/>
      <c r="BK2482" s="6"/>
      <c r="BL2482" s="6"/>
      <c r="BM2482" s="6"/>
      <c r="BN2482" s="6"/>
      <c r="BO2482" s="6"/>
      <c r="BP2482" s="6"/>
      <c r="BQ2482" s="6"/>
      <c r="BR2482" s="6"/>
      <c r="BS2482" s="6"/>
      <c r="BT2482" s="6"/>
      <c r="BU2482" s="6"/>
      <c r="BV2482" s="6"/>
      <c r="BW2482" s="6"/>
      <c r="BX2482" s="6"/>
      <c r="BY2482" s="6"/>
      <c r="BZ2482" s="6"/>
    </row>
    <row r="2483" spans="1:78" ht="21.75" customHeight="1">
      <c r="A2483" s="6"/>
      <c r="B2483" s="6"/>
      <c r="C2483" s="6"/>
      <c r="D2483" s="6"/>
      <c r="E2483" s="6"/>
      <c r="F2483" s="6"/>
      <c r="G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O2483" s="6"/>
      <c r="AP2483" s="6"/>
      <c r="BH2483" s="6"/>
      <c r="BI2483" s="6"/>
      <c r="BJ2483" s="6"/>
      <c r="BK2483" s="6"/>
      <c r="BL2483" s="6"/>
      <c r="BM2483" s="6"/>
      <c r="BN2483" s="6"/>
      <c r="BO2483" s="6"/>
      <c r="BP2483" s="6"/>
      <c r="BQ2483" s="6"/>
      <c r="BR2483" s="6"/>
      <c r="BS2483" s="6"/>
      <c r="BT2483" s="6"/>
      <c r="BU2483" s="6"/>
      <c r="BV2483" s="6"/>
      <c r="BW2483" s="6"/>
      <c r="BX2483" s="6"/>
      <c r="BY2483" s="6"/>
      <c r="BZ2483" s="6"/>
    </row>
    <row r="2484" spans="1:78" ht="21.75" customHeight="1">
      <c r="A2484" s="6"/>
      <c r="B2484" s="6"/>
      <c r="C2484" s="6"/>
      <c r="D2484" s="6"/>
      <c r="E2484" s="6"/>
      <c r="F2484" s="6"/>
      <c r="G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O2484" s="6"/>
      <c r="AP2484" s="6"/>
      <c r="BH2484" s="6"/>
      <c r="BI2484" s="6"/>
      <c r="BJ2484" s="6"/>
      <c r="BK2484" s="6"/>
      <c r="BL2484" s="6"/>
      <c r="BM2484" s="6"/>
      <c r="BN2484" s="6"/>
      <c r="BO2484" s="6"/>
      <c r="BP2484" s="6"/>
      <c r="BQ2484" s="6"/>
      <c r="BR2484" s="6"/>
      <c r="BS2484" s="6"/>
      <c r="BT2484" s="6"/>
      <c r="BU2484" s="6"/>
      <c r="BV2484" s="6"/>
      <c r="BW2484" s="6"/>
      <c r="BX2484" s="6"/>
      <c r="BY2484" s="6"/>
      <c r="BZ2484" s="6"/>
    </row>
    <row r="2485" spans="1:78" ht="21.75" customHeight="1">
      <c r="A2485" s="6"/>
      <c r="B2485" s="6"/>
      <c r="C2485" s="6"/>
      <c r="D2485" s="6"/>
      <c r="E2485" s="6"/>
      <c r="F2485" s="6"/>
      <c r="G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O2485" s="6"/>
      <c r="AP2485" s="6"/>
      <c r="BH2485" s="6"/>
      <c r="BI2485" s="6"/>
      <c r="BJ2485" s="6"/>
      <c r="BK2485" s="6"/>
      <c r="BL2485" s="6"/>
      <c r="BM2485" s="6"/>
      <c r="BN2485" s="6"/>
      <c r="BO2485" s="6"/>
      <c r="BP2485" s="6"/>
      <c r="BQ2485" s="6"/>
      <c r="BR2485" s="6"/>
      <c r="BS2485" s="6"/>
      <c r="BT2485" s="6"/>
      <c r="BU2485" s="6"/>
      <c r="BV2485" s="6"/>
      <c r="BW2485" s="6"/>
      <c r="BX2485" s="6"/>
      <c r="BY2485" s="6"/>
      <c r="BZ2485" s="6"/>
    </row>
    <row r="2486" spans="1:78" ht="21.75" customHeight="1">
      <c r="A2486" s="6"/>
      <c r="B2486" s="6"/>
      <c r="C2486" s="6"/>
      <c r="D2486" s="6"/>
      <c r="E2486" s="6"/>
      <c r="F2486" s="6"/>
      <c r="G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O2486" s="6"/>
      <c r="AP2486" s="6"/>
      <c r="BH2486" s="6"/>
      <c r="BI2486" s="6"/>
      <c r="BJ2486" s="6"/>
      <c r="BK2486" s="6"/>
      <c r="BL2486" s="6"/>
      <c r="BM2486" s="6"/>
      <c r="BN2486" s="6"/>
      <c r="BO2486" s="6"/>
      <c r="BP2486" s="6"/>
      <c r="BQ2486" s="6"/>
      <c r="BR2486" s="6"/>
      <c r="BS2486" s="6"/>
      <c r="BT2486" s="6"/>
      <c r="BU2486" s="6"/>
      <c r="BV2486" s="6"/>
      <c r="BW2486" s="6"/>
      <c r="BX2486" s="6"/>
      <c r="BY2486" s="6"/>
      <c r="BZ2486" s="6"/>
    </row>
    <row r="2487" spans="1:78" ht="21.75" customHeight="1">
      <c r="A2487" s="6"/>
      <c r="B2487" s="6"/>
      <c r="C2487" s="6"/>
      <c r="D2487" s="6"/>
      <c r="E2487" s="6"/>
      <c r="F2487" s="6"/>
      <c r="G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O2487" s="6"/>
      <c r="AP2487" s="6"/>
      <c r="BH2487" s="6"/>
      <c r="BI2487" s="6"/>
      <c r="BJ2487" s="6"/>
      <c r="BK2487" s="6"/>
      <c r="BL2487" s="6"/>
      <c r="BM2487" s="6"/>
      <c r="BN2487" s="6"/>
      <c r="BO2487" s="6"/>
      <c r="BP2487" s="6"/>
      <c r="BQ2487" s="6"/>
      <c r="BR2487" s="6"/>
      <c r="BS2487" s="6"/>
      <c r="BT2487" s="6"/>
      <c r="BU2487" s="6"/>
      <c r="BV2487" s="6"/>
      <c r="BW2487" s="6"/>
      <c r="BX2487" s="6"/>
      <c r="BY2487" s="6"/>
      <c r="BZ2487" s="6"/>
    </row>
    <row r="2488" spans="1:78" ht="21.75" customHeight="1">
      <c r="A2488" s="6"/>
      <c r="B2488" s="6"/>
      <c r="C2488" s="6"/>
      <c r="D2488" s="6"/>
      <c r="E2488" s="6"/>
      <c r="F2488" s="6"/>
      <c r="G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O2488" s="6"/>
      <c r="AP2488" s="6"/>
      <c r="BH2488" s="6"/>
      <c r="BI2488" s="6"/>
      <c r="BJ2488" s="6"/>
      <c r="BK2488" s="6"/>
      <c r="BL2488" s="6"/>
      <c r="BM2488" s="6"/>
      <c r="BN2488" s="6"/>
      <c r="BO2488" s="6"/>
      <c r="BP2488" s="6"/>
      <c r="BQ2488" s="6"/>
      <c r="BR2488" s="6"/>
      <c r="BS2488" s="6"/>
      <c r="BT2488" s="6"/>
      <c r="BU2488" s="6"/>
      <c r="BV2488" s="6"/>
      <c r="BW2488" s="6"/>
      <c r="BX2488" s="6"/>
      <c r="BY2488" s="6"/>
      <c r="BZ2488" s="6"/>
    </row>
    <row r="2489" spans="1:78" s="496" customFormat="1" ht="21.75" customHeight="1"/>
    <row r="2490" spans="1:78" s="450" customFormat="1" ht="21.75" customHeight="1"/>
    <row r="2491" spans="1:78" s="448" customFormat="1" ht="21.75" customHeight="1"/>
    <row r="2492" spans="1:78" ht="21.75" customHeight="1">
      <c r="A2492" s="6"/>
      <c r="B2492" s="6"/>
      <c r="C2492" s="6"/>
      <c r="D2492" s="6"/>
      <c r="E2492" s="6"/>
      <c r="F2492" s="6"/>
      <c r="G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O2492" s="6"/>
      <c r="AP2492" s="6"/>
      <c r="BH2492" s="6"/>
      <c r="BI2492" s="6"/>
      <c r="BJ2492" s="6"/>
      <c r="BK2492" s="6"/>
      <c r="BL2492" s="6"/>
      <c r="BM2492" s="6"/>
      <c r="BN2492" s="6"/>
      <c r="BO2492" s="6"/>
      <c r="BP2492" s="6"/>
      <c r="BQ2492" s="6"/>
      <c r="BR2492" s="6"/>
      <c r="BS2492" s="6"/>
      <c r="BT2492" s="6"/>
      <c r="BU2492" s="6"/>
      <c r="BV2492" s="6"/>
      <c r="BW2492" s="6"/>
      <c r="BX2492" s="6"/>
      <c r="BY2492" s="6"/>
      <c r="BZ2492" s="6"/>
    </row>
    <row r="2493" spans="1:78" ht="21.75" customHeight="1">
      <c r="A2493" s="6"/>
      <c r="B2493" s="6"/>
      <c r="C2493" s="6"/>
      <c r="D2493" s="6"/>
      <c r="E2493" s="6"/>
      <c r="F2493" s="6"/>
      <c r="G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O2493" s="6"/>
      <c r="AP2493" s="6"/>
      <c r="BH2493" s="6"/>
      <c r="BI2493" s="6"/>
      <c r="BJ2493" s="6"/>
      <c r="BK2493" s="6"/>
      <c r="BL2493" s="6"/>
      <c r="BM2493" s="6"/>
      <c r="BN2493" s="6"/>
      <c r="BO2493" s="6"/>
      <c r="BP2493" s="6"/>
      <c r="BQ2493" s="6"/>
      <c r="BR2493" s="6"/>
      <c r="BS2493" s="6"/>
      <c r="BT2493" s="6"/>
      <c r="BU2493" s="6"/>
      <c r="BV2493" s="6"/>
      <c r="BW2493" s="6"/>
      <c r="BX2493" s="6"/>
      <c r="BY2493" s="6"/>
      <c r="BZ2493" s="6"/>
    </row>
    <row r="2494" spans="1:78" ht="21.75" customHeight="1">
      <c r="A2494" s="6"/>
      <c r="B2494" s="6"/>
      <c r="C2494" s="6"/>
      <c r="D2494" s="6"/>
      <c r="E2494" s="6"/>
      <c r="F2494" s="6"/>
      <c r="G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O2494" s="6"/>
      <c r="AP2494" s="6"/>
      <c r="BH2494" s="6"/>
      <c r="BI2494" s="6"/>
      <c r="BJ2494" s="6"/>
      <c r="BK2494" s="6"/>
      <c r="BL2494" s="6"/>
      <c r="BM2494" s="6"/>
      <c r="BN2494" s="6"/>
      <c r="BO2494" s="6"/>
      <c r="BP2494" s="6"/>
      <c r="BQ2494" s="6"/>
      <c r="BR2494" s="6"/>
      <c r="BS2494" s="6"/>
      <c r="BT2494" s="6"/>
      <c r="BU2494" s="6"/>
      <c r="BV2494" s="6"/>
      <c r="BW2494" s="6"/>
      <c r="BX2494" s="6"/>
      <c r="BY2494" s="6"/>
      <c r="BZ2494" s="6"/>
    </row>
    <row r="2495" spans="1:78" ht="21.75" customHeight="1">
      <c r="A2495" s="6"/>
      <c r="B2495" s="6"/>
      <c r="C2495" s="6"/>
      <c r="D2495" s="6"/>
      <c r="E2495" s="6"/>
      <c r="F2495" s="6"/>
      <c r="G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O2495" s="6"/>
      <c r="AP2495" s="6"/>
      <c r="BH2495" s="6"/>
      <c r="BI2495" s="6"/>
      <c r="BJ2495" s="6"/>
      <c r="BK2495" s="6"/>
      <c r="BL2495" s="6"/>
      <c r="BM2495" s="6"/>
      <c r="BN2495" s="6"/>
      <c r="BO2495" s="6"/>
      <c r="BP2495" s="6"/>
      <c r="BQ2495" s="6"/>
      <c r="BR2495" s="6"/>
      <c r="BS2495" s="6"/>
      <c r="BT2495" s="6"/>
      <c r="BU2495" s="6"/>
      <c r="BV2495" s="6"/>
      <c r="BW2495" s="6"/>
      <c r="BX2495" s="6"/>
      <c r="BY2495" s="6"/>
      <c r="BZ2495" s="6"/>
    </row>
    <row r="2496" spans="1:78" s="496" customFormat="1" ht="21.75" customHeight="1"/>
    <row r="2497" spans="1:78" ht="21.75" customHeight="1">
      <c r="A2497" s="6"/>
      <c r="B2497" s="6"/>
      <c r="C2497" s="6"/>
      <c r="D2497" s="6"/>
      <c r="E2497" s="6"/>
      <c r="F2497" s="6"/>
      <c r="G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O2497" s="6"/>
      <c r="AP2497" s="6"/>
      <c r="BH2497" s="6"/>
      <c r="BI2497" s="6"/>
      <c r="BJ2497" s="6"/>
      <c r="BK2497" s="6"/>
      <c r="BL2497" s="6"/>
      <c r="BM2497" s="6"/>
      <c r="BN2497" s="6"/>
      <c r="BO2497" s="6"/>
      <c r="BP2497" s="6"/>
      <c r="BQ2497" s="6"/>
      <c r="BR2497" s="6"/>
      <c r="BS2497" s="6"/>
      <c r="BT2497" s="6"/>
      <c r="BU2497" s="6"/>
      <c r="BV2497" s="6"/>
      <c r="BW2497" s="6"/>
      <c r="BX2497" s="6"/>
      <c r="BY2497" s="6"/>
      <c r="BZ2497" s="6"/>
    </row>
    <row r="2498" spans="1:78" s="450" customFormat="1" ht="21.75" customHeight="1"/>
    <row r="2499" spans="1:78" s="448" customFormat="1" ht="21.75" customHeight="1"/>
    <row r="2500" spans="1:78" s="472" customFormat="1" ht="21.75" customHeight="1"/>
    <row r="2501" spans="1:78" s="505" customFormat="1" ht="21.75" customHeight="1"/>
    <row r="2502" spans="1:78" s="496" customFormat="1" ht="21.75" customHeight="1"/>
    <row r="2503" spans="1:78" ht="21.75" customHeight="1">
      <c r="A2503" s="6"/>
      <c r="B2503" s="6"/>
      <c r="C2503" s="6"/>
      <c r="D2503" s="6"/>
      <c r="E2503" s="6"/>
      <c r="F2503" s="6"/>
      <c r="G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O2503" s="6"/>
      <c r="AP2503" s="6"/>
      <c r="BH2503" s="6"/>
      <c r="BI2503" s="6"/>
      <c r="BJ2503" s="6"/>
      <c r="BK2503" s="6"/>
      <c r="BL2503" s="6"/>
      <c r="BM2503" s="6"/>
      <c r="BN2503" s="6"/>
      <c r="BO2503" s="6"/>
      <c r="BP2503" s="6"/>
      <c r="BQ2503" s="6"/>
      <c r="BR2503" s="6"/>
      <c r="BS2503" s="6"/>
      <c r="BT2503" s="6"/>
      <c r="BU2503" s="6"/>
      <c r="BV2503" s="6"/>
      <c r="BW2503" s="6"/>
      <c r="BX2503" s="6"/>
      <c r="BY2503" s="6"/>
      <c r="BZ2503" s="6"/>
    </row>
    <row r="2504" spans="1:78" s="496" customFormat="1" ht="21.75" customHeight="1"/>
    <row r="2505" spans="1:78" s="496" customFormat="1" ht="21.75" customHeight="1"/>
    <row r="2506" spans="1:78" s="496" customFormat="1" ht="21.75" customHeight="1"/>
    <row r="2507" spans="1:78" ht="21.75" customHeight="1">
      <c r="A2507" s="6"/>
      <c r="B2507" s="6"/>
      <c r="C2507" s="6"/>
      <c r="D2507" s="6"/>
      <c r="E2507" s="6"/>
      <c r="F2507" s="6"/>
      <c r="G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O2507" s="6"/>
      <c r="AP2507" s="6"/>
      <c r="BH2507" s="6"/>
      <c r="BI2507" s="6"/>
      <c r="BJ2507" s="6"/>
      <c r="BK2507" s="6"/>
      <c r="BL2507" s="6"/>
      <c r="BM2507" s="6"/>
      <c r="BN2507" s="6"/>
      <c r="BO2507" s="6"/>
      <c r="BP2507" s="6"/>
      <c r="BQ2507" s="6"/>
      <c r="BR2507" s="6"/>
      <c r="BS2507" s="6"/>
      <c r="BT2507" s="6"/>
      <c r="BU2507" s="6"/>
      <c r="BV2507" s="6"/>
      <c r="BW2507" s="6"/>
      <c r="BX2507" s="6"/>
      <c r="BY2507" s="6"/>
      <c r="BZ2507" s="6"/>
    </row>
    <row r="2508" spans="1:78" s="450" customFormat="1" ht="21.75" customHeight="1"/>
    <row r="2509" spans="1:78" s="476" customFormat="1" ht="21.75" customHeight="1"/>
    <row r="2510" spans="1:78" s="496" customFormat="1" ht="21.75" customHeight="1"/>
    <row r="2511" spans="1:78" s="496" customFormat="1" ht="21.75" customHeight="1"/>
    <row r="2512" spans="1:78" s="496" customFormat="1" ht="21.75" customHeight="1"/>
    <row r="2513" spans="1:78" s="496" customFormat="1" ht="21.75" customHeight="1"/>
    <row r="2514" spans="1:78" ht="21.75" customHeight="1">
      <c r="A2514" s="6"/>
      <c r="B2514" s="6"/>
      <c r="C2514" s="6"/>
      <c r="D2514" s="6"/>
      <c r="E2514" s="6"/>
      <c r="F2514" s="6"/>
      <c r="G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O2514" s="6"/>
      <c r="AP2514" s="6"/>
      <c r="BH2514" s="6"/>
      <c r="BI2514" s="6"/>
      <c r="BJ2514" s="6"/>
      <c r="BK2514" s="6"/>
      <c r="BL2514" s="6"/>
      <c r="BM2514" s="6"/>
      <c r="BN2514" s="6"/>
      <c r="BO2514" s="6"/>
      <c r="BP2514" s="6"/>
      <c r="BQ2514" s="6"/>
      <c r="BR2514" s="6"/>
      <c r="BS2514" s="6"/>
      <c r="BT2514" s="6"/>
      <c r="BU2514" s="6"/>
      <c r="BV2514" s="6"/>
      <c r="BW2514" s="6"/>
      <c r="BX2514" s="6"/>
      <c r="BY2514" s="6"/>
      <c r="BZ2514" s="6"/>
    </row>
    <row r="2515" spans="1:78" ht="21.75" customHeight="1">
      <c r="A2515" s="6"/>
      <c r="B2515" s="6"/>
      <c r="C2515" s="6"/>
      <c r="D2515" s="6"/>
      <c r="E2515" s="6"/>
      <c r="F2515" s="6"/>
      <c r="G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O2515" s="6"/>
      <c r="AP2515" s="6"/>
      <c r="BH2515" s="6"/>
      <c r="BI2515" s="6"/>
      <c r="BJ2515" s="6"/>
      <c r="BK2515" s="6"/>
      <c r="BL2515" s="6"/>
      <c r="BM2515" s="6"/>
      <c r="BN2515" s="6"/>
      <c r="BO2515" s="6"/>
      <c r="BP2515" s="6"/>
      <c r="BQ2515" s="6"/>
      <c r="BR2515" s="6"/>
      <c r="BS2515" s="6"/>
      <c r="BT2515" s="6"/>
      <c r="BU2515" s="6"/>
      <c r="BV2515" s="6"/>
      <c r="BW2515" s="6"/>
      <c r="BX2515" s="6"/>
      <c r="BY2515" s="6"/>
      <c r="BZ2515" s="6"/>
    </row>
    <row r="2516" spans="1:78" s="496" customFormat="1" ht="21.75" customHeight="1"/>
    <row r="2517" spans="1:78" s="448" customFormat="1" ht="21.75" customHeight="1"/>
    <row r="2518" spans="1:78" s="496" customFormat="1" ht="21.75" customHeight="1"/>
    <row r="2519" spans="1:78" s="496" customFormat="1" ht="21.75" customHeight="1"/>
    <row r="2520" spans="1:78" ht="21.75" customHeight="1">
      <c r="A2520" s="6"/>
      <c r="B2520" s="6"/>
      <c r="C2520" s="6"/>
      <c r="D2520" s="6"/>
      <c r="E2520" s="6"/>
      <c r="F2520" s="6"/>
      <c r="G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O2520" s="6"/>
      <c r="AP2520" s="6"/>
      <c r="BH2520" s="6"/>
      <c r="BI2520" s="6"/>
      <c r="BJ2520" s="6"/>
      <c r="BK2520" s="6"/>
      <c r="BL2520" s="6"/>
      <c r="BM2520" s="6"/>
      <c r="BN2520" s="6"/>
      <c r="BO2520" s="6"/>
      <c r="BP2520" s="6"/>
      <c r="BQ2520" s="6"/>
      <c r="BR2520" s="6"/>
      <c r="BS2520" s="6"/>
      <c r="BT2520" s="6"/>
      <c r="BU2520" s="6"/>
      <c r="BV2520" s="6"/>
      <c r="BW2520" s="6"/>
      <c r="BX2520" s="6"/>
      <c r="BY2520" s="6"/>
      <c r="BZ2520" s="6"/>
    </row>
    <row r="2521" spans="1:78" s="496" customFormat="1" ht="21.75" customHeight="1"/>
    <row r="2522" spans="1:78" ht="21.75" customHeight="1">
      <c r="A2522" s="6"/>
      <c r="B2522" s="6"/>
      <c r="C2522" s="6"/>
      <c r="D2522" s="6"/>
      <c r="E2522" s="6"/>
      <c r="F2522" s="6"/>
      <c r="G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O2522" s="6"/>
      <c r="AP2522" s="6"/>
      <c r="BH2522" s="6"/>
      <c r="BI2522" s="6"/>
      <c r="BJ2522" s="6"/>
      <c r="BK2522" s="6"/>
      <c r="BL2522" s="6"/>
      <c r="BM2522" s="6"/>
      <c r="BN2522" s="6"/>
      <c r="BO2522" s="6"/>
      <c r="BP2522" s="6"/>
      <c r="BQ2522" s="6"/>
      <c r="BR2522" s="6"/>
      <c r="BS2522" s="6"/>
      <c r="BT2522" s="6"/>
      <c r="BU2522" s="6"/>
      <c r="BV2522" s="6"/>
      <c r="BW2522" s="6"/>
      <c r="BX2522" s="6"/>
      <c r="BY2522" s="6"/>
      <c r="BZ2522" s="6"/>
    </row>
    <row r="2523" spans="1:78" ht="21.75" customHeight="1">
      <c r="A2523" s="6"/>
      <c r="B2523" s="6"/>
      <c r="C2523" s="6"/>
      <c r="D2523" s="6"/>
      <c r="E2523" s="6"/>
      <c r="F2523" s="6"/>
      <c r="G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O2523" s="6"/>
      <c r="AP2523" s="6"/>
      <c r="BH2523" s="6"/>
      <c r="BI2523" s="6"/>
      <c r="BJ2523" s="6"/>
      <c r="BK2523" s="6"/>
      <c r="BL2523" s="6"/>
      <c r="BM2523" s="6"/>
      <c r="BN2523" s="6"/>
      <c r="BO2523" s="6"/>
      <c r="BP2523" s="6"/>
      <c r="BQ2523" s="6"/>
      <c r="BR2523" s="6"/>
      <c r="BS2523" s="6"/>
      <c r="BT2523" s="6"/>
      <c r="BU2523" s="6"/>
      <c r="BV2523" s="6"/>
      <c r="BW2523" s="6"/>
      <c r="BX2523" s="6"/>
      <c r="BY2523" s="6"/>
      <c r="BZ2523" s="6"/>
    </row>
    <row r="2524" spans="1:78" s="497" customFormat="1" ht="21.75" customHeight="1"/>
    <row r="2525" spans="1:78" s="495" customFormat="1" ht="21.75" customHeight="1"/>
    <row r="2526" spans="1:78" s="496" customFormat="1" ht="21.75" customHeight="1"/>
    <row r="2527" spans="1:78" s="496" customFormat="1" ht="21.75" customHeight="1"/>
    <row r="2528" spans="1:78" ht="21.75" customHeight="1">
      <c r="A2528" s="6"/>
      <c r="B2528" s="6"/>
      <c r="C2528" s="6"/>
      <c r="D2528" s="6"/>
      <c r="E2528" s="6"/>
      <c r="F2528" s="6"/>
      <c r="G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O2528" s="6"/>
      <c r="AP2528" s="6"/>
      <c r="BH2528" s="6"/>
      <c r="BI2528" s="6"/>
      <c r="BJ2528" s="6"/>
      <c r="BK2528" s="6"/>
      <c r="BL2528" s="6"/>
      <c r="BM2528" s="6"/>
      <c r="BN2528" s="6"/>
      <c r="BO2528" s="6"/>
      <c r="BP2528" s="6"/>
      <c r="BQ2528" s="6"/>
      <c r="BR2528" s="6"/>
      <c r="BS2528" s="6"/>
      <c r="BT2528" s="6"/>
      <c r="BU2528" s="6"/>
      <c r="BV2528" s="6"/>
      <c r="BW2528" s="6"/>
      <c r="BX2528" s="6"/>
      <c r="BY2528" s="6"/>
      <c r="BZ2528" s="6"/>
    </row>
    <row r="2529" spans="1:78" ht="21.75" customHeight="1">
      <c r="A2529" s="6"/>
      <c r="B2529" s="6"/>
      <c r="C2529" s="6"/>
      <c r="D2529" s="6"/>
      <c r="E2529" s="6"/>
      <c r="F2529" s="6"/>
      <c r="G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O2529" s="6"/>
      <c r="AP2529" s="6"/>
      <c r="BH2529" s="6"/>
      <c r="BI2529" s="6"/>
      <c r="BJ2529" s="6"/>
      <c r="BK2529" s="6"/>
      <c r="BL2529" s="6"/>
      <c r="BM2529" s="6"/>
      <c r="BN2529" s="6"/>
      <c r="BO2529" s="6"/>
      <c r="BP2529" s="6"/>
      <c r="BQ2529" s="6"/>
      <c r="BR2529" s="6"/>
      <c r="BS2529" s="6"/>
      <c r="BT2529" s="6"/>
      <c r="BU2529" s="6"/>
      <c r="BV2529" s="6"/>
      <c r="BW2529" s="6"/>
      <c r="BX2529" s="6"/>
      <c r="BY2529" s="6"/>
      <c r="BZ2529" s="6"/>
    </row>
    <row r="2530" spans="1:78" ht="21.75" customHeight="1">
      <c r="A2530" s="6"/>
      <c r="B2530" s="6"/>
      <c r="C2530" s="6"/>
      <c r="D2530" s="6"/>
      <c r="E2530" s="6"/>
      <c r="F2530" s="6"/>
      <c r="G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O2530" s="6"/>
      <c r="AP2530" s="6"/>
      <c r="BH2530" s="6"/>
      <c r="BI2530" s="6"/>
      <c r="BJ2530" s="6"/>
      <c r="BK2530" s="6"/>
      <c r="BL2530" s="6"/>
      <c r="BM2530" s="6"/>
      <c r="BN2530" s="6"/>
      <c r="BO2530" s="6"/>
      <c r="BP2530" s="6"/>
      <c r="BQ2530" s="6"/>
      <c r="BR2530" s="6"/>
      <c r="BS2530" s="6"/>
      <c r="BT2530" s="6"/>
      <c r="BU2530" s="6"/>
      <c r="BV2530" s="6"/>
      <c r="BW2530" s="6"/>
      <c r="BX2530" s="6"/>
      <c r="BY2530" s="6"/>
      <c r="BZ2530" s="6"/>
    </row>
    <row r="2531" spans="1:78" ht="21.75" customHeight="1">
      <c r="A2531" s="6"/>
      <c r="B2531" s="6"/>
      <c r="C2531" s="6"/>
      <c r="D2531" s="6"/>
      <c r="E2531" s="6"/>
      <c r="F2531" s="6"/>
      <c r="G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O2531" s="6"/>
      <c r="AP2531" s="6"/>
      <c r="BH2531" s="6"/>
      <c r="BI2531" s="6"/>
      <c r="BJ2531" s="6"/>
      <c r="BK2531" s="6"/>
      <c r="BL2531" s="6"/>
      <c r="BM2531" s="6"/>
      <c r="BN2531" s="6"/>
      <c r="BO2531" s="6"/>
      <c r="BP2531" s="6"/>
      <c r="BQ2531" s="6"/>
      <c r="BR2531" s="6"/>
      <c r="BS2531" s="6"/>
      <c r="BT2531" s="6"/>
      <c r="BU2531" s="6"/>
      <c r="BV2531" s="6"/>
      <c r="BW2531" s="6"/>
      <c r="BX2531" s="6"/>
      <c r="BY2531" s="6"/>
      <c r="BZ2531" s="6"/>
    </row>
    <row r="2532" spans="1:78" s="496" customFormat="1" ht="21.75" customHeight="1"/>
    <row r="2533" spans="1:78" ht="21.75" customHeight="1">
      <c r="A2533" s="6"/>
      <c r="B2533" s="6"/>
      <c r="C2533" s="6"/>
      <c r="D2533" s="6"/>
      <c r="E2533" s="6"/>
      <c r="F2533" s="6"/>
      <c r="G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O2533" s="6"/>
      <c r="AP2533" s="6"/>
      <c r="BH2533" s="6"/>
      <c r="BI2533" s="6"/>
      <c r="BJ2533" s="6"/>
      <c r="BK2533" s="6"/>
      <c r="BL2533" s="6"/>
      <c r="BM2533" s="6"/>
      <c r="BN2533" s="6"/>
      <c r="BO2533" s="6"/>
      <c r="BP2533" s="6"/>
      <c r="BQ2533" s="6"/>
      <c r="BR2533" s="6"/>
      <c r="BS2533" s="6"/>
      <c r="BT2533" s="6"/>
      <c r="BU2533" s="6"/>
      <c r="BV2533" s="6"/>
      <c r="BW2533" s="6"/>
      <c r="BX2533" s="6"/>
      <c r="BY2533" s="6"/>
      <c r="BZ2533" s="6"/>
    </row>
    <row r="2534" spans="1:78" ht="21.75" customHeight="1">
      <c r="A2534" s="6"/>
      <c r="B2534" s="6"/>
      <c r="C2534" s="6"/>
      <c r="D2534" s="6"/>
      <c r="E2534" s="6"/>
      <c r="F2534" s="6"/>
      <c r="G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O2534" s="6"/>
      <c r="AP2534" s="6"/>
      <c r="BH2534" s="6"/>
      <c r="BI2534" s="6"/>
      <c r="BJ2534" s="6"/>
      <c r="BK2534" s="6"/>
      <c r="BL2534" s="6"/>
      <c r="BM2534" s="6"/>
      <c r="BN2534" s="6"/>
      <c r="BO2534" s="6"/>
      <c r="BP2534" s="6"/>
      <c r="BQ2534" s="6"/>
      <c r="BR2534" s="6"/>
      <c r="BS2534" s="6"/>
      <c r="BT2534" s="6"/>
      <c r="BU2534" s="6"/>
      <c r="BV2534" s="6"/>
      <c r="BW2534" s="6"/>
      <c r="BX2534" s="6"/>
      <c r="BY2534" s="6"/>
      <c r="BZ2534" s="6"/>
    </row>
    <row r="2535" spans="1:78" ht="21.75" customHeight="1">
      <c r="A2535" s="6"/>
      <c r="B2535" s="6"/>
      <c r="C2535" s="6"/>
      <c r="D2535" s="6"/>
      <c r="E2535" s="6"/>
      <c r="F2535" s="6"/>
      <c r="G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O2535" s="6"/>
      <c r="AP2535" s="6"/>
      <c r="BH2535" s="6"/>
      <c r="BI2535" s="6"/>
      <c r="BJ2535" s="6"/>
      <c r="BK2535" s="6"/>
      <c r="BL2535" s="6"/>
      <c r="BM2535" s="6"/>
      <c r="BN2535" s="6"/>
      <c r="BO2535" s="6"/>
      <c r="BP2535" s="6"/>
      <c r="BQ2535" s="6"/>
      <c r="BR2535" s="6"/>
      <c r="BS2535" s="6"/>
      <c r="BT2535" s="6"/>
      <c r="BU2535" s="6"/>
      <c r="BV2535" s="6"/>
      <c r="BW2535" s="6"/>
      <c r="BX2535" s="6"/>
      <c r="BY2535" s="6"/>
      <c r="BZ2535" s="6"/>
    </row>
    <row r="2536" spans="1:78" s="496" customFormat="1" ht="21.75" customHeight="1"/>
    <row r="2537" spans="1:78" ht="21.75" customHeight="1">
      <c r="A2537" s="6"/>
      <c r="B2537" s="6"/>
      <c r="C2537" s="6"/>
      <c r="D2537" s="6"/>
      <c r="E2537" s="6"/>
      <c r="F2537" s="6"/>
      <c r="G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O2537" s="6"/>
      <c r="AP2537" s="6"/>
      <c r="BH2537" s="6"/>
      <c r="BI2537" s="6"/>
      <c r="BJ2537" s="6"/>
      <c r="BK2537" s="6"/>
      <c r="BL2537" s="6"/>
      <c r="BM2537" s="6"/>
      <c r="BN2537" s="6"/>
      <c r="BO2537" s="6"/>
      <c r="BP2537" s="6"/>
      <c r="BQ2537" s="6"/>
      <c r="BR2537" s="6"/>
      <c r="BS2537" s="6"/>
      <c r="BT2537" s="6"/>
      <c r="BU2537" s="6"/>
      <c r="BV2537" s="6"/>
      <c r="BW2537" s="6"/>
      <c r="BX2537" s="6"/>
      <c r="BY2537" s="6"/>
      <c r="BZ2537" s="6"/>
    </row>
    <row r="2538" spans="1:78" s="496" customFormat="1" ht="21.75" customHeight="1"/>
    <row r="2539" spans="1:78" ht="21.75" customHeight="1">
      <c r="A2539" s="6"/>
      <c r="B2539" s="6"/>
      <c r="C2539" s="6"/>
      <c r="D2539" s="6"/>
      <c r="E2539" s="6"/>
      <c r="F2539" s="6"/>
      <c r="G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O2539" s="6"/>
      <c r="AP2539" s="6"/>
      <c r="BH2539" s="6"/>
      <c r="BI2539" s="6"/>
      <c r="BJ2539" s="6"/>
      <c r="BK2539" s="6"/>
      <c r="BL2539" s="6"/>
      <c r="BM2539" s="6"/>
      <c r="BN2539" s="6"/>
      <c r="BO2539" s="6"/>
      <c r="BP2539" s="6"/>
      <c r="BQ2539" s="6"/>
      <c r="BR2539" s="6"/>
      <c r="BS2539" s="6"/>
      <c r="BT2539" s="6"/>
      <c r="BU2539" s="6"/>
      <c r="BV2539" s="6"/>
      <c r="BW2539" s="6"/>
      <c r="BX2539" s="6"/>
      <c r="BY2539" s="6"/>
      <c r="BZ2539" s="6"/>
    </row>
    <row r="2540" spans="1:78" s="496" customFormat="1" ht="21.75" customHeight="1"/>
    <row r="2541" spans="1:78" ht="21.75" customHeight="1">
      <c r="A2541" s="6"/>
      <c r="B2541" s="6"/>
      <c r="C2541" s="6"/>
      <c r="D2541" s="6"/>
      <c r="E2541" s="6"/>
      <c r="F2541" s="6"/>
      <c r="G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O2541" s="6"/>
      <c r="AP2541" s="6"/>
      <c r="BH2541" s="6"/>
      <c r="BI2541" s="6"/>
      <c r="BJ2541" s="6"/>
      <c r="BK2541" s="6"/>
      <c r="BL2541" s="6"/>
      <c r="BM2541" s="6"/>
      <c r="BN2541" s="6"/>
      <c r="BO2541" s="6"/>
      <c r="BP2541" s="6"/>
      <c r="BQ2541" s="6"/>
      <c r="BR2541" s="6"/>
      <c r="BS2541" s="6"/>
      <c r="BT2541" s="6"/>
      <c r="BU2541" s="6"/>
      <c r="BV2541" s="6"/>
      <c r="BW2541" s="6"/>
      <c r="BX2541" s="6"/>
      <c r="BY2541" s="6"/>
      <c r="BZ2541" s="6"/>
    </row>
    <row r="2542" spans="1:78" ht="21.75" customHeight="1">
      <c r="A2542" s="6"/>
      <c r="B2542" s="6"/>
      <c r="C2542" s="6"/>
      <c r="D2542" s="6"/>
      <c r="E2542" s="6"/>
      <c r="F2542" s="6"/>
      <c r="G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O2542" s="6"/>
      <c r="AP2542" s="6"/>
      <c r="BH2542" s="6"/>
      <c r="BI2542" s="6"/>
      <c r="BJ2542" s="6"/>
      <c r="BK2542" s="6"/>
      <c r="BL2542" s="6"/>
      <c r="BM2542" s="6"/>
      <c r="BN2542" s="6"/>
      <c r="BO2542" s="6"/>
      <c r="BP2542" s="6"/>
      <c r="BQ2542" s="6"/>
      <c r="BR2542" s="6"/>
      <c r="BS2542" s="6"/>
      <c r="BT2542" s="6"/>
      <c r="BU2542" s="6"/>
      <c r="BV2542" s="6"/>
      <c r="BW2542" s="6"/>
      <c r="BX2542" s="6"/>
      <c r="BY2542" s="6"/>
      <c r="BZ2542" s="6"/>
    </row>
    <row r="2543" spans="1:78" ht="21.75" customHeight="1">
      <c r="A2543" s="6"/>
      <c r="B2543" s="6"/>
      <c r="C2543" s="6"/>
      <c r="D2543" s="6"/>
      <c r="E2543" s="6"/>
      <c r="F2543" s="6"/>
      <c r="G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O2543" s="6"/>
      <c r="AP2543" s="6"/>
      <c r="BH2543" s="6"/>
      <c r="BI2543" s="6"/>
      <c r="BJ2543" s="6"/>
      <c r="BK2543" s="6"/>
      <c r="BL2543" s="6"/>
      <c r="BM2543" s="6"/>
      <c r="BN2543" s="6"/>
      <c r="BO2543" s="6"/>
      <c r="BP2543" s="6"/>
      <c r="BQ2543" s="6"/>
      <c r="BR2543" s="6"/>
      <c r="BS2543" s="6"/>
      <c r="BT2543" s="6"/>
      <c r="BU2543" s="6"/>
      <c r="BV2543" s="6"/>
      <c r="BW2543" s="6"/>
      <c r="BX2543" s="6"/>
      <c r="BY2543" s="6"/>
      <c r="BZ2543" s="6"/>
    </row>
    <row r="2544" spans="1:78" s="496" customFormat="1" ht="21.75" customHeight="1"/>
    <row r="2545" spans="1:78" ht="21.75" customHeight="1">
      <c r="A2545" s="6"/>
      <c r="B2545" s="6"/>
      <c r="C2545" s="6"/>
      <c r="D2545" s="6"/>
      <c r="E2545" s="6"/>
      <c r="F2545" s="6"/>
      <c r="G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O2545" s="6"/>
      <c r="AP2545" s="6"/>
      <c r="BH2545" s="6"/>
      <c r="BI2545" s="6"/>
      <c r="BJ2545" s="6"/>
      <c r="BK2545" s="6"/>
      <c r="BL2545" s="6"/>
      <c r="BM2545" s="6"/>
      <c r="BN2545" s="6"/>
      <c r="BO2545" s="6"/>
      <c r="BP2545" s="6"/>
      <c r="BQ2545" s="6"/>
      <c r="BR2545" s="6"/>
      <c r="BS2545" s="6"/>
      <c r="BT2545" s="6"/>
      <c r="BU2545" s="6"/>
      <c r="BV2545" s="6"/>
      <c r="BW2545" s="6"/>
      <c r="BX2545" s="6"/>
      <c r="BY2545" s="6"/>
      <c r="BZ2545" s="6"/>
    </row>
    <row r="2546" spans="1:78" s="496" customFormat="1" ht="21.75" customHeight="1"/>
    <row r="2547" spans="1:78" ht="21.75" customHeight="1">
      <c r="A2547" s="6"/>
      <c r="B2547" s="6"/>
      <c r="C2547" s="6"/>
      <c r="D2547" s="6"/>
      <c r="E2547" s="6"/>
      <c r="F2547" s="6"/>
      <c r="G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O2547" s="6"/>
      <c r="AP2547" s="6"/>
      <c r="BH2547" s="6"/>
      <c r="BI2547" s="6"/>
      <c r="BJ2547" s="6"/>
      <c r="BK2547" s="6"/>
      <c r="BL2547" s="6"/>
      <c r="BM2547" s="6"/>
      <c r="BN2547" s="6"/>
      <c r="BO2547" s="6"/>
      <c r="BP2547" s="6"/>
      <c r="BQ2547" s="6"/>
      <c r="BR2547" s="6"/>
      <c r="BS2547" s="6"/>
      <c r="BT2547" s="6"/>
      <c r="BU2547" s="6"/>
      <c r="BV2547" s="6"/>
      <c r="BW2547" s="6"/>
      <c r="BX2547" s="6"/>
      <c r="BY2547" s="6"/>
      <c r="BZ2547" s="6"/>
    </row>
    <row r="2548" spans="1:78" s="496" customFormat="1" ht="21.75" customHeight="1"/>
    <row r="2549" spans="1:78" ht="21.75" customHeight="1">
      <c r="A2549" s="6"/>
      <c r="B2549" s="6"/>
      <c r="C2549" s="6"/>
      <c r="D2549" s="6"/>
      <c r="E2549" s="6"/>
      <c r="F2549" s="6"/>
      <c r="G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O2549" s="6"/>
      <c r="AP2549" s="6"/>
      <c r="BH2549" s="6"/>
      <c r="BI2549" s="6"/>
      <c r="BJ2549" s="6"/>
      <c r="BK2549" s="6"/>
      <c r="BL2549" s="6"/>
      <c r="BM2549" s="6"/>
      <c r="BN2549" s="6"/>
      <c r="BO2549" s="6"/>
      <c r="BP2549" s="6"/>
      <c r="BQ2549" s="6"/>
      <c r="BR2549" s="6"/>
      <c r="BS2549" s="6"/>
      <c r="BT2549" s="6"/>
      <c r="BU2549" s="6"/>
      <c r="BV2549" s="6"/>
      <c r="BW2549" s="6"/>
      <c r="BX2549" s="6"/>
      <c r="BY2549" s="6"/>
      <c r="BZ2549" s="6"/>
    </row>
    <row r="2550" spans="1:78" ht="21.75" customHeight="1">
      <c r="A2550" s="6"/>
      <c r="B2550" s="6"/>
      <c r="C2550" s="6"/>
      <c r="D2550" s="6"/>
      <c r="E2550" s="6"/>
      <c r="F2550" s="6"/>
      <c r="G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O2550" s="6"/>
      <c r="AP2550" s="6"/>
      <c r="BH2550" s="6"/>
      <c r="BI2550" s="6"/>
      <c r="BJ2550" s="6"/>
      <c r="BK2550" s="6"/>
      <c r="BL2550" s="6"/>
      <c r="BM2550" s="6"/>
      <c r="BN2550" s="6"/>
      <c r="BO2550" s="6"/>
      <c r="BP2550" s="6"/>
      <c r="BQ2550" s="6"/>
      <c r="BR2550" s="6"/>
      <c r="BS2550" s="6"/>
      <c r="BT2550" s="6"/>
      <c r="BU2550" s="6"/>
      <c r="BV2550" s="6"/>
      <c r="BW2550" s="6"/>
      <c r="BX2550" s="6"/>
      <c r="BY2550" s="6"/>
      <c r="BZ2550" s="6"/>
    </row>
    <row r="2551" spans="1:78" s="496" customFormat="1" ht="21.75" customHeight="1"/>
    <row r="2552" spans="1:78" s="496" customFormat="1" ht="21.75" customHeight="1"/>
    <row r="2553" spans="1:78" ht="21.75" customHeight="1">
      <c r="A2553" s="6"/>
      <c r="B2553" s="6"/>
      <c r="C2553" s="6"/>
      <c r="D2553" s="6"/>
      <c r="E2553" s="6"/>
      <c r="F2553" s="6"/>
      <c r="G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O2553" s="6"/>
      <c r="AP2553" s="6"/>
      <c r="BH2553" s="6"/>
      <c r="BI2553" s="6"/>
      <c r="BJ2553" s="6"/>
      <c r="BK2553" s="6"/>
      <c r="BL2553" s="6"/>
      <c r="BM2553" s="6"/>
      <c r="BN2553" s="6"/>
      <c r="BO2553" s="6"/>
      <c r="BP2553" s="6"/>
      <c r="BQ2553" s="6"/>
      <c r="BR2553" s="6"/>
      <c r="BS2553" s="6"/>
      <c r="BT2553" s="6"/>
      <c r="BU2553" s="6"/>
      <c r="BV2553" s="6"/>
      <c r="BW2553" s="6"/>
      <c r="BX2553" s="6"/>
      <c r="BY2553" s="6"/>
      <c r="BZ2553" s="6"/>
    </row>
    <row r="2554" spans="1:78" s="496" customFormat="1" ht="21.75" customHeight="1"/>
    <row r="2555" spans="1:78" s="478" customFormat="1" ht="21.75" customHeight="1"/>
    <row r="2556" spans="1:78" s="448" customFormat="1" ht="21.75" customHeight="1"/>
    <row r="2557" spans="1:78" ht="21.75" customHeight="1">
      <c r="A2557" s="6"/>
      <c r="B2557" s="6"/>
      <c r="C2557" s="6"/>
      <c r="D2557" s="6"/>
      <c r="E2557" s="6"/>
      <c r="F2557" s="6"/>
      <c r="G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O2557" s="6"/>
      <c r="AP2557" s="6"/>
      <c r="BH2557" s="6"/>
      <c r="BI2557" s="6"/>
      <c r="BJ2557" s="6"/>
      <c r="BK2557" s="6"/>
      <c r="BL2557" s="6"/>
      <c r="BM2557" s="6"/>
      <c r="BN2557" s="6"/>
      <c r="BO2557" s="6"/>
      <c r="BP2557" s="6"/>
      <c r="BQ2557" s="6"/>
      <c r="BR2557" s="6"/>
      <c r="BS2557" s="6"/>
      <c r="BT2557" s="6"/>
      <c r="BU2557" s="6"/>
      <c r="BV2557" s="6"/>
      <c r="BW2557" s="6"/>
      <c r="BX2557" s="6"/>
      <c r="BY2557" s="6"/>
      <c r="BZ2557" s="6"/>
    </row>
    <row r="2558" spans="1:78" ht="21.75" customHeight="1">
      <c r="A2558" s="6"/>
      <c r="B2558" s="6"/>
      <c r="C2558" s="6"/>
      <c r="D2558" s="6"/>
      <c r="E2558" s="6"/>
      <c r="F2558" s="6"/>
      <c r="G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O2558" s="6"/>
      <c r="AP2558" s="6"/>
      <c r="BH2558" s="6"/>
      <c r="BI2558" s="6"/>
      <c r="BJ2558" s="6"/>
      <c r="BK2558" s="6"/>
      <c r="BL2558" s="6"/>
      <c r="BM2558" s="6"/>
      <c r="BN2558" s="6"/>
      <c r="BO2558" s="6"/>
      <c r="BP2558" s="6"/>
      <c r="BQ2558" s="6"/>
      <c r="BR2558" s="6"/>
      <c r="BS2558" s="6"/>
      <c r="BT2558" s="6"/>
      <c r="BU2558" s="6"/>
      <c r="BV2558" s="6"/>
      <c r="BW2558" s="6"/>
      <c r="BX2558" s="6"/>
      <c r="BY2558" s="6"/>
      <c r="BZ2558" s="6"/>
    </row>
    <row r="2559" spans="1:78" ht="21.75" customHeight="1">
      <c r="A2559" s="6"/>
      <c r="B2559" s="6"/>
      <c r="C2559" s="6"/>
      <c r="D2559" s="6"/>
      <c r="E2559" s="6"/>
      <c r="F2559" s="6"/>
      <c r="G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O2559" s="6"/>
      <c r="AP2559" s="6"/>
      <c r="BH2559" s="6"/>
      <c r="BI2559" s="6"/>
      <c r="BJ2559" s="6"/>
      <c r="BK2559" s="6"/>
      <c r="BL2559" s="6"/>
      <c r="BM2559" s="6"/>
      <c r="BN2559" s="6"/>
      <c r="BO2559" s="6"/>
      <c r="BP2559" s="6"/>
      <c r="BQ2559" s="6"/>
      <c r="BR2559" s="6"/>
      <c r="BS2559" s="6"/>
      <c r="BT2559" s="6"/>
      <c r="BU2559" s="6"/>
      <c r="BV2559" s="6"/>
      <c r="BW2559" s="6"/>
      <c r="BX2559" s="6"/>
      <c r="BY2559" s="6"/>
      <c r="BZ2559" s="6"/>
    </row>
    <row r="2560" spans="1:78" ht="21.75" customHeight="1">
      <c r="A2560" s="6"/>
      <c r="B2560" s="6"/>
      <c r="C2560" s="6"/>
      <c r="D2560" s="6"/>
      <c r="E2560" s="6"/>
      <c r="F2560" s="6"/>
      <c r="G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O2560" s="6"/>
      <c r="AP2560" s="6"/>
      <c r="BH2560" s="6"/>
      <c r="BI2560" s="6"/>
      <c r="BJ2560" s="6"/>
      <c r="BK2560" s="6"/>
      <c r="BL2560" s="6"/>
      <c r="BM2560" s="6"/>
      <c r="BN2560" s="6"/>
      <c r="BO2560" s="6"/>
      <c r="BP2560" s="6"/>
      <c r="BQ2560" s="6"/>
      <c r="BR2560" s="6"/>
      <c r="BS2560" s="6"/>
      <c r="BT2560" s="6"/>
      <c r="BU2560" s="6"/>
      <c r="BV2560" s="6"/>
      <c r="BW2560" s="6"/>
      <c r="BX2560" s="6"/>
      <c r="BY2560" s="6"/>
      <c r="BZ2560" s="6"/>
    </row>
    <row r="2561" spans="1:78" s="496" customFormat="1" ht="21.75" customHeight="1"/>
    <row r="2562" spans="1:78" s="496" customFormat="1" ht="21.75" customHeight="1"/>
    <row r="2563" spans="1:78" ht="21.75" customHeight="1">
      <c r="A2563" s="6"/>
      <c r="B2563" s="6"/>
      <c r="C2563" s="6"/>
      <c r="D2563" s="6"/>
      <c r="E2563" s="6"/>
      <c r="F2563" s="6"/>
      <c r="G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O2563" s="6"/>
      <c r="AP2563" s="6"/>
      <c r="BH2563" s="6"/>
      <c r="BI2563" s="6"/>
      <c r="BJ2563" s="6"/>
      <c r="BK2563" s="6"/>
      <c r="BL2563" s="6"/>
      <c r="BM2563" s="6"/>
      <c r="BN2563" s="6"/>
      <c r="BO2563" s="6"/>
      <c r="BP2563" s="6"/>
      <c r="BQ2563" s="6"/>
      <c r="BR2563" s="6"/>
      <c r="BS2563" s="6"/>
      <c r="BT2563" s="6"/>
      <c r="BU2563" s="6"/>
      <c r="BV2563" s="6"/>
      <c r="BW2563" s="6"/>
      <c r="BX2563" s="6"/>
      <c r="BY2563" s="6"/>
      <c r="BZ2563" s="6"/>
    </row>
    <row r="2564" spans="1:78" s="472" customFormat="1" ht="21.75" customHeight="1"/>
    <row r="2565" spans="1:78" ht="21.75" customHeight="1">
      <c r="A2565" s="6"/>
      <c r="B2565" s="6"/>
      <c r="C2565" s="6"/>
      <c r="D2565" s="6"/>
      <c r="E2565" s="6"/>
      <c r="F2565" s="6"/>
      <c r="G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O2565" s="6"/>
      <c r="AP2565" s="6"/>
      <c r="BH2565" s="6"/>
      <c r="BI2565" s="6"/>
      <c r="BJ2565" s="6"/>
      <c r="BK2565" s="6"/>
      <c r="BL2565" s="6"/>
      <c r="BM2565" s="6"/>
      <c r="BN2565" s="6"/>
      <c r="BO2565" s="6"/>
      <c r="BP2565" s="6"/>
      <c r="BQ2565" s="6"/>
      <c r="BR2565" s="6"/>
      <c r="BS2565" s="6"/>
      <c r="BT2565" s="6"/>
      <c r="BU2565" s="6"/>
      <c r="BV2565" s="6"/>
      <c r="BW2565" s="6"/>
      <c r="BX2565" s="6"/>
      <c r="BY2565" s="6"/>
      <c r="BZ2565" s="6"/>
    </row>
    <row r="2566" spans="1:78" ht="21.75" customHeight="1">
      <c r="A2566" s="6"/>
      <c r="B2566" s="6"/>
      <c r="C2566" s="6"/>
      <c r="D2566" s="6"/>
      <c r="E2566" s="6"/>
      <c r="F2566" s="6"/>
      <c r="G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O2566" s="6"/>
      <c r="AP2566" s="6"/>
      <c r="BH2566" s="6"/>
      <c r="BI2566" s="6"/>
      <c r="BJ2566" s="6"/>
      <c r="BK2566" s="6"/>
      <c r="BL2566" s="6"/>
      <c r="BM2566" s="6"/>
      <c r="BN2566" s="6"/>
      <c r="BO2566" s="6"/>
      <c r="BP2566" s="6"/>
      <c r="BQ2566" s="6"/>
      <c r="BR2566" s="6"/>
      <c r="BS2566" s="6"/>
      <c r="BT2566" s="6"/>
      <c r="BU2566" s="6"/>
      <c r="BV2566" s="6"/>
      <c r="BW2566" s="6"/>
      <c r="BX2566" s="6"/>
      <c r="BY2566" s="6"/>
      <c r="BZ2566" s="6"/>
    </row>
    <row r="2567" spans="1:78" ht="21.75" customHeight="1">
      <c r="A2567" s="6"/>
      <c r="B2567" s="6"/>
      <c r="C2567" s="6"/>
      <c r="D2567" s="6"/>
      <c r="E2567" s="6"/>
      <c r="F2567" s="6"/>
      <c r="G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O2567" s="6"/>
      <c r="AP2567" s="6"/>
      <c r="BH2567" s="6"/>
      <c r="BI2567" s="6"/>
      <c r="BJ2567" s="6"/>
      <c r="BK2567" s="6"/>
      <c r="BL2567" s="6"/>
      <c r="BM2567" s="6"/>
      <c r="BN2567" s="6"/>
      <c r="BO2567" s="6"/>
      <c r="BP2567" s="6"/>
      <c r="BQ2567" s="6"/>
      <c r="BR2567" s="6"/>
      <c r="BS2567" s="6"/>
      <c r="BT2567" s="6"/>
      <c r="BU2567" s="6"/>
      <c r="BV2567" s="6"/>
      <c r="BW2567" s="6"/>
      <c r="BX2567" s="6"/>
      <c r="BY2567" s="6"/>
      <c r="BZ2567" s="6"/>
    </row>
    <row r="2568" spans="1:78" ht="21.75" customHeight="1">
      <c r="A2568" s="6"/>
      <c r="B2568" s="6"/>
      <c r="C2568" s="6"/>
      <c r="D2568" s="6"/>
      <c r="E2568" s="6"/>
      <c r="F2568" s="6"/>
      <c r="G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O2568" s="6"/>
      <c r="AP2568" s="6"/>
      <c r="BH2568" s="6"/>
      <c r="BI2568" s="6"/>
      <c r="BJ2568" s="6"/>
      <c r="BK2568" s="6"/>
      <c r="BL2568" s="6"/>
      <c r="BM2568" s="6"/>
      <c r="BN2568" s="6"/>
      <c r="BO2568" s="6"/>
      <c r="BP2568" s="6"/>
      <c r="BQ2568" s="6"/>
      <c r="BR2568" s="6"/>
      <c r="BS2568" s="6"/>
      <c r="BT2568" s="6"/>
      <c r="BU2568" s="6"/>
      <c r="BV2568" s="6"/>
      <c r="BW2568" s="6"/>
      <c r="BX2568" s="6"/>
      <c r="BY2568" s="6"/>
      <c r="BZ2568" s="6"/>
    </row>
    <row r="2569" spans="1:78" ht="21.75" customHeight="1">
      <c r="A2569" s="6"/>
      <c r="B2569" s="6"/>
      <c r="C2569" s="6"/>
      <c r="D2569" s="6"/>
      <c r="E2569" s="6"/>
      <c r="F2569" s="6"/>
      <c r="G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O2569" s="6"/>
      <c r="AP2569" s="6"/>
      <c r="BH2569" s="6"/>
      <c r="BI2569" s="6"/>
      <c r="BJ2569" s="6"/>
      <c r="BK2569" s="6"/>
      <c r="BL2569" s="6"/>
      <c r="BM2569" s="6"/>
      <c r="BN2569" s="6"/>
      <c r="BO2569" s="6"/>
      <c r="BP2569" s="6"/>
      <c r="BQ2569" s="6"/>
      <c r="BR2569" s="6"/>
      <c r="BS2569" s="6"/>
      <c r="BT2569" s="6"/>
      <c r="BU2569" s="6"/>
      <c r="BV2569" s="6"/>
      <c r="BW2569" s="6"/>
      <c r="BX2569" s="6"/>
      <c r="BY2569" s="6"/>
      <c r="BZ2569" s="6"/>
    </row>
    <row r="2570" spans="1:78" ht="21.75" customHeight="1">
      <c r="A2570" s="6"/>
      <c r="B2570" s="6"/>
      <c r="C2570" s="6"/>
      <c r="D2570" s="6"/>
      <c r="E2570" s="6"/>
      <c r="F2570" s="6"/>
      <c r="G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O2570" s="6"/>
      <c r="AP2570" s="6"/>
      <c r="BH2570" s="6"/>
      <c r="BI2570" s="6"/>
      <c r="BJ2570" s="6"/>
      <c r="BK2570" s="6"/>
      <c r="BL2570" s="6"/>
      <c r="BM2570" s="6"/>
      <c r="BN2570" s="6"/>
      <c r="BO2570" s="6"/>
      <c r="BP2570" s="6"/>
      <c r="BQ2570" s="6"/>
      <c r="BR2570" s="6"/>
      <c r="BS2570" s="6"/>
      <c r="BT2570" s="6"/>
      <c r="BU2570" s="6"/>
      <c r="BV2570" s="6"/>
      <c r="BW2570" s="6"/>
      <c r="BX2570" s="6"/>
      <c r="BY2570" s="6"/>
      <c r="BZ2570" s="6"/>
    </row>
    <row r="2571" spans="1:78" s="496" customFormat="1" ht="21.75" customHeight="1"/>
    <row r="2572" spans="1:78" s="450" customFormat="1" ht="21.75" customHeight="1"/>
    <row r="2573" spans="1:78" s="448" customFormat="1" ht="21.75" customHeight="1"/>
    <row r="2574" spans="1:78" ht="21.75" customHeight="1">
      <c r="A2574" s="6"/>
      <c r="B2574" s="6"/>
      <c r="C2574" s="6"/>
      <c r="D2574" s="6"/>
      <c r="E2574" s="6"/>
      <c r="F2574" s="6"/>
      <c r="G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O2574" s="6"/>
      <c r="AP2574" s="6"/>
      <c r="BH2574" s="6"/>
      <c r="BI2574" s="6"/>
      <c r="BJ2574" s="6"/>
      <c r="BK2574" s="6"/>
      <c r="BL2574" s="6"/>
      <c r="BM2574" s="6"/>
      <c r="BN2574" s="6"/>
      <c r="BO2574" s="6"/>
      <c r="BP2574" s="6"/>
      <c r="BQ2574" s="6"/>
      <c r="BR2574" s="6"/>
      <c r="BS2574" s="6"/>
      <c r="BT2574" s="6"/>
      <c r="BU2574" s="6"/>
      <c r="BV2574" s="6"/>
      <c r="BW2574" s="6"/>
      <c r="BX2574" s="6"/>
      <c r="BY2574" s="6"/>
      <c r="BZ2574" s="6"/>
    </row>
    <row r="2575" spans="1:78" ht="21.75" customHeight="1">
      <c r="A2575" s="6"/>
      <c r="B2575" s="6"/>
      <c r="C2575" s="6"/>
      <c r="D2575" s="6"/>
      <c r="E2575" s="6"/>
      <c r="F2575" s="6"/>
      <c r="G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O2575" s="6"/>
      <c r="AP2575" s="6"/>
      <c r="BH2575" s="6"/>
      <c r="BI2575" s="6"/>
      <c r="BJ2575" s="6"/>
      <c r="BK2575" s="6"/>
      <c r="BL2575" s="6"/>
      <c r="BM2575" s="6"/>
      <c r="BN2575" s="6"/>
      <c r="BO2575" s="6"/>
      <c r="BP2575" s="6"/>
      <c r="BQ2575" s="6"/>
      <c r="BR2575" s="6"/>
      <c r="BS2575" s="6"/>
      <c r="BT2575" s="6"/>
      <c r="BU2575" s="6"/>
      <c r="BV2575" s="6"/>
      <c r="BW2575" s="6"/>
      <c r="BX2575" s="6"/>
      <c r="BY2575" s="6"/>
      <c r="BZ2575" s="6"/>
    </row>
    <row r="2576" spans="1:78" s="496" customFormat="1" ht="21.75" customHeight="1"/>
    <row r="2577" spans="1:78" ht="21.75" customHeight="1">
      <c r="A2577" s="6"/>
      <c r="B2577" s="6"/>
      <c r="C2577" s="6"/>
      <c r="D2577" s="6"/>
      <c r="E2577" s="6"/>
      <c r="F2577" s="6"/>
      <c r="G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O2577" s="6"/>
      <c r="AP2577" s="6"/>
      <c r="BH2577" s="6"/>
      <c r="BI2577" s="6"/>
      <c r="BJ2577" s="6"/>
      <c r="BK2577" s="6"/>
      <c r="BL2577" s="6"/>
      <c r="BM2577" s="6"/>
      <c r="BN2577" s="6"/>
      <c r="BO2577" s="6"/>
      <c r="BP2577" s="6"/>
      <c r="BQ2577" s="6"/>
      <c r="BR2577" s="6"/>
      <c r="BS2577" s="6"/>
      <c r="BT2577" s="6"/>
      <c r="BU2577" s="6"/>
      <c r="BV2577" s="6"/>
      <c r="BW2577" s="6"/>
      <c r="BX2577" s="6"/>
      <c r="BY2577" s="6"/>
      <c r="BZ2577" s="6"/>
    </row>
    <row r="2578" spans="1:78" ht="21.75" customHeight="1">
      <c r="A2578" s="6"/>
      <c r="B2578" s="6"/>
      <c r="C2578" s="6"/>
      <c r="D2578" s="6"/>
      <c r="E2578" s="6"/>
      <c r="F2578" s="6"/>
      <c r="G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O2578" s="6"/>
      <c r="AP2578" s="6"/>
      <c r="BH2578" s="6"/>
      <c r="BI2578" s="6"/>
      <c r="BJ2578" s="6"/>
      <c r="BK2578" s="6"/>
      <c r="BL2578" s="6"/>
      <c r="BM2578" s="6"/>
      <c r="BN2578" s="6"/>
      <c r="BO2578" s="6"/>
      <c r="BP2578" s="6"/>
      <c r="BQ2578" s="6"/>
      <c r="BR2578" s="6"/>
      <c r="BS2578" s="6"/>
      <c r="BT2578" s="6"/>
      <c r="BU2578" s="6"/>
      <c r="BV2578" s="6"/>
      <c r="BW2578" s="6"/>
      <c r="BX2578" s="6"/>
      <c r="BY2578" s="6"/>
      <c r="BZ2578" s="6"/>
    </row>
    <row r="2579" spans="1:78" ht="21.75" customHeight="1">
      <c r="A2579" s="6"/>
      <c r="B2579" s="6"/>
      <c r="C2579" s="6"/>
      <c r="D2579" s="6"/>
      <c r="E2579" s="6"/>
      <c r="F2579" s="6"/>
      <c r="G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O2579" s="6"/>
      <c r="AP2579" s="6"/>
      <c r="BH2579" s="6"/>
      <c r="BI2579" s="6"/>
      <c r="BJ2579" s="6"/>
      <c r="BK2579" s="6"/>
      <c r="BL2579" s="6"/>
      <c r="BM2579" s="6"/>
      <c r="BN2579" s="6"/>
      <c r="BO2579" s="6"/>
      <c r="BP2579" s="6"/>
      <c r="BQ2579" s="6"/>
      <c r="BR2579" s="6"/>
      <c r="BS2579" s="6"/>
      <c r="BT2579" s="6"/>
      <c r="BU2579" s="6"/>
      <c r="BV2579" s="6"/>
      <c r="BW2579" s="6"/>
      <c r="BX2579" s="6"/>
      <c r="BY2579" s="6"/>
      <c r="BZ2579" s="6"/>
    </row>
    <row r="2580" spans="1:78" ht="21.75" customHeight="1">
      <c r="A2580" s="6"/>
      <c r="B2580" s="6"/>
      <c r="C2580" s="6"/>
      <c r="D2580" s="6"/>
      <c r="E2580" s="6"/>
      <c r="F2580" s="6"/>
      <c r="G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O2580" s="6"/>
      <c r="AP2580" s="6"/>
      <c r="BH2580" s="6"/>
      <c r="BI2580" s="6"/>
      <c r="BJ2580" s="6"/>
      <c r="BK2580" s="6"/>
      <c r="BL2580" s="6"/>
      <c r="BM2580" s="6"/>
      <c r="BN2580" s="6"/>
      <c r="BO2580" s="6"/>
      <c r="BP2580" s="6"/>
      <c r="BQ2580" s="6"/>
      <c r="BR2580" s="6"/>
      <c r="BS2580" s="6"/>
      <c r="BT2580" s="6"/>
      <c r="BU2580" s="6"/>
      <c r="BV2580" s="6"/>
      <c r="BW2580" s="6"/>
      <c r="BX2580" s="6"/>
      <c r="BY2580" s="6"/>
      <c r="BZ2580" s="6"/>
    </row>
    <row r="2581" spans="1:78" ht="21.75" customHeight="1">
      <c r="A2581" s="6"/>
      <c r="B2581" s="6"/>
      <c r="C2581" s="6"/>
      <c r="D2581" s="6"/>
      <c r="E2581" s="6"/>
      <c r="F2581" s="6"/>
      <c r="G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O2581" s="6"/>
      <c r="AP2581" s="6"/>
      <c r="BH2581" s="6"/>
      <c r="BI2581" s="6"/>
      <c r="BJ2581" s="6"/>
      <c r="BK2581" s="6"/>
      <c r="BL2581" s="6"/>
      <c r="BM2581" s="6"/>
      <c r="BN2581" s="6"/>
      <c r="BO2581" s="6"/>
      <c r="BP2581" s="6"/>
      <c r="BQ2581" s="6"/>
      <c r="BR2581" s="6"/>
      <c r="BS2581" s="6"/>
      <c r="BT2581" s="6"/>
      <c r="BU2581" s="6"/>
      <c r="BV2581" s="6"/>
      <c r="BW2581" s="6"/>
      <c r="BX2581" s="6"/>
      <c r="BY2581" s="6"/>
      <c r="BZ2581" s="6"/>
    </row>
    <row r="2582" spans="1:78" ht="21.75" customHeight="1">
      <c r="A2582" s="6"/>
      <c r="B2582" s="6"/>
      <c r="C2582" s="6"/>
      <c r="D2582" s="6"/>
      <c r="E2582" s="6"/>
      <c r="F2582" s="6"/>
      <c r="G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O2582" s="6"/>
      <c r="AP2582" s="6"/>
      <c r="BH2582" s="6"/>
      <c r="BI2582" s="6"/>
      <c r="BJ2582" s="6"/>
      <c r="BK2582" s="6"/>
      <c r="BL2582" s="6"/>
      <c r="BM2582" s="6"/>
      <c r="BN2582" s="6"/>
      <c r="BO2582" s="6"/>
      <c r="BP2582" s="6"/>
      <c r="BQ2582" s="6"/>
      <c r="BR2582" s="6"/>
      <c r="BS2582" s="6"/>
      <c r="BT2582" s="6"/>
      <c r="BU2582" s="6"/>
      <c r="BV2582" s="6"/>
      <c r="BW2582" s="6"/>
      <c r="BX2582" s="6"/>
      <c r="BY2582" s="6"/>
      <c r="BZ2582" s="6"/>
    </row>
    <row r="2583" spans="1:78" ht="21.75" customHeight="1">
      <c r="A2583" s="6"/>
      <c r="B2583" s="6"/>
      <c r="C2583" s="6"/>
      <c r="D2583" s="6"/>
      <c r="E2583" s="6"/>
      <c r="F2583" s="6"/>
      <c r="G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O2583" s="6"/>
      <c r="AP2583" s="6"/>
      <c r="BH2583" s="6"/>
      <c r="BI2583" s="6"/>
      <c r="BJ2583" s="6"/>
      <c r="BK2583" s="6"/>
      <c r="BL2583" s="6"/>
      <c r="BM2583" s="6"/>
      <c r="BN2583" s="6"/>
      <c r="BO2583" s="6"/>
      <c r="BP2583" s="6"/>
      <c r="BQ2583" s="6"/>
      <c r="BR2583" s="6"/>
      <c r="BS2583" s="6"/>
      <c r="BT2583" s="6"/>
      <c r="BU2583" s="6"/>
      <c r="BV2583" s="6"/>
      <c r="BW2583" s="6"/>
      <c r="BX2583" s="6"/>
      <c r="BY2583" s="6"/>
      <c r="BZ2583" s="6"/>
    </row>
    <row r="2584" spans="1:78" ht="21.75" customHeight="1">
      <c r="A2584" s="6"/>
      <c r="B2584" s="6"/>
      <c r="C2584" s="6"/>
      <c r="D2584" s="6"/>
      <c r="E2584" s="6"/>
      <c r="F2584" s="6"/>
      <c r="G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O2584" s="6"/>
      <c r="AP2584" s="6"/>
      <c r="BH2584" s="6"/>
      <c r="BI2584" s="6"/>
      <c r="BJ2584" s="6"/>
      <c r="BK2584" s="6"/>
      <c r="BL2584" s="6"/>
      <c r="BM2584" s="6"/>
      <c r="BN2584" s="6"/>
      <c r="BO2584" s="6"/>
      <c r="BP2584" s="6"/>
      <c r="BQ2584" s="6"/>
      <c r="BR2584" s="6"/>
      <c r="BS2584" s="6"/>
      <c r="BT2584" s="6"/>
      <c r="BU2584" s="6"/>
      <c r="BV2584" s="6"/>
      <c r="BW2584" s="6"/>
      <c r="BX2584" s="6"/>
      <c r="BY2584" s="6"/>
      <c r="BZ2584" s="6"/>
    </row>
    <row r="2585" spans="1:78" s="496" customFormat="1" ht="21.75" customHeight="1"/>
    <row r="2586" spans="1:78" ht="21.75" customHeight="1">
      <c r="A2586" s="6"/>
      <c r="B2586" s="6"/>
      <c r="C2586" s="6"/>
      <c r="D2586" s="6"/>
      <c r="E2586" s="6"/>
      <c r="F2586" s="6"/>
      <c r="G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O2586" s="6"/>
      <c r="AP2586" s="6"/>
      <c r="BH2586" s="6"/>
      <c r="BI2586" s="6"/>
      <c r="BJ2586" s="6"/>
      <c r="BK2586" s="6"/>
      <c r="BL2586" s="6"/>
      <c r="BM2586" s="6"/>
      <c r="BN2586" s="6"/>
      <c r="BO2586" s="6"/>
      <c r="BP2586" s="6"/>
      <c r="BQ2586" s="6"/>
      <c r="BR2586" s="6"/>
      <c r="BS2586" s="6"/>
      <c r="BT2586" s="6"/>
      <c r="BU2586" s="6"/>
      <c r="BV2586" s="6"/>
      <c r="BW2586" s="6"/>
      <c r="BX2586" s="6"/>
      <c r="BY2586" s="6"/>
      <c r="BZ2586" s="6"/>
    </row>
    <row r="2587" spans="1:78" s="496" customFormat="1" ht="21.75" customHeight="1"/>
    <row r="2588" spans="1:78" ht="21.75" customHeight="1">
      <c r="A2588" s="6"/>
      <c r="B2588" s="6"/>
      <c r="C2588" s="6"/>
      <c r="D2588" s="6"/>
      <c r="E2588" s="6"/>
      <c r="F2588" s="6"/>
      <c r="G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O2588" s="6"/>
      <c r="AP2588" s="6"/>
      <c r="BH2588" s="6"/>
      <c r="BI2588" s="6"/>
      <c r="BJ2588" s="6"/>
      <c r="BK2588" s="6"/>
      <c r="BL2588" s="6"/>
      <c r="BM2588" s="6"/>
      <c r="BN2588" s="6"/>
      <c r="BO2588" s="6"/>
      <c r="BP2588" s="6"/>
      <c r="BQ2588" s="6"/>
      <c r="BR2588" s="6"/>
      <c r="BS2588" s="6"/>
      <c r="BT2588" s="6"/>
      <c r="BU2588" s="6"/>
      <c r="BV2588" s="6"/>
      <c r="BW2588" s="6"/>
      <c r="BX2588" s="6"/>
      <c r="BY2588" s="6"/>
      <c r="BZ2588" s="6"/>
    </row>
    <row r="2589" spans="1:78" ht="21.75" customHeight="1">
      <c r="A2589" s="6"/>
      <c r="B2589" s="6"/>
      <c r="C2589" s="6"/>
      <c r="D2589" s="6"/>
      <c r="E2589" s="6"/>
      <c r="F2589" s="6"/>
      <c r="G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O2589" s="6"/>
      <c r="AP2589" s="6"/>
      <c r="BH2589" s="6"/>
      <c r="BI2589" s="6"/>
      <c r="BJ2589" s="6"/>
      <c r="BK2589" s="6"/>
      <c r="BL2589" s="6"/>
      <c r="BM2589" s="6"/>
      <c r="BN2589" s="6"/>
      <c r="BO2589" s="6"/>
      <c r="BP2589" s="6"/>
      <c r="BQ2589" s="6"/>
      <c r="BR2589" s="6"/>
      <c r="BS2589" s="6"/>
      <c r="BT2589" s="6"/>
      <c r="BU2589" s="6"/>
      <c r="BV2589" s="6"/>
      <c r="BW2589" s="6"/>
      <c r="BX2589" s="6"/>
      <c r="BY2589" s="6"/>
      <c r="BZ2589" s="6"/>
    </row>
    <row r="2590" spans="1:78" ht="21.75" customHeight="1">
      <c r="A2590" s="6"/>
      <c r="B2590" s="6"/>
      <c r="C2590" s="6"/>
      <c r="D2590" s="6"/>
      <c r="E2590" s="6"/>
      <c r="F2590" s="6"/>
      <c r="G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O2590" s="6"/>
      <c r="AP2590" s="6"/>
      <c r="BH2590" s="6"/>
      <c r="BI2590" s="6"/>
      <c r="BJ2590" s="6"/>
      <c r="BK2590" s="6"/>
      <c r="BL2590" s="6"/>
      <c r="BM2590" s="6"/>
      <c r="BN2590" s="6"/>
      <c r="BO2590" s="6"/>
      <c r="BP2590" s="6"/>
      <c r="BQ2590" s="6"/>
      <c r="BR2590" s="6"/>
      <c r="BS2590" s="6"/>
      <c r="BT2590" s="6"/>
      <c r="BU2590" s="6"/>
      <c r="BV2590" s="6"/>
      <c r="BW2590" s="6"/>
      <c r="BX2590" s="6"/>
      <c r="BY2590" s="6"/>
      <c r="BZ2590" s="6"/>
    </row>
    <row r="2591" spans="1:78" s="472" customFormat="1" ht="21.75" customHeight="1"/>
    <row r="2592" spans="1:78" s="496" customFormat="1" ht="21.75" customHeight="1"/>
    <row r="2593" spans="1:78" s="472" customFormat="1" ht="21.75" customHeight="1"/>
    <row r="2594" spans="1:78" ht="21.75" customHeight="1">
      <c r="A2594" s="6"/>
      <c r="B2594" s="6"/>
      <c r="C2594" s="6"/>
      <c r="D2594" s="6"/>
      <c r="E2594" s="6"/>
      <c r="F2594" s="6"/>
      <c r="G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O2594" s="6"/>
      <c r="AP2594" s="6"/>
      <c r="BH2594" s="6"/>
      <c r="BI2594" s="6"/>
      <c r="BJ2594" s="6"/>
      <c r="BK2594" s="6"/>
      <c r="BL2594" s="6"/>
      <c r="BM2594" s="6"/>
      <c r="BN2594" s="6"/>
      <c r="BO2594" s="6"/>
      <c r="BP2594" s="6"/>
      <c r="BQ2594" s="6"/>
      <c r="BR2594" s="6"/>
      <c r="BS2594" s="6"/>
      <c r="BT2594" s="6"/>
      <c r="BU2594" s="6"/>
      <c r="BV2594" s="6"/>
      <c r="BW2594" s="6"/>
      <c r="BX2594" s="6"/>
      <c r="BY2594" s="6"/>
      <c r="BZ2594" s="6"/>
    </row>
    <row r="2595" spans="1:78" ht="21.75" customHeight="1">
      <c r="A2595" s="6"/>
      <c r="B2595" s="6"/>
      <c r="C2595" s="6"/>
      <c r="D2595" s="6"/>
      <c r="E2595" s="6"/>
      <c r="F2595" s="6"/>
      <c r="G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O2595" s="6"/>
      <c r="AP2595" s="6"/>
      <c r="BH2595" s="6"/>
      <c r="BI2595" s="6"/>
      <c r="BJ2595" s="6"/>
      <c r="BK2595" s="6"/>
      <c r="BL2595" s="6"/>
      <c r="BM2595" s="6"/>
      <c r="BN2595" s="6"/>
      <c r="BO2595" s="6"/>
      <c r="BP2595" s="6"/>
      <c r="BQ2595" s="6"/>
      <c r="BR2595" s="6"/>
      <c r="BS2595" s="6"/>
      <c r="BT2595" s="6"/>
      <c r="BU2595" s="6"/>
      <c r="BV2595" s="6"/>
      <c r="BW2595" s="6"/>
      <c r="BX2595" s="6"/>
      <c r="BY2595" s="6"/>
      <c r="BZ2595" s="6"/>
    </row>
    <row r="2596" spans="1:78" ht="21.75" customHeight="1">
      <c r="A2596" s="6"/>
      <c r="B2596" s="6"/>
      <c r="C2596" s="6"/>
      <c r="D2596" s="6"/>
      <c r="E2596" s="6"/>
      <c r="F2596" s="6"/>
      <c r="G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O2596" s="6"/>
      <c r="AP2596" s="6"/>
      <c r="BH2596" s="6"/>
      <c r="BI2596" s="6"/>
      <c r="BJ2596" s="6"/>
      <c r="BK2596" s="6"/>
      <c r="BL2596" s="6"/>
      <c r="BM2596" s="6"/>
      <c r="BN2596" s="6"/>
      <c r="BO2596" s="6"/>
      <c r="BP2596" s="6"/>
      <c r="BQ2596" s="6"/>
      <c r="BR2596" s="6"/>
      <c r="BS2596" s="6"/>
      <c r="BT2596" s="6"/>
      <c r="BU2596" s="6"/>
      <c r="BV2596" s="6"/>
      <c r="BW2596" s="6"/>
      <c r="BX2596" s="6"/>
      <c r="BY2596" s="6"/>
      <c r="BZ2596" s="6"/>
    </row>
    <row r="2597" spans="1:78" s="478" customFormat="1" ht="21.75" customHeight="1"/>
    <row r="2598" spans="1:78" s="448" customFormat="1" ht="21.75" customHeight="1"/>
    <row r="2599" spans="1:78" s="505" customFormat="1" ht="21.75" customHeight="1"/>
    <row r="2600" spans="1:78" s="472" customFormat="1" ht="21.75" customHeight="1"/>
    <row r="2601" spans="1:78" s="505" customFormat="1" ht="21.75" customHeight="1"/>
    <row r="2602" spans="1:78" ht="21.75" customHeight="1">
      <c r="A2602" s="6"/>
      <c r="B2602" s="6"/>
      <c r="C2602" s="6"/>
      <c r="D2602" s="6"/>
      <c r="E2602" s="6"/>
      <c r="F2602" s="6"/>
      <c r="G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O2602" s="6"/>
      <c r="AP2602" s="6"/>
      <c r="BH2602" s="6"/>
      <c r="BI2602" s="6"/>
      <c r="BJ2602" s="6"/>
      <c r="BK2602" s="6"/>
      <c r="BL2602" s="6"/>
      <c r="BM2602" s="6"/>
      <c r="BN2602" s="6"/>
      <c r="BO2602" s="6"/>
      <c r="BP2602" s="6"/>
      <c r="BQ2602" s="6"/>
      <c r="BR2602" s="6"/>
      <c r="BS2602" s="6"/>
      <c r="BT2602" s="6"/>
      <c r="BU2602" s="6"/>
      <c r="BV2602" s="6"/>
      <c r="BW2602" s="6"/>
      <c r="BX2602" s="6"/>
      <c r="BY2602" s="6"/>
      <c r="BZ2602" s="6"/>
    </row>
    <row r="2603" spans="1:78" ht="21.75" customHeight="1">
      <c r="A2603" s="6"/>
      <c r="B2603" s="6"/>
      <c r="C2603" s="6"/>
      <c r="D2603" s="6"/>
      <c r="E2603" s="6"/>
      <c r="F2603" s="6"/>
      <c r="G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O2603" s="6"/>
      <c r="AP2603" s="6"/>
      <c r="BH2603" s="6"/>
      <c r="BI2603" s="6"/>
      <c r="BJ2603" s="6"/>
      <c r="BK2603" s="6"/>
      <c r="BL2603" s="6"/>
      <c r="BM2603" s="6"/>
      <c r="BN2603" s="6"/>
      <c r="BO2603" s="6"/>
      <c r="BP2603" s="6"/>
      <c r="BQ2603" s="6"/>
      <c r="BR2603" s="6"/>
      <c r="BS2603" s="6"/>
      <c r="BT2603" s="6"/>
      <c r="BU2603" s="6"/>
      <c r="BV2603" s="6"/>
      <c r="BW2603" s="6"/>
      <c r="BX2603" s="6"/>
      <c r="BY2603" s="6"/>
      <c r="BZ2603" s="6"/>
    </row>
    <row r="2604" spans="1:78" s="472" customFormat="1" ht="21.75" customHeight="1"/>
    <row r="2605" spans="1:78" ht="21.75" customHeight="1">
      <c r="A2605" s="6"/>
      <c r="B2605" s="6"/>
      <c r="C2605" s="6"/>
      <c r="D2605" s="6"/>
      <c r="E2605" s="6"/>
      <c r="F2605" s="6"/>
      <c r="G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O2605" s="6"/>
      <c r="AP2605" s="6"/>
      <c r="BH2605" s="6"/>
      <c r="BI2605" s="6"/>
      <c r="BJ2605" s="6"/>
      <c r="BK2605" s="6"/>
      <c r="BL2605" s="6"/>
      <c r="BM2605" s="6"/>
      <c r="BN2605" s="6"/>
      <c r="BO2605" s="6"/>
      <c r="BP2605" s="6"/>
      <c r="BQ2605" s="6"/>
      <c r="BR2605" s="6"/>
      <c r="BS2605" s="6"/>
      <c r="BT2605" s="6"/>
      <c r="BU2605" s="6"/>
      <c r="BV2605" s="6"/>
      <c r="BW2605" s="6"/>
      <c r="BX2605" s="6"/>
      <c r="BY2605" s="6"/>
      <c r="BZ2605" s="6"/>
    </row>
    <row r="2606" spans="1:78" ht="21.75" customHeight="1">
      <c r="A2606" s="6"/>
      <c r="B2606" s="6"/>
      <c r="C2606" s="6"/>
      <c r="D2606" s="6"/>
      <c r="E2606" s="6"/>
      <c r="F2606" s="6"/>
      <c r="G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O2606" s="6"/>
      <c r="AP2606" s="6"/>
      <c r="BH2606" s="6"/>
      <c r="BI2606" s="6"/>
      <c r="BJ2606" s="6"/>
      <c r="BK2606" s="6"/>
      <c r="BL2606" s="6"/>
      <c r="BM2606" s="6"/>
      <c r="BN2606" s="6"/>
      <c r="BO2606" s="6"/>
      <c r="BP2606" s="6"/>
      <c r="BQ2606" s="6"/>
      <c r="BR2606" s="6"/>
      <c r="BS2606" s="6"/>
      <c r="BT2606" s="6"/>
      <c r="BU2606" s="6"/>
      <c r="BV2606" s="6"/>
      <c r="BW2606" s="6"/>
      <c r="BX2606" s="6"/>
      <c r="BY2606" s="6"/>
      <c r="BZ2606" s="6"/>
    </row>
    <row r="2607" spans="1:78" ht="21.75" customHeight="1">
      <c r="A2607" s="6"/>
      <c r="B2607" s="6"/>
      <c r="C2607" s="6"/>
      <c r="D2607" s="6"/>
      <c r="E2607" s="6"/>
      <c r="F2607" s="6"/>
      <c r="G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O2607" s="6"/>
      <c r="AP2607" s="6"/>
      <c r="BH2607" s="6"/>
      <c r="BI2607" s="6"/>
      <c r="BJ2607" s="6"/>
      <c r="BK2607" s="6"/>
      <c r="BL2607" s="6"/>
      <c r="BM2607" s="6"/>
      <c r="BN2607" s="6"/>
      <c r="BO2607" s="6"/>
      <c r="BP2607" s="6"/>
      <c r="BQ2607" s="6"/>
      <c r="BR2607" s="6"/>
      <c r="BS2607" s="6"/>
      <c r="BT2607" s="6"/>
      <c r="BU2607" s="6"/>
      <c r="BV2607" s="6"/>
      <c r="BW2607" s="6"/>
      <c r="BX2607" s="6"/>
      <c r="BY2607" s="6"/>
      <c r="BZ2607" s="6"/>
    </row>
    <row r="2608" spans="1:78" s="496" customFormat="1" ht="21.75" customHeight="1"/>
    <row r="2609" spans="1:78" s="496" customFormat="1" ht="21.75" customHeight="1"/>
    <row r="2610" spans="1:78" ht="21.75" customHeight="1">
      <c r="A2610" s="6"/>
      <c r="B2610" s="6"/>
      <c r="C2610" s="6"/>
      <c r="D2610" s="6"/>
      <c r="E2610" s="6"/>
      <c r="F2610" s="6"/>
      <c r="G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O2610" s="6"/>
      <c r="AP2610" s="6"/>
      <c r="BH2610" s="6"/>
      <c r="BI2610" s="6"/>
      <c r="BJ2610" s="6"/>
      <c r="BK2610" s="6"/>
      <c r="BL2610" s="6"/>
      <c r="BM2610" s="6"/>
      <c r="BN2610" s="6"/>
      <c r="BO2610" s="6"/>
      <c r="BP2610" s="6"/>
      <c r="BQ2610" s="6"/>
      <c r="BR2610" s="6"/>
      <c r="BS2610" s="6"/>
      <c r="BT2610" s="6"/>
      <c r="BU2610" s="6"/>
      <c r="BV2610" s="6"/>
      <c r="BW2610" s="6"/>
      <c r="BX2610" s="6"/>
      <c r="BY2610" s="6"/>
      <c r="BZ2610" s="6"/>
    </row>
    <row r="2611" spans="1:78" s="496" customFormat="1" ht="21.75" customHeight="1"/>
    <row r="2612" spans="1:78" ht="21.75" customHeight="1">
      <c r="A2612" s="6"/>
      <c r="B2612" s="6"/>
      <c r="C2612" s="6"/>
      <c r="D2612" s="6"/>
      <c r="E2612" s="6"/>
      <c r="F2612" s="6"/>
      <c r="G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O2612" s="6"/>
      <c r="AP2612" s="6"/>
      <c r="BH2612" s="6"/>
      <c r="BI2612" s="6"/>
      <c r="BJ2612" s="6"/>
      <c r="BK2612" s="6"/>
      <c r="BL2612" s="6"/>
      <c r="BM2612" s="6"/>
      <c r="BN2612" s="6"/>
      <c r="BO2612" s="6"/>
      <c r="BP2612" s="6"/>
      <c r="BQ2612" s="6"/>
      <c r="BR2612" s="6"/>
      <c r="BS2612" s="6"/>
      <c r="BT2612" s="6"/>
      <c r="BU2612" s="6"/>
      <c r="BV2612" s="6"/>
      <c r="BW2612" s="6"/>
      <c r="BX2612" s="6"/>
      <c r="BY2612" s="6"/>
      <c r="BZ2612" s="6"/>
    </row>
    <row r="2613" spans="1:78" s="472" customFormat="1" ht="21.75" customHeight="1"/>
    <row r="2614" spans="1:78" ht="21.75" customHeight="1">
      <c r="A2614" s="6"/>
      <c r="B2614" s="6"/>
      <c r="C2614" s="6"/>
      <c r="D2614" s="6"/>
      <c r="E2614" s="6"/>
      <c r="F2614" s="6"/>
      <c r="G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O2614" s="6"/>
      <c r="AP2614" s="6"/>
      <c r="BH2614" s="6"/>
      <c r="BI2614" s="6"/>
      <c r="BJ2614" s="6"/>
      <c r="BK2614" s="6"/>
      <c r="BL2614" s="6"/>
      <c r="BM2614" s="6"/>
      <c r="BN2614" s="6"/>
      <c r="BO2614" s="6"/>
      <c r="BP2614" s="6"/>
      <c r="BQ2614" s="6"/>
      <c r="BR2614" s="6"/>
      <c r="BS2614" s="6"/>
      <c r="BT2614" s="6"/>
      <c r="BU2614" s="6"/>
      <c r="BV2614" s="6"/>
      <c r="BW2614" s="6"/>
      <c r="BX2614" s="6"/>
      <c r="BY2614" s="6"/>
      <c r="BZ2614" s="6"/>
    </row>
    <row r="2615" spans="1:78" s="496" customFormat="1" ht="21.75" customHeight="1"/>
    <row r="2616" spans="1:78" s="496" customFormat="1" ht="21.75" customHeight="1"/>
    <row r="2617" spans="1:78" s="450" customFormat="1" ht="21.75" customHeight="1"/>
    <row r="2618" spans="1:78" s="495" customFormat="1" ht="21.75" customHeight="1"/>
    <row r="2619" spans="1:78" ht="21.75" customHeight="1">
      <c r="A2619" s="6"/>
      <c r="B2619" s="6"/>
      <c r="C2619" s="6"/>
      <c r="D2619" s="6"/>
      <c r="E2619" s="6"/>
      <c r="F2619" s="6"/>
      <c r="G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O2619" s="6"/>
      <c r="AP2619" s="6"/>
      <c r="BH2619" s="6"/>
      <c r="BI2619" s="6"/>
      <c r="BJ2619" s="6"/>
      <c r="BK2619" s="6"/>
      <c r="BL2619" s="6"/>
      <c r="BM2619" s="6"/>
      <c r="BN2619" s="6"/>
      <c r="BO2619" s="6"/>
      <c r="BP2619" s="6"/>
      <c r="BQ2619" s="6"/>
      <c r="BR2619" s="6"/>
      <c r="BS2619" s="6"/>
      <c r="BT2619" s="6"/>
      <c r="BU2619" s="6"/>
      <c r="BV2619" s="6"/>
      <c r="BW2619" s="6"/>
      <c r="BX2619" s="6"/>
      <c r="BY2619" s="6"/>
      <c r="BZ2619" s="6"/>
    </row>
    <row r="2620" spans="1:78" ht="21.75" customHeight="1">
      <c r="A2620" s="6"/>
      <c r="B2620" s="6"/>
      <c r="C2620" s="6"/>
      <c r="D2620" s="6"/>
      <c r="E2620" s="6"/>
      <c r="F2620" s="6"/>
      <c r="G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O2620" s="6"/>
      <c r="AP2620" s="6"/>
      <c r="BH2620" s="6"/>
      <c r="BI2620" s="6"/>
      <c r="BJ2620" s="6"/>
      <c r="BK2620" s="6"/>
      <c r="BL2620" s="6"/>
      <c r="BM2620" s="6"/>
      <c r="BN2620" s="6"/>
      <c r="BO2620" s="6"/>
      <c r="BP2620" s="6"/>
      <c r="BQ2620" s="6"/>
      <c r="BR2620" s="6"/>
      <c r="BS2620" s="6"/>
      <c r="BT2620" s="6"/>
      <c r="BU2620" s="6"/>
      <c r="BV2620" s="6"/>
      <c r="BW2620" s="6"/>
      <c r="BX2620" s="6"/>
      <c r="BY2620" s="6"/>
      <c r="BZ2620" s="6"/>
    </row>
    <row r="2621" spans="1:78" s="496" customFormat="1" ht="21.75" customHeight="1"/>
    <row r="2622" spans="1:78" s="496" customFormat="1" ht="21.75" customHeight="1"/>
    <row r="2623" spans="1:78" ht="21.75" customHeight="1">
      <c r="A2623" s="6"/>
      <c r="B2623" s="6"/>
      <c r="C2623" s="6"/>
      <c r="D2623" s="6"/>
      <c r="E2623" s="6"/>
      <c r="F2623" s="6"/>
      <c r="G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O2623" s="6"/>
      <c r="AP2623" s="6"/>
      <c r="BH2623" s="6"/>
      <c r="BI2623" s="6"/>
      <c r="BJ2623" s="6"/>
      <c r="BK2623" s="6"/>
      <c r="BL2623" s="6"/>
      <c r="BM2623" s="6"/>
      <c r="BN2623" s="6"/>
      <c r="BO2623" s="6"/>
      <c r="BP2623" s="6"/>
      <c r="BQ2623" s="6"/>
      <c r="BR2623" s="6"/>
      <c r="BS2623" s="6"/>
      <c r="BT2623" s="6"/>
      <c r="BU2623" s="6"/>
      <c r="BV2623" s="6"/>
      <c r="BW2623" s="6"/>
      <c r="BX2623" s="6"/>
      <c r="BY2623" s="6"/>
      <c r="BZ2623" s="6"/>
    </row>
    <row r="2624" spans="1:78" ht="21.75" customHeight="1">
      <c r="A2624" s="6"/>
      <c r="B2624" s="6"/>
      <c r="C2624" s="6"/>
      <c r="D2624" s="6"/>
      <c r="E2624" s="6"/>
      <c r="F2624" s="6"/>
      <c r="G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O2624" s="6"/>
      <c r="AP2624" s="6"/>
      <c r="BH2624" s="6"/>
      <c r="BI2624" s="6"/>
      <c r="BJ2624" s="6"/>
      <c r="BK2624" s="6"/>
      <c r="BL2624" s="6"/>
      <c r="BM2624" s="6"/>
      <c r="BN2624" s="6"/>
      <c r="BO2624" s="6"/>
      <c r="BP2624" s="6"/>
      <c r="BQ2624" s="6"/>
      <c r="BR2624" s="6"/>
      <c r="BS2624" s="6"/>
      <c r="BT2624" s="6"/>
      <c r="BU2624" s="6"/>
      <c r="BV2624" s="6"/>
      <c r="BW2624" s="6"/>
      <c r="BX2624" s="6"/>
      <c r="BY2624" s="6"/>
      <c r="BZ2624" s="6"/>
    </row>
    <row r="2625" spans="1:78" s="496" customFormat="1" ht="21.75" customHeight="1"/>
    <row r="2626" spans="1:78" s="496" customFormat="1" ht="21.75" customHeight="1"/>
    <row r="2627" spans="1:78" ht="21.75" customHeight="1">
      <c r="A2627" s="6"/>
      <c r="B2627" s="6"/>
      <c r="C2627" s="6"/>
      <c r="D2627" s="6"/>
      <c r="E2627" s="6"/>
      <c r="F2627" s="6"/>
      <c r="G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O2627" s="6"/>
      <c r="AP2627" s="6"/>
      <c r="BH2627" s="6"/>
      <c r="BI2627" s="6"/>
      <c r="BJ2627" s="6"/>
      <c r="BK2627" s="6"/>
      <c r="BL2627" s="6"/>
      <c r="BM2627" s="6"/>
      <c r="BN2627" s="6"/>
      <c r="BO2627" s="6"/>
      <c r="BP2627" s="6"/>
      <c r="BQ2627" s="6"/>
      <c r="BR2627" s="6"/>
      <c r="BS2627" s="6"/>
      <c r="BT2627" s="6"/>
      <c r="BU2627" s="6"/>
      <c r="BV2627" s="6"/>
      <c r="BW2627" s="6"/>
      <c r="BX2627" s="6"/>
      <c r="BY2627" s="6"/>
      <c r="BZ2627" s="6"/>
    </row>
    <row r="2628" spans="1:78" ht="21.75" customHeight="1">
      <c r="A2628" s="6"/>
      <c r="B2628" s="6"/>
      <c r="C2628" s="6"/>
      <c r="D2628" s="6"/>
      <c r="E2628" s="6"/>
      <c r="F2628" s="6"/>
      <c r="G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O2628" s="6"/>
      <c r="AP2628" s="6"/>
      <c r="BH2628" s="6"/>
      <c r="BI2628" s="6"/>
      <c r="BJ2628" s="6"/>
      <c r="BK2628" s="6"/>
      <c r="BL2628" s="6"/>
      <c r="BM2628" s="6"/>
      <c r="BN2628" s="6"/>
      <c r="BO2628" s="6"/>
      <c r="BP2628" s="6"/>
      <c r="BQ2628" s="6"/>
      <c r="BR2628" s="6"/>
      <c r="BS2628" s="6"/>
      <c r="BT2628" s="6"/>
      <c r="BU2628" s="6"/>
      <c r="BV2628" s="6"/>
      <c r="BW2628" s="6"/>
      <c r="BX2628" s="6"/>
      <c r="BY2628" s="6"/>
      <c r="BZ2628" s="6"/>
    </row>
    <row r="2629" spans="1:78" s="472" customFormat="1" ht="21.75" customHeight="1"/>
    <row r="2630" spans="1:78" s="496" customFormat="1" ht="21.75" customHeight="1"/>
    <row r="2631" spans="1:78" s="496" customFormat="1" ht="21.75" customHeight="1"/>
    <row r="2632" spans="1:78" s="496" customFormat="1" ht="21.75" customHeight="1"/>
    <row r="2633" spans="1:78" ht="21.75" customHeight="1">
      <c r="A2633" s="6"/>
      <c r="B2633" s="6"/>
      <c r="C2633" s="6"/>
      <c r="D2633" s="6"/>
      <c r="E2633" s="6"/>
      <c r="F2633" s="6"/>
      <c r="G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O2633" s="6"/>
      <c r="AP2633" s="6"/>
      <c r="BH2633" s="6"/>
      <c r="BI2633" s="6"/>
      <c r="BJ2633" s="6"/>
      <c r="BK2633" s="6"/>
      <c r="BL2633" s="6"/>
      <c r="BM2633" s="6"/>
      <c r="BN2633" s="6"/>
      <c r="BO2633" s="6"/>
      <c r="BP2633" s="6"/>
      <c r="BQ2633" s="6"/>
      <c r="BR2633" s="6"/>
      <c r="BS2633" s="6"/>
      <c r="BT2633" s="6"/>
      <c r="BU2633" s="6"/>
      <c r="BV2633" s="6"/>
      <c r="BW2633" s="6"/>
      <c r="BX2633" s="6"/>
      <c r="BY2633" s="6"/>
      <c r="BZ2633" s="6"/>
    </row>
    <row r="2634" spans="1:78" ht="21.75" customHeight="1">
      <c r="A2634" s="6"/>
      <c r="B2634" s="6"/>
      <c r="C2634" s="6"/>
      <c r="D2634" s="6"/>
      <c r="E2634" s="6"/>
      <c r="F2634" s="6"/>
      <c r="G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O2634" s="6"/>
      <c r="AP2634" s="6"/>
      <c r="BH2634" s="6"/>
      <c r="BI2634" s="6"/>
      <c r="BJ2634" s="6"/>
      <c r="BK2634" s="6"/>
      <c r="BL2634" s="6"/>
      <c r="BM2634" s="6"/>
      <c r="BN2634" s="6"/>
      <c r="BO2634" s="6"/>
      <c r="BP2634" s="6"/>
      <c r="BQ2634" s="6"/>
      <c r="BR2634" s="6"/>
      <c r="BS2634" s="6"/>
      <c r="BT2634" s="6"/>
      <c r="BU2634" s="6"/>
      <c r="BV2634" s="6"/>
      <c r="BW2634" s="6"/>
      <c r="BX2634" s="6"/>
      <c r="BY2634" s="6"/>
      <c r="BZ2634" s="6"/>
    </row>
    <row r="2635" spans="1:78" ht="21.75" customHeight="1">
      <c r="A2635" s="6"/>
      <c r="B2635" s="6"/>
      <c r="C2635" s="6"/>
      <c r="D2635" s="6"/>
      <c r="E2635" s="6"/>
      <c r="F2635" s="6"/>
      <c r="G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O2635" s="6"/>
      <c r="AP2635" s="6"/>
      <c r="BH2635" s="6"/>
      <c r="BI2635" s="6"/>
      <c r="BJ2635" s="6"/>
      <c r="BK2635" s="6"/>
      <c r="BL2635" s="6"/>
      <c r="BM2635" s="6"/>
      <c r="BN2635" s="6"/>
      <c r="BO2635" s="6"/>
      <c r="BP2635" s="6"/>
      <c r="BQ2635" s="6"/>
      <c r="BR2635" s="6"/>
      <c r="BS2635" s="6"/>
      <c r="BT2635" s="6"/>
      <c r="BU2635" s="6"/>
      <c r="BV2635" s="6"/>
      <c r="BW2635" s="6"/>
      <c r="BX2635" s="6"/>
      <c r="BY2635" s="6"/>
      <c r="BZ2635" s="6"/>
    </row>
    <row r="2636" spans="1:78" ht="21.75" customHeight="1">
      <c r="A2636" s="6"/>
      <c r="B2636" s="6"/>
      <c r="C2636" s="6"/>
      <c r="D2636" s="6"/>
      <c r="E2636" s="6"/>
      <c r="F2636" s="6"/>
      <c r="G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O2636" s="6"/>
      <c r="AP2636" s="6"/>
      <c r="BH2636" s="6"/>
      <c r="BI2636" s="6"/>
      <c r="BJ2636" s="6"/>
      <c r="BK2636" s="6"/>
      <c r="BL2636" s="6"/>
      <c r="BM2636" s="6"/>
      <c r="BN2636" s="6"/>
      <c r="BO2636" s="6"/>
      <c r="BP2636" s="6"/>
      <c r="BQ2636" s="6"/>
      <c r="BR2636" s="6"/>
      <c r="BS2636" s="6"/>
      <c r="BT2636" s="6"/>
      <c r="BU2636" s="6"/>
      <c r="BV2636" s="6"/>
      <c r="BW2636" s="6"/>
      <c r="BX2636" s="6"/>
      <c r="BY2636" s="6"/>
      <c r="BZ2636" s="6"/>
    </row>
    <row r="2637" spans="1:78" s="496" customFormat="1" ht="21.75" customHeight="1"/>
    <row r="2638" spans="1:78" ht="21.75" customHeight="1">
      <c r="A2638" s="6"/>
      <c r="B2638" s="6"/>
      <c r="C2638" s="6"/>
      <c r="D2638" s="6"/>
      <c r="E2638" s="6"/>
      <c r="F2638" s="6"/>
      <c r="G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O2638" s="6"/>
      <c r="AP2638" s="6"/>
      <c r="BH2638" s="6"/>
      <c r="BI2638" s="6"/>
      <c r="BJ2638" s="6"/>
      <c r="BK2638" s="6"/>
      <c r="BL2638" s="6"/>
      <c r="BM2638" s="6"/>
      <c r="BN2638" s="6"/>
      <c r="BO2638" s="6"/>
      <c r="BP2638" s="6"/>
      <c r="BQ2638" s="6"/>
      <c r="BR2638" s="6"/>
      <c r="BS2638" s="6"/>
      <c r="BT2638" s="6"/>
      <c r="BU2638" s="6"/>
      <c r="BV2638" s="6"/>
      <c r="BW2638" s="6"/>
      <c r="BX2638" s="6"/>
      <c r="BY2638" s="6"/>
      <c r="BZ2638" s="6"/>
    </row>
    <row r="2639" spans="1:78" s="497" customFormat="1" ht="21.75" customHeight="1"/>
    <row r="2640" spans="1:78" s="448" customFormat="1" ht="21.75" customHeight="1"/>
    <row r="2641" spans="1:78" s="496" customFormat="1" ht="21.75" customHeight="1"/>
    <row r="2642" spans="1:78" ht="21.75" customHeight="1">
      <c r="A2642" s="6"/>
      <c r="B2642" s="6"/>
      <c r="C2642" s="6"/>
      <c r="D2642" s="6"/>
      <c r="E2642" s="6"/>
      <c r="F2642" s="6"/>
      <c r="G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O2642" s="6"/>
      <c r="AP2642" s="6"/>
      <c r="BH2642" s="6"/>
      <c r="BI2642" s="6"/>
      <c r="BJ2642" s="6"/>
      <c r="BK2642" s="6"/>
      <c r="BL2642" s="6"/>
      <c r="BM2642" s="6"/>
      <c r="BN2642" s="6"/>
      <c r="BO2642" s="6"/>
      <c r="BP2642" s="6"/>
      <c r="BQ2642" s="6"/>
      <c r="BR2642" s="6"/>
      <c r="BS2642" s="6"/>
      <c r="BT2642" s="6"/>
      <c r="BU2642" s="6"/>
      <c r="BV2642" s="6"/>
      <c r="BW2642" s="6"/>
      <c r="BX2642" s="6"/>
      <c r="BY2642" s="6"/>
      <c r="BZ2642" s="6"/>
    </row>
    <row r="2643" spans="1:78" ht="21.75" customHeight="1">
      <c r="A2643" s="6"/>
      <c r="B2643" s="6"/>
      <c r="C2643" s="6"/>
      <c r="D2643" s="6"/>
      <c r="E2643" s="6"/>
      <c r="F2643" s="6"/>
      <c r="G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O2643" s="6"/>
      <c r="AP2643" s="6"/>
      <c r="BH2643" s="6"/>
      <c r="BI2643" s="6"/>
      <c r="BJ2643" s="6"/>
      <c r="BK2643" s="6"/>
      <c r="BL2643" s="6"/>
      <c r="BM2643" s="6"/>
      <c r="BN2643" s="6"/>
      <c r="BO2643" s="6"/>
      <c r="BP2643" s="6"/>
      <c r="BQ2643" s="6"/>
      <c r="BR2643" s="6"/>
      <c r="BS2643" s="6"/>
      <c r="BT2643" s="6"/>
      <c r="BU2643" s="6"/>
      <c r="BV2643" s="6"/>
      <c r="BW2643" s="6"/>
      <c r="BX2643" s="6"/>
      <c r="BY2643" s="6"/>
      <c r="BZ2643" s="6"/>
    </row>
    <row r="2644" spans="1:78" ht="21.75" customHeight="1">
      <c r="A2644" s="6"/>
      <c r="B2644" s="6"/>
      <c r="C2644" s="6"/>
      <c r="D2644" s="6"/>
      <c r="E2644" s="6"/>
      <c r="F2644" s="6"/>
      <c r="G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O2644" s="6"/>
      <c r="AP2644" s="6"/>
      <c r="BH2644" s="6"/>
      <c r="BI2644" s="6"/>
      <c r="BJ2644" s="6"/>
      <c r="BK2644" s="6"/>
      <c r="BL2644" s="6"/>
      <c r="BM2644" s="6"/>
      <c r="BN2644" s="6"/>
      <c r="BO2644" s="6"/>
      <c r="BP2644" s="6"/>
      <c r="BQ2644" s="6"/>
      <c r="BR2644" s="6"/>
      <c r="BS2644" s="6"/>
      <c r="BT2644" s="6"/>
      <c r="BU2644" s="6"/>
      <c r="BV2644" s="6"/>
      <c r="BW2644" s="6"/>
      <c r="BX2644" s="6"/>
      <c r="BY2644" s="6"/>
      <c r="BZ2644" s="6"/>
    </row>
    <row r="2645" spans="1:78" ht="21.75" customHeight="1">
      <c r="A2645" s="6"/>
      <c r="B2645" s="6"/>
      <c r="C2645" s="6"/>
      <c r="D2645" s="6"/>
      <c r="E2645" s="6"/>
      <c r="F2645" s="6"/>
      <c r="G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O2645" s="6"/>
      <c r="AP2645" s="6"/>
      <c r="BH2645" s="6"/>
      <c r="BI2645" s="6"/>
      <c r="BJ2645" s="6"/>
      <c r="BK2645" s="6"/>
      <c r="BL2645" s="6"/>
      <c r="BM2645" s="6"/>
      <c r="BN2645" s="6"/>
      <c r="BO2645" s="6"/>
      <c r="BP2645" s="6"/>
      <c r="BQ2645" s="6"/>
      <c r="BR2645" s="6"/>
      <c r="BS2645" s="6"/>
      <c r="BT2645" s="6"/>
      <c r="BU2645" s="6"/>
      <c r="BV2645" s="6"/>
      <c r="BW2645" s="6"/>
      <c r="BX2645" s="6"/>
      <c r="BY2645" s="6"/>
      <c r="BZ2645" s="6"/>
    </row>
    <row r="2646" spans="1:78" ht="21.75" customHeight="1">
      <c r="A2646" s="6"/>
      <c r="B2646" s="6"/>
      <c r="C2646" s="6"/>
      <c r="D2646" s="6"/>
      <c r="E2646" s="6"/>
      <c r="F2646" s="6"/>
      <c r="G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O2646" s="6"/>
      <c r="AP2646" s="6"/>
      <c r="BH2646" s="6"/>
      <c r="BI2646" s="6"/>
      <c r="BJ2646" s="6"/>
      <c r="BK2646" s="6"/>
      <c r="BL2646" s="6"/>
      <c r="BM2646" s="6"/>
      <c r="BN2646" s="6"/>
      <c r="BO2646" s="6"/>
      <c r="BP2646" s="6"/>
      <c r="BQ2646" s="6"/>
      <c r="BR2646" s="6"/>
      <c r="BS2646" s="6"/>
      <c r="BT2646" s="6"/>
      <c r="BU2646" s="6"/>
      <c r="BV2646" s="6"/>
      <c r="BW2646" s="6"/>
      <c r="BX2646" s="6"/>
      <c r="BY2646" s="6"/>
      <c r="BZ2646" s="6"/>
    </row>
    <row r="2647" spans="1:78" s="450" customFormat="1" ht="21.75" customHeight="1"/>
    <row r="2648" spans="1:78" s="448" customFormat="1" ht="21.75" customHeight="1"/>
    <row r="2649" spans="1:78" ht="21.75" customHeight="1">
      <c r="A2649" s="6"/>
      <c r="B2649" s="6"/>
      <c r="C2649" s="6"/>
      <c r="D2649" s="6"/>
      <c r="E2649" s="6"/>
      <c r="F2649" s="6"/>
      <c r="G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O2649" s="6"/>
      <c r="AP2649" s="6"/>
      <c r="BH2649" s="6"/>
      <c r="BI2649" s="6"/>
      <c r="BJ2649" s="6"/>
      <c r="BK2649" s="6"/>
      <c r="BL2649" s="6"/>
      <c r="BM2649" s="6"/>
      <c r="BN2649" s="6"/>
      <c r="BO2649" s="6"/>
      <c r="BP2649" s="6"/>
      <c r="BQ2649" s="6"/>
      <c r="BR2649" s="6"/>
      <c r="BS2649" s="6"/>
      <c r="BT2649" s="6"/>
      <c r="BU2649" s="6"/>
      <c r="BV2649" s="6"/>
      <c r="BW2649" s="6"/>
      <c r="BX2649" s="6"/>
      <c r="BY2649" s="6"/>
      <c r="BZ2649" s="6"/>
    </row>
    <row r="2650" spans="1:78" s="472" customFormat="1" ht="21.75" customHeight="1"/>
    <row r="2651" spans="1:78" ht="21.75" customHeight="1">
      <c r="A2651" s="6"/>
      <c r="B2651" s="6"/>
      <c r="C2651" s="6"/>
      <c r="D2651" s="6"/>
      <c r="E2651" s="6"/>
      <c r="F2651" s="6"/>
      <c r="G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O2651" s="6"/>
      <c r="AP2651" s="6"/>
      <c r="BH2651" s="6"/>
      <c r="BI2651" s="6"/>
      <c r="BJ2651" s="6"/>
      <c r="BK2651" s="6"/>
      <c r="BL2651" s="6"/>
      <c r="BM2651" s="6"/>
      <c r="BN2651" s="6"/>
      <c r="BO2651" s="6"/>
      <c r="BP2651" s="6"/>
      <c r="BQ2651" s="6"/>
      <c r="BR2651" s="6"/>
      <c r="BS2651" s="6"/>
      <c r="BT2651" s="6"/>
      <c r="BU2651" s="6"/>
      <c r="BV2651" s="6"/>
      <c r="BW2651" s="6"/>
      <c r="BX2651" s="6"/>
      <c r="BY2651" s="6"/>
      <c r="BZ2651" s="6"/>
    </row>
    <row r="2652" spans="1:78" ht="21.75" customHeight="1">
      <c r="A2652" s="6"/>
      <c r="B2652" s="6"/>
      <c r="C2652" s="6"/>
      <c r="D2652" s="6"/>
      <c r="E2652" s="6"/>
      <c r="F2652" s="6"/>
      <c r="G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O2652" s="6"/>
      <c r="AP2652" s="6"/>
      <c r="BH2652" s="6"/>
      <c r="BI2652" s="6"/>
      <c r="BJ2652" s="6"/>
      <c r="BK2652" s="6"/>
      <c r="BL2652" s="6"/>
      <c r="BM2652" s="6"/>
      <c r="BN2652" s="6"/>
      <c r="BO2652" s="6"/>
      <c r="BP2652" s="6"/>
      <c r="BQ2652" s="6"/>
      <c r="BR2652" s="6"/>
      <c r="BS2652" s="6"/>
      <c r="BT2652" s="6"/>
      <c r="BU2652" s="6"/>
      <c r="BV2652" s="6"/>
      <c r="BW2652" s="6"/>
      <c r="BX2652" s="6"/>
      <c r="BY2652" s="6"/>
      <c r="BZ2652" s="6"/>
    </row>
    <row r="2653" spans="1:78" ht="21.75" customHeight="1">
      <c r="A2653" s="6"/>
      <c r="B2653" s="6"/>
      <c r="C2653" s="6"/>
      <c r="D2653" s="6"/>
      <c r="E2653" s="6"/>
      <c r="F2653" s="6"/>
      <c r="G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O2653" s="6"/>
      <c r="AP2653" s="6"/>
      <c r="BH2653" s="6"/>
      <c r="BI2653" s="6"/>
      <c r="BJ2653" s="6"/>
      <c r="BK2653" s="6"/>
      <c r="BL2653" s="6"/>
      <c r="BM2653" s="6"/>
      <c r="BN2653" s="6"/>
      <c r="BO2653" s="6"/>
      <c r="BP2653" s="6"/>
      <c r="BQ2653" s="6"/>
      <c r="BR2653" s="6"/>
      <c r="BS2653" s="6"/>
      <c r="BT2653" s="6"/>
      <c r="BU2653" s="6"/>
      <c r="BV2653" s="6"/>
      <c r="BW2653" s="6"/>
      <c r="BX2653" s="6"/>
      <c r="BY2653" s="6"/>
      <c r="BZ2653" s="6"/>
    </row>
    <row r="2654" spans="1:78" s="496" customFormat="1" ht="21.75" customHeight="1"/>
    <row r="2655" spans="1:78" s="497" customFormat="1" ht="21.75" customHeight="1"/>
    <row r="2656" spans="1:78" s="448" customFormat="1" ht="21.75" customHeight="1"/>
    <row r="2657" spans="1:78" ht="21.75" customHeight="1">
      <c r="A2657" s="6"/>
      <c r="B2657" s="6"/>
      <c r="C2657" s="6"/>
      <c r="D2657" s="6"/>
      <c r="E2657" s="6"/>
      <c r="F2657" s="6"/>
      <c r="G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O2657" s="6"/>
      <c r="AP2657" s="6"/>
      <c r="BH2657" s="6"/>
      <c r="BI2657" s="6"/>
      <c r="BJ2657" s="6"/>
      <c r="BK2657" s="6"/>
      <c r="BL2657" s="6"/>
      <c r="BM2657" s="6"/>
      <c r="BN2657" s="6"/>
      <c r="BO2657" s="6"/>
      <c r="BP2657" s="6"/>
      <c r="BQ2657" s="6"/>
      <c r="BR2657" s="6"/>
      <c r="BS2657" s="6"/>
      <c r="BT2657" s="6"/>
      <c r="BU2657" s="6"/>
      <c r="BV2657" s="6"/>
      <c r="BW2657" s="6"/>
      <c r="BX2657" s="6"/>
      <c r="BY2657" s="6"/>
      <c r="BZ2657" s="6"/>
    </row>
    <row r="2658" spans="1:78" ht="21.75" customHeight="1">
      <c r="A2658" s="6"/>
      <c r="B2658" s="6"/>
      <c r="C2658" s="6"/>
      <c r="D2658" s="6"/>
      <c r="E2658" s="6"/>
      <c r="F2658" s="6"/>
      <c r="G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O2658" s="6"/>
      <c r="AP2658" s="6"/>
      <c r="BH2658" s="6"/>
      <c r="BI2658" s="6"/>
      <c r="BJ2658" s="6"/>
      <c r="BK2658" s="6"/>
      <c r="BL2658" s="6"/>
      <c r="BM2658" s="6"/>
      <c r="BN2658" s="6"/>
      <c r="BO2658" s="6"/>
      <c r="BP2658" s="6"/>
      <c r="BQ2658" s="6"/>
      <c r="BR2658" s="6"/>
      <c r="BS2658" s="6"/>
      <c r="BT2658" s="6"/>
      <c r="BU2658" s="6"/>
      <c r="BV2658" s="6"/>
      <c r="BW2658" s="6"/>
      <c r="BX2658" s="6"/>
      <c r="BY2658" s="6"/>
      <c r="BZ2658" s="6"/>
    </row>
    <row r="2659" spans="1:78" s="496" customFormat="1" ht="21.75" customHeight="1"/>
    <row r="2660" spans="1:78" ht="21.75" customHeight="1">
      <c r="A2660" s="6"/>
      <c r="B2660" s="6"/>
      <c r="C2660" s="6"/>
      <c r="D2660" s="6"/>
      <c r="E2660" s="6"/>
      <c r="F2660" s="6"/>
      <c r="G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O2660" s="6"/>
      <c r="AP2660" s="6"/>
      <c r="BH2660" s="6"/>
      <c r="BI2660" s="6"/>
      <c r="BJ2660" s="6"/>
      <c r="BK2660" s="6"/>
      <c r="BL2660" s="6"/>
      <c r="BM2660" s="6"/>
      <c r="BN2660" s="6"/>
      <c r="BO2660" s="6"/>
      <c r="BP2660" s="6"/>
      <c r="BQ2660" s="6"/>
      <c r="BR2660" s="6"/>
      <c r="BS2660" s="6"/>
      <c r="BT2660" s="6"/>
      <c r="BU2660" s="6"/>
      <c r="BV2660" s="6"/>
      <c r="BW2660" s="6"/>
      <c r="BX2660" s="6"/>
      <c r="BY2660" s="6"/>
      <c r="BZ2660" s="6"/>
    </row>
    <row r="2661" spans="1:78" ht="21.75" customHeight="1">
      <c r="A2661" s="6"/>
      <c r="B2661" s="6"/>
      <c r="C2661" s="6"/>
      <c r="D2661" s="6"/>
      <c r="E2661" s="6"/>
      <c r="F2661" s="6"/>
      <c r="G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O2661" s="6"/>
      <c r="AP2661" s="6"/>
      <c r="BH2661" s="6"/>
      <c r="BI2661" s="6"/>
      <c r="BJ2661" s="6"/>
      <c r="BK2661" s="6"/>
      <c r="BL2661" s="6"/>
      <c r="BM2661" s="6"/>
      <c r="BN2661" s="6"/>
      <c r="BO2661" s="6"/>
      <c r="BP2661" s="6"/>
      <c r="BQ2661" s="6"/>
      <c r="BR2661" s="6"/>
      <c r="BS2661" s="6"/>
      <c r="BT2661" s="6"/>
      <c r="BU2661" s="6"/>
      <c r="BV2661" s="6"/>
      <c r="BW2661" s="6"/>
      <c r="BX2661" s="6"/>
      <c r="BY2661" s="6"/>
      <c r="BZ2661" s="6"/>
    </row>
    <row r="2662" spans="1:78" ht="21.75" customHeight="1">
      <c r="A2662" s="6"/>
      <c r="B2662" s="6"/>
      <c r="C2662" s="6"/>
      <c r="D2662" s="6"/>
      <c r="E2662" s="6"/>
      <c r="F2662" s="6"/>
      <c r="G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O2662" s="6"/>
      <c r="AP2662" s="6"/>
      <c r="BH2662" s="6"/>
      <c r="BI2662" s="6"/>
      <c r="BJ2662" s="6"/>
      <c r="BK2662" s="6"/>
      <c r="BL2662" s="6"/>
      <c r="BM2662" s="6"/>
      <c r="BN2662" s="6"/>
      <c r="BO2662" s="6"/>
      <c r="BP2662" s="6"/>
      <c r="BQ2662" s="6"/>
      <c r="BR2662" s="6"/>
      <c r="BS2662" s="6"/>
      <c r="BT2662" s="6"/>
      <c r="BU2662" s="6"/>
      <c r="BV2662" s="6"/>
      <c r="BW2662" s="6"/>
      <c r="BX2662" s="6"/>
      <c r="BY2662" s="6"/>
      <c r="BZ2662" s="6"/>
    </row>
    <row r="2663" spans="1:78" ht="21.75" customHeight="1">
      <c r="A2663" s="6"/>
      <c r="B2663" s="6"/>
      <c r="C2663" s="6"/>
      <c r="D2663" s="6"/>
      <c r="E2663" s="6"/>
      <c r="F2663" s="6"/>
      <c r="G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O2663" s="6"/>
      <c r="AP2663" s="6"/>
      <c r="BH2663" s="6"/>
      <c r="BI2663" s="6"/>
      <c r="BJ2663" s="6"/>
      <c r="BK2663" s="6"/>
      <c r="BL2663" s="6"/>
      <c r="BM2663" s="6"/>
      <c r="BN2663" s="6"/>
      <c r="BO2663" s="6"/>
      <c r="BP2663" s="6"/>
      <c r="BQ2663" s="6"/>
      <c r="BR2663" s="6"/>
      <c r="BS2663" s="6"/>
      <c r="BT2663" s="6"/>
      <c r="BU2663" s="6"/>
      <c r="BV2663" s="6"/>
      <c r="BW2663" s="6"/>
      <c r="BX2663" s="6"/>
      <c r="BY2663" s="6"/>
      <c r="BZ2663" s="6"/>
    </row>
    <row r="2664" spans="1:78" ht="21.75" customHeight="1">
      <c r="A2664" s="6"/>
      <c r="B2664" s="6"/>
      <c r="C2664" s="6"/>
      <c r="D2664" s="6"/>
      <c r="E2664" s="6"/>
      <c r="F2664" s="6"/>
      <c r="G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O2664" s="6"/>
      <c r="AP2664" s="6"/>
      <c r="BH2664" s="6"/>
      <c r="BI2664" s="6"/>
      <c r="BJ2664" s="6"/>
      <c r="BK2664" s="6"/>
      <c r="BL2664" s="6"/>
      <c r="BM2664" s="6"/>
      <c r="BN2664" s="6"/>
      <c r="BO2664" s="6"/>
      <c r="BP2664" s="6"/>
      <c r="BQ2664" s="6"/>
      <c r="BR2664" s="6"/>
      <c r="BS2664" s="6"/>
      <c r="BT2664" s="6"/>
      <c r="BU2664" s="6"/>
      <c r="BV2664" s="6"/>
      <c r="BW2664" s="6"/>
      <c r="BX2664" s="6"/>
      <c r="BY2664" s="6"/>
      <c r="BZ2664" s="6"/>
    </row>
    <row r="2665" spans="1:78" s="450" customFormat="1" ht="21.75" customHeight="1"/>
    <row r="2666" spans="1:78" s="448" customFormat="1" ht="21.75" customHeight="1"/>
    <row r="2667" spans="1:78" ht="21.75" customHeight="1">
      <c r="A2667" s="6"/>
      <c r="B2667" s="6"/>
      <c r="C2667" s="6"/>
      <c r="D2667" s="6"/>
      <c r="E2667" s="6"/>
      <c r="F2667" s="6"/>
      <c r="G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O2667" s="6"/>
      <c r="AP2667" s="6"/>
      <c r="BH2667" s="6"/>
      <c r="BI2667" s="6"/>
      <c r="BJ2667" s="6"/>
      <c r="BK2667" s="6"/>
      <c r="BL2667" s="6"/>
      <c r="BM2667" s="6"/>
      <c r="BN2667" s="6"/>
      <c r="BO2667" s="6"/>
      <c r="BP2667" s="6"/>
      <c r="BQ2667" s="6"/>
      <c r="BR2667" s="6"/>
      <c r="BS2667" s="6"/>
      <c r="BT2667" s="6"/>
      <c r="BU2667" s="6"/>
      <c r="BV2667" s="6"/>
      <c r="BW2667" s="6"/>
      <c r="BX2667" s="6"/>
      <c r="BY2667" s="6"/>
      <c r="BZ2667" s="6"/>
    </row>
    <row r="2668" spans="1:78" ht="21.75" customHeight="1">
      <c r="A2668" s="6"/>
      <c r="B2668" s="6"/>
      <c r="C2668" s="6"/>
      <c r="D2668" s="6"/>
      <c r="E2668" s="6"/>
      <c r="F2668" s="6"/>
      <c r="G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O2668" s="6"/>
      <c r="AP2668" s="6"/>
      <c r="BH2668" s="6"/>
      <c r="BI2668" s="6"/>
      <c r="BJ2668" s="6"/>
      <c r="BK2668" s="6"/>
      <c r="BL2668" s="6"/>
      <c r="BM2668" s="6"/>
      <c r="BN2668" s="6"/>
      <c r="BO2668" s="6"/>
      <c r="BP2668" s="6"/>
      <c r="BQ2668" s="6"/>
      <c r="BR2668" s="6"/>
      <c r="BS2668" s="6"/>
      <c r="BT2668" s="6"/>
      <c r="BU2668" s="6"/>
      <c r="BV2668" s="6"/>
      <c r="BW2668" s="6"/>
      <c r="BX2668" s="6"/>
      <c r="BY2668" s="6"/>
      <c r="BZ2668" s="6"/>
    </row>
    <row r="2669" spans="1:78" ht="21.75" customHeight="1">
      <c r="A2669" s="6"/>
      <c r="B2669" s="6"/>
      <c r="C2669" s="6"/>
      <c r="D2669" s="6"/>
      <c r="E2669" s="6"/>
      <c r="F2669" s="6"/>
      <c r="G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O2669" s="6"/>
      <c r="AP2669" s="6"/>
      <c r="BH2669" s="6"/>
      <c r="BI2669" s="6"/>
      <c r="BJ2669" s="6"/>
      <c r="BK2669" s="6"/>
      <c r="BL2669" s="6"/>
      <c r="BM2669" s="6"/>
      <c r="BN2669" s="6"/>
      <c r="BO2669" s="6"/>
      <c r="BP2669" s="6"/>
      <c r="BQ2669" s="6"/>
      <c r="BR2669" s="6"/>
      <c r="BS2669" s="6"/>
      <c r="BT2669" s="6"/>
      <c r="BU2669" s="6"/>
      <c r="BV2669" s="6"/>
      <c r="BW2669" s="6"/>
      <c r="BX2669" s="6"/>
      <c r="BY2669" s="6"/>
      <c r="BZ2669" s="6"/>
    </row>
    <row r="2670" spans="1:78" ht="21.75" customHeight="1">
      <c r="A2670" s="6"/>
      <c r="B2670" s="6"/>
      <c r="C2670" s="6"/>
      <c r="D2670" s="6"/>
      <c r="E2670" s="6"/>
      <c r="F2670" s="6"/>
      <c r="G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O2670" s="6"/>
      <c r="AP2670" s="6"/>
      <c r="BH2670" s="6"/>
      <c r="BI2670" s="6"/>
      <c r="BJ2670" s="6"/>
      <c r="BK2670" s="6"/>
      <c r="BL2670" s="6"/>
      <c r="BM2670" s="6"/>
      <c r="BN2670" s="6"/>
      <c r="BO2670" s="6"/>
      <c r="BP2670" s="6"/>
      <c r="BQ2670" s="6"/>
      <c r="BR2670" s="6"/>
      <c r="BS2670" s="6"/>
      <c r="BT2670" s="6"/>
      <c r="BU2670" s="6"/>
      <c r="BV2670" s="6"/>
      <c r="BW2670" s="6"/>
      <c r="BX2670" s="6"/>
      <c r="BY2670" s="6"/>
      <c r="BZ2670" s="6"/>
    </row>
    <row r="2671" spans="1:78" ht="21.75" customHeight="1">
      <c r="A2671" s="6"/>
      <c r="B2671" s="6"/>
      <c r="C2671" s="6"/>
      <c r="D2671" s="6"/>
      <c r="E2671" s="6"/>
      <c r="F2671" s="6"/>
      <c r="G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O2671" s="6"/>
      <c r="AP2671" s="6"/>
      <c r="BH2671" s="6"/>
      <c r="BI2671" s="6"/>
      <c r="BJ2671" s="6"/>
      <c r="BK2671" s="6"/>
      <c r="BL2671" s="6"/>
      <c r="BM2671" s="6"/>
      <c r="BN2671" s="6"/>
      <c r="BO2671" s="6"/>
      <c r="BP2671" s="6"/>
      <c r="BQ2671" s="6"/>
      <c r="BR2671" s="6"/>
      <c r="BS2671" s="6"/>
      <c r="BT2671" s="6"/>
      <c r="BU2671" s="6"/>
      <c r="BV2671" s="6"/>
      <c r="BW2671" s="6"/>
      <c r="BX2671" s="6"/>
      <c r="BY2671" s="6"/>
      <c r="BZ2671" s="6"/>
    </row>
    <row r="2672" spans="1:78" ht="21.75" customHeight="1">
      <c r="A2672" s="6"/>
      <c r="B2672" s="6"/>
      <c r="C2672" s="6"/>
      <c r="D2672" s="6"/>
      <c r="E2672" s="6"/>
      <c r="F2672" s="6"/>
      <c r="G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O2672" s="6"/>
      <c r="AP2672" s="6"/>
      <c r="BH2672" s="6"/>
      <c r="BI2672" s="6"/>
      <c r="BJ2672" s="6"/>
      <c r="BK2672" s="6"/>
      <c r="BL2672" s="6"/>
      <c r="BM2672" s="6"/>
      <c r="BN2672" s="6"/>
      <c r="BO2672" s="6"/>
      <c r="BP2672" s="6"/>
      <c r="BQ2672" s="6"/>
      <c r="BR2672" s="6"/>
      <c r="BS2672" s="6"/>
      <c r="BT2672" s="6"/>
      <c r="BU2672" s="6"/>
      <c r="BV2672" s="6"/>
      <c r="BW2672" s="6"/>
      <c r="BX2672" s="6"/>
      <c r="BY2672" s="6"/>
      <c r="BZ2672" s="6"/>
    </row>
    <row r="2673" spans="1:78" ht="21.75" customHeight="1">
      <c r="A2673" s="6"/>
      <c r="B2673" s="6"/>
      <c r="C2673" s="6"/>
      <c r="D2673" s="6"/>
      <c r="E2673" s="6"/>
      <c r="F2673" s="6"/>
      <c r="G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O2673" s="6"/>
      <c r="AP2673" s="6"/>
      <c r="BH2673" s="6"/>
      <c r="BI2673" s="6"/>
      <c r="BJ2673" s="6"/>
      <c r="BK2673" s="6"/>
      <c r="BL2673" s="6"/>
      <c r="BM2673" s="6"/>
      <c r="BN2673" s="6"/>
      <c r="BO2673" s="6"/>
      <c r="BP2673" s="6"/>
      <c r="BQ2673" s="6"/>
      <c r="BR2673" s="6"/>
      <c r="BS2673" s="6"/>
      <c r="BT2673" s="6"/>
      <c r="BU2673" s="6"/>
      <c r="BV2673" s="6"/>
      <c r="BW2673" s="6"/>
      <c r="BX2673" s="6"/>
      <c r="BY2673" s="6"/>
      <c r="BZ2673" s="6"/>
    </row>
    <row r="2674" spans="1:78" ht="21.75" customHeight="1">
      <c r="A2674" s="6"/>
      <c r="B2674" s="6"/>
      <c r="C2674" s="6"/>
      <c r="D2674" s="6"/>
      <c r="E2674" s="6"/>
      <c r="F2674" s="6"/>
      <c r="G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O2674" s="6"/>
      <c r="AP2674" s="6"/>
      <c r="BH2674" s="6"/>
      <c r="BI2674" s="6"/>
      <c r="BJ2674" s="6"/>
      <c r="BK2674" s="6"/>
      <c r="BL2674" s="6"/>
      <c r="BM2674" s="6"/>
      <c r="BN2674" s="6"/>
      <c r="BO2674" s="6"/>
      <c r="BP2674" s="6"/>
      <c r="BQ2674" s="6"/>
      <c r="BR2674" s="6"/>
      <c r="BS2674" s="6"/>
      <c r="BT2674" s="6"/>
      <c r="BU2674" s="6"/>
      <c r="BV2674" s="6"/>
      <c r="BW2674" s="6"/>
      <c r="BX2674" s="6"/>
      <c r="BY2674" s="6"/>
      <c r="BZ2674" s="6"/>
    </row>
    <row r="2675" spans="1:78" s="496" customFormat="1" ht="21.75" customHeight="1"/>
    <row r="2676" spans="1:78" s="496" customFormat="1" ht="21.75" customHeight="1"/>
    <row r="2677" spans="1:78" ht="21.75" customHeight="1">
      <c r="A2677" s="6"/>
      <c r="B2677" s="6"/>
      <c r="C2677" s="6"/>
      <c r="D2677" s="6"/>
      <c r="E2677" s="6"/>
      <c r="F2677" s="6"/>
      <c r="G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O2677" s="6"/>
      <c r="AP2677" s="6"/>
      <c r="BH2677" s="6"/>
      <c r="BI2677" s="6"/>
      <c r="BJ2677" s="6"/>
      <c r="BK2677" s="6"/>
      <c r="BL2677" s="6"/>
      <c r="BM2677" s="6"/>
      <c r="BN2677" s="6"/>
      <c r="BO2677" s="6"/>
      <c r="BP2677" s="6"/>
      <c r="BQ2677" s="6"/>
      <c r="BR2677" s="6"/>
      <c r="BS2677" s="6"/>
      <c r="BT2677" s="6"/>
      <c r="BU2677" s="6"/>
      <c r="BV2677" s="6"/>
      <c r="BW2677" s="6"/>
      <c r="BX2677" s="6"/>
      <c r="BY2677" s="6"/>
      <c r="BZ2677" s="6"/>
    </row>
    <row r="2678" spans="1:78" ht="21.75" customHeight="1">
      <c r="A2678" s="6"/>
      <c r="B2678" s="6"/>
      <c r="C2678" s="6"/>
      <c r="D2678" s="6"/>
      <c r="E2678" s="6"/>
      <c r="F2678" s="6"/>
      <c r="G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O2678" s="6"/>
      <c r="AP2678" s="6"/>
      <c r="BH2678" s="6"/>
      <c r="BI2678" s="6"/>
      <c r="BJ2678" s="6"/>
      <c r="BK2678" s="6"/>
      <c r="BL2678" s="6"/>
      <c r="BM2678" s="6"/>
      <c r="BN2678" s="6"/>
      <c r="BO2678" s="6"/>
      <c r="BP2678" s="6"/>
      <c r="BQ2678" s="6"/>
      <c r="BR2678" s="6"/>
      <c r="BS2678" s="6"/>
      <c r="BT2678" s="6"/>
      <c r="BU2678" s="6"/>
      <c r="BV2678" s="6"/>
      <c r="BW2678" s="6"/>
      <c r="BX2678" s="6"/>
      <c r="BY2678" s="6"/>
      <c r="BZ2678" s="6"/>
    </row>
    <row r="2679" spans="1:78" s="496" customFormat="1" ht="21.75" customHeight="1"/>
    <row r="2680" spans="1:78" s="496" customFormat="1" ht="21.75" customHeight="1"/>
    <row r="2681" spans="1:78" ht="21.75" customHeight="1">
      <c r="A2681" s="6"/>
      <c r="B2681" s="6"/>
      <c r="C2681" s="6"/>
      <c r="D2681" s="6"/>
      <c r="E2681" s="6"/>
      <c r="F2681" s="6"/>
      <c r="G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O2681" s="6"/>
      <c r="AP2681" s="6"/>
      <c r="BH2681" s="6"/>
      <c r="BI2681" s="6"/>
      <c r="BJ2681" s="6"/>
      <c r="BK2681" s="6"/>
      <c r="BL2681" s="6"/>
      <c r="BM2681" s="6"/>
      <c r="BN2681" s="6"/>
      <c r="BO2681" s="6"/>
      <c r="BP2681" s="6"/>
      <c r="BQ2681" s="6"/>
      <c r="BR2681" s="6"/>
      <c r="BS2681" s="6"/>
      <c r="BT2681" s="6"/>
      <c r="BU2681" s="6"/>
      <c r="BV2681" s="6"/>
      <c r="BW2681" s="6"/>
      <c r="BX2681" s="6"/>
      <c r="BY2681" s="6"/>
      <c r="BZ2681" s="6"/>
    </row>
    <row r="2682" spans="1:78" ht="21.75" customHeight="1">
      <c r="A2682" s="6"/>
      <c r="B2682" s="6"/>
      <c r="C2682" s="6"/>
      <c r="D2682" s="6"/>
      <c r="E2682" s="6"/>
      <c r="F2682" s="6"/>
      <c r="G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O2682" s="6"/>
      <c r="AP2682" s="6"/>
      <c r="BH2682" s="6"/>
      <c r="BI2682" s="6"/>
      <c r="BJ2682" s="6"/>
      <c r="BK2682" s="6"/>
      <c r="BL2682" s="6"/>
      <c r="BM2682" s="6"/>
      <c r="BN2682" s="6"/>
      <c r="BO2682" s="6"/>
      <c r="BP2682" s="6"/>
      <c r="BQ2682" s="6"/>
      <c r="BR2682" s="6"/>
      <c r="BS2682" s="6"/>
      <c r="BT2682" s="6"/>
      <c r="BU2682" s="6"/>
      <c r="BV2682" s="6"/>
      <c r="BW2682" s="6"/>
      <c r="BX2682" s="6"/>
      <c r="BY2682" s="6"/>
      <c r="BZ2682" s="6"/>
    </row>
    <row r="2683" spans="1:78" s="450" customFormat="1" ht="21.75" customHeight="1"/>
    <row r="2684" spans="1:78" s="448" customFormat="1" ht="21.75" customHeight="1"/>
    <row r="2685" spans="1:78" ht="21.75" customHeight="1">
      <c r="A2685" s="6"/>
      <c r="B2685" s="6"/>
      <c r="C2685" s="6"/>
      <c r="D2685" s="6"/>
      <c r="E2685" s="6"/>
      <c r="F2685" s="6"/>
      <c r="G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O2685" s="6"/>
      <c r="AP2685" s="6"/>
      <c r="BH2685" s="6"/>
      <c r="BI2685" s="6"/>
      <c r="BJ2685" s="6"/>
      <c r="BK2685" s="6"/>
      <c r="BL2685" s="6"/>
      <c r="BM2685" s="6"/>
      <c r="BN2685" s="6"/>
      <c r="BO2685" s="6"/>
      <c r="BP2685" s="6"/>
      <c r="BQ2685" s="6"/>
      <c r="BR2685" s="6"/>
      <c r="BS2685" s="6"/>
      <c r="BT2685" s="6"/>
      <c r="BU2685" s="6"/>
      <c r="BV2685" s="6"/>
      <c r="BW2685" s="6"/>
      <c r="BX2685" s="6"/>
      <c r="BY2685" s="6"/>
      <c r="BZ2685" s="6"/>
    </row>
    <row r="2686" spans="1:78" ht="21.75" customHeight="1">
      <c r="A2686" s="6"/>
      <c r="B2686" s="6"/>
      <c r="C2686" s="6"/>
      <c r="D2686" s="6"/>
      <c r="E2686" s="6"/>
      <c r="F2686" s="6"/>
      <c r="G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O2686" s="6"/>
      <c r="AP2686" s="6"/>
      <c r="BH2686" s="6"/>
      <c r="BI2686" s="6"/>
      <c r="BJ2686" s="6"/>
      <c r="BK2686" s="6"/>
      <c r="BL2686" s="6"/>
      <c r="BM2686" s="6"/>
      <c r="BN2686" s="6"/>
      <c r="BO2686" s="6"/>
      <c r="BP2686" s="6"/>
      <c r="BQ2686" s="6"/>
      <c r="BR2686" s="6"/>
      <c r="BS2686" s="6"/>
      <c r="BT2686" s="6"/>
      <c r="BU2686" s="6"/>
      <c r="BV2686" s="6"/>
      <c r="BW2686" s="6"/>
      <c r="BX2686" s="6"/>
      <c r="BY2686" s="6"/>
      <c r="BZ2686" s="6"/>
    </row>
    <row r="2687" spans="1:78" ht="21.75" customHeight="1">
      <c r="A2687" s="6"/>
      <c r="B2687" s="6"/>
      <c r="C2687" s="6"/>
      <c r="D2687" s="6"/>
      <c r="E2687" s="6"/>
      <c r="F2687" s="6"/>
      <c r="G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O2687" s="6"/>
      <c r="AP2687" s="6"/>
      <c r="BH2687" s="6"/>
      <c r="BI2687" s="6"/>
      <c r="BJ2687" s="6"/>
      <c r="BK2687" s="6"/>
      <c r="BL2687" s="6"/>
      <c r="BM2687" s="6"/>
      <c r="BN2687" s="6"/>
      <c r="BO2687" s="6"/>
      <c r="BP2687" s="6"/>
      <c r="BQ2687" s="6"/>
      <c r="BR2687" s="6"/>
      <c r="BS2687" s="6"/>
      <c r="BT2687" s="6"/>
      <c r="BU2687" s="6"/>
      <c r="BV2687" s="6"/>
      <c r="BW2687" s="6"/>
      <c r="BX2687" s="6"/>
      <c r="BY2687" s="6"/>
      <c r="BZ2687" s="6"/>
    </row>
    <row r="2688" spans="1:78" ht="21.75" customHeight="1">
      <c r="A2688" s="6"/>
      <c r="B2688" s="6"/>
      <c r="C2688" s="6"/>
      <c r="D2688" s="6"/>
      <c r="E2688" s="6"/>
      <c r="F2688" s="6"/>
      <c r="G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O2688" s="6"/>
      <c r="AP2688" s="6"/>
      <c r="BH2688" s="6"/>
      <c r="BI2688" s="6"/>
      <c r="BJ2688" s="6"/>
      <c r="BK2688" s="6"/>
      <c r="BL2688" s="6"/>
      <c r="BM2688" s="6"/>
      <c r="BN2688" s="6"/>
      <c r="BO2688" s="6"/>
      <c r="BP2688" s="6"/>
      <c r="BQ2688" s="6"/>
      <c r="BR2688" s="6"/>
      <c r="BS2688" s="6"/>
      <c r="BT2688" s="6"/>
      <c r="BU2688" s="6"/>
      <c r="BV2688" s="6"/>
      <c r="BW2688" s="6"/>
      <c r="BX2688" s="6"/>
      <c r="BY2688" s="6"/>
      <c r="BZ2688" s="6"/>
    </row>
    <row r="2689" spans="1:78" ht="21.75" customHeight="1">
      <c r="A2689" s="6"/>
      <c r="B2689" s="6"/>
      <c r="C2689" s="6"/>
      <c r="D2689" s="6"/>
      <c r="E2689" s="6"/>
      <c r="F2689" s="6"/>
      <c r="G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O2689" s="6"/>
      <c r="AP2689" s="6"/>
      <c r="BH2689" s="6"/>
      <c r="BI2689" s="6"/>
      <c r="BJ2689" s="6"/>
      <c r="BK2689" s="6"/>
      <c r="BL2689" s="6"/>
      <c r="BM2689" s="6"/>
      <c r="BN2689" s="6"/>
      <c r="BO2689" s="6"/>
      <c r="BP2689" s="6"/>
      <c r="BQ2689" s="6"/>
      <c r="BR2689" s="6"/>
      <c r="BS2689" s="6"/>
      <c r="BT2689" s="6"/>
      <c r="BU2689" s="6"/>
      <c r="BV2689" s="6"/>
      <c r="BW2689" s="6"/>
      <c r="BX2689" s="6"/>
      <c r="BY2689" s="6"/>
      <c r="BZ2689" s="6"/>
    </row>
    <row r="2690" spans="1:78" ht="21.75" customHeight="1">
      <c r="A2690" s="6"/>
      <c r="B2690" s="6"/>
      <c r="C2690" s="6"/>
      <c r="D2690" s="6"/>
      <c r="E2690" s="6"/>
      <c r="F2690" s="6"/>
      <c r="G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O2690" s="6"/>
      <c r="AP2690" s="6"/>
      <c r="BH2690" s="6"/>
      <c r="BI2690" s="6"/>
      <c r="BJ2690" s="6"/>
      <c r="BK2690" s="6"/>
      <c r="BL2690" s="6"/>
      <c r="BM2690" s="6"/>
      <c r="BN2690" s="6"/>
      <c r="BO2690" s="6"/>
      <c r="BP2690" s="6"/>
      <c r="BQ2690" s="6"/>
      <c r="BR2690" s="6"/>
      <c r="BS2690" s="6"/>
      <c r="BT2690" s="6"/>
      <c r="BU2690" s="6"/>
      <c r="BV2690" s="6"/>
      <c r="BW2690" s="6"/>
      <c r="BX2690" s="6"/>
      <c r="BY2690" s="6"/>
      <c r="BZ2690" s="6"/>
    </row>
    <row r="2691" spans="1:78" ht="21.75" customHeight="1">
      <c r="A2691" s="6"/>
      <c r="B2691" s="6"/>
      <c r="C2691" s="6"/>
      <c r="D2691" s="6"/>
      <c r="E2691" s="6"/>
      <c r="F2691" s="6"/>
      <c r="G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O2691" s="6"/>
      <c r="AP2691" s="6"/>
      <c r="BH2691" s="6"/>
      <c r="BI2691" s="6"/>
      <c r="BJ2691" s="6"/>
      <c r="BK2691" s="6"/>
      <c r="BL2691" s="6"/>
      <c r="BM2691" s="6"/>
      <c r="BN2691" s="6"/>
      <c r="BO2691" s="6"/>
      <c r="BP2691" s="6"/>
      <c r="BQ2691" s="6"/>
      <c r="BR2691" s="6"/>
      <c r="BS2691" s="6"/>
      <c r="BT2691" s="6"/>
      <c r="BU2691" s="6"/>
      <c r="BV2691" s="6"/>
      <c r="BW2691" s="6"/>
      <c r="BX2691" s="6"/>
      <c r="BY2691" s="6"/>
      <c r="BZ2691" s="6"/>
    </row>
    <row r="2692" spans="1:78" s="496" customFormat="1" ht="21.75" customHeight="1"/>
    <row r="2693" spans="1:78" ht="21.75" customHeight="1">
      <c r="A2693" s="6"/>
      <c r="B2693" s="6"/>
      <c r="C2693" s="6"/>
      <c r="D2693" s="6"/>
      <c r="E2693" s="6"/>
      <c r="F2693" s="6"/>
      <c r="G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O2693" s="6"/>
      <c r="AP2693" s="6"/>
      <c r="BH2693" s="6"/>
      <c r="BI2693" s="6"/>
      <c r="BJ2693" s="6"/>
      <c r="BK2693" s="6"/>
      <c r="BL2693" s="6"/>
      <c r="BM2693" s="6"/>
      <c r="BN2693" s="6"/>
      <c r="BO2693" s="6"/>
      <c r="BP2693" s="6"/>
      <c r="BQ2693" s="6"/>
      <c r="BR2693" s="6"/>
      <c r="BS2693" s="6"/>
      <c r="BT2693" s="6"/>
      <c r="BU2693" s="6"/>
      <c r="BV2693" s="6"/>
      <c r="BW2693" s="6"/>
      <c r="BX2693" s="6"/>
      <c r="BY2693" s="6"/>
      <c r="BZ2693" s="6"/>
    </row>
    <row r="2694" spans="1:78" ht="21.75" customHeight="1">
      <c r="A2694" s="6"/>
      <c r="B2694" s="6"/>
      <c r="C2694" s="6"/>
      <c r="D2694" s="6"/>
      <c r="E2694" s="6"/>
      <c r="F2694" s="6"/>
      <c r="G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O2694" s="6"/>
      <c r="AP2694" s="6"/>
      <c r="BH2694" s="6"/>
      <c r="BI2694" s="6"/>
      <c r="BJ2694" s="6"/>
      <c r="BK2694" s="6"/>
      <c r="BL2694" s="6"/>
      <c r="BM2694" s="6"/>
      <c r="BN2694" s="6"/>
      <c r="BO2694" s="6"/>
      <c r="BP2694" s="6"/>
      <c r="BQ2694" s="6"/>
      <c r="BR2694" s="6"/>
      <c r="BS2694" s="6"/>
      <c r="BT2694" s="6"/>
      <c r="BU2694" s="6"/>
      <c r="BV2694" s="6"/>
      <c r="BW2694" s="6"/>
      <c r="BX2694" s="6"/>
      <c r="BY2694" s="6"/>
      <c r="BZ2694" s="6"/>
    </row>
    <row r="2695" spans="1:78" ht="21.75" customHeight="1">
      <c r="A2695" s="6"/>
      <c r="B2695" s="6"/>
      <c r="C2695" s="6"/>
      <c r="D2695" s="6"/>
      <c r="E2695" s="6"/>
      <c r="F2695" s="6"/>
      <c r="G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O2695" s="6"/>
      <c r="AP2695" s="6"/>
      <c r="BH2695" s="6"/>
      <c r="BI2695" s="6"/>
      <c r="BJ2695" s="6"/>
      <c r="BK2695" s="6"/>
      <c r="BL2695" s="6"/>
      <c r="BM2695" s="6"/>
      <c r="BN2695" s="6"/>
      <c r="BO2695" s="6"/>
      <c r="BP2695" s="6"/>
      <c r="BQ2695" s="6"/>
      <c r="BR2695" s="6"/>
      <c r="BS2695" s="6"/>
      <c r="BT2695" s="6"/>
      <c r="BU2695" s="6"/>
      <c r="BV2695" s="6"/>
      <c r="BW2695" s="6"/>
      <c r="BX2695" s="6"/>
      <c r="BY2695" s="6"/>
      <c r="BZ2695" s="6"/>
    </row>
    <row r="2696" spans="1:78" ht="21.75" customHeight="1">
      <c r="A2696" s="6"/>
      <c r="B2696" s="6"/>
      <c r="C2696" s="6"/>
      <c r="D2696" s="6"/>
      <c r="E2696" s="6"/>
      <c r="F2696" s="6"/>
      <c r="G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O2696" s="6"/>
      <c r="AP2696" s="6"/>
      <c r="BH2696" s="6"/>
      <c r="BI2696" s="6"/>
      <c r="BJ2696" s="6"/>
      <c r="BK2696" s="6"/>
      <c r="BL2696" s="6"/>
      <c r="BM2696" s="6"/>
      <c r="BN2696" s="6"/>
      <c r="BO2696" s="6"/>
      <c r="BP2696" s="6"/>
      <c r="BQ2696" s="6"/>
      <c r="BR2696" s="6"/>
      <c r="BS2696" s="6"/>
      <c r="BT2696" s="6"/>
      <c r="BU2696" s="6"/>
      <c r="BV2696" s="6"/>
      <c r="BW2696" s="6"/>
      <c r="BX2696" s="6"/>
      <c r="BY2696" s="6"/>
      <c r="BZ2696" s="6"/>
    </row>
    <row r="2697" spans="1:78" s="472" customFormat="1" ht="21.75" customHeight="1"/>
    <row r="2698" spans="1:78" ht="21.75" customHeight="1">
      <c r="A2698" s="6"/>
      <c r="B2698" s="6"/>
      <c r="C2698" s="6"/>
      <c r="D2698" s="6"/>
      <c r="E2698" s="6"/>
      <c r="F2698" s="6"/>
      <c r="G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O2698" s="6"/>
      <c r="AP2698" s="6"/>
      <c r="BH2698" s="6"/>
      <c r="BI2698" s="6"/>
      <c r="BJ2698" s="6"/>
      <c r="BK2698" s="6"/>
      <c r="BL2698" s="6"/>
      <c r="BM2698" s="6"/>
      <c r="BN2698" s="6"/>
      <c r="BO2698" s="6"/>
      <c r="BP2698" s="6"/>
      <c r="BQ2698" s="6"/>
      <c r="BR2698" s="6"/>
      <c r="BS2698" s="6"/>
      <c r="BT2698" s="6"/>
      <c r="BU2698" s="6"/>
      <c r="BV2698" s="6"/>
      <c r="BW2698" s="6"/>
      <c r="BX2698" s="6"/>
      <c r="BY2698" s="6"/>
      <c r="BZ2698" s="6"/>
    </row>
    <row r="2699" spans="1:78" ht="21.75" customHeight="1">
      <c r="A2699" s="6"/>
      <c r="B2699" s="6"/>
      <c r="C2699" s="6"/>
      <c r="D2699" s="6"/>
      <c r="E2699" s="6"/>
      <c r="F2699" s="6"/>
      <c r="G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O2699" s="6"/>
      <c r="AP2699" s="6"/>
      <c r="BH2699" s="6"/>
      <c r="BI2699" s="6"/>
      <c r="BJ2699" s="6"/>
      <c r="BK2699" s="6"/>
      <c r="BL2699" s="6"/>
      <c r="BM2699" s="6"/>
      <c r="BN2699" s="6"/>
      <c r="BO2699" s="6"/>
      <c r="BP2699" s="6"/>
      <c r="BQ2699" s="6"/>
      <c r="BR2699" s="6"/>
      <c r="BS2699" s="6"/>
      <c r="BT2699" s="6"/>
      <c r="BU2699" s="6"/>
      <c r="BV2699" s="6"/>
      <c r="BW2699" s="6"/>
      <c r="BX2699" s="6"/>
      <c r="BY2699" s="6"/>
      <c r="BZ2699" s="6"/>
    </row>
    <row r="2700" spans="1:78" ht="21.75" customHeight="1">
      <c r="A2700" s="6"/>
      <c r="B2700" s="6"/>
      <c r="C2700" s="6"/>
      <c r="D2700" s="6"/>
      <c r="E2700" s="6"/>
      <c r="F2700" s="6"/>
      <c r="G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O2700" s="6"/>
      <c r="AP2700" s="6"/>
      <c r="BH2700" s="6"/>
      <c r="BI2700" s="6"/>
      <c r="BJ2700" s="6"/>
      <c r="BK2700" s="6"/>
      <c r="BL2700" s="6"/>
      <c r="BM2700" s="6"/>
      <c r="BN2700" s="6"/>
      <c r="BO2700" s="6"/>
      <c r="BP2700" s="6"/>
      <c r="BQ2700" s="6"/>
      <c r="BR2700" s="6"/>
      <c r="BS2700" s="6"/>
      <c r="BT2700" s="6"/>
      <c r="BU2700" s="6"/>
      <c r="BV2700" s="6"/>
      <c r="BW2700" s="6"/>
      <c r="BX2700" s="6"/>
      <c r="BY2700" s="6"/>
      <c r="BZ2700" s="6"/>
    </row>
    <row r="2701" spans="1:78" ht="21.75" customHeight="1">
      <c r="A2701" s="6"/>
      <c r="B2701" s="6"/>
      <c r="C2701" s="6"/>
      <c r="D2701" s="6"/>
      <c r="E2701" s="6"/>
      <c r="F2701" s="6"/>
      <c r="G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O2701" s="6"/>
      <c r="AP2701" s="6"/>
      <c r="BH2701" s="6"/>
      <c r="BI2701" s="6"/>
      <c r="BJ2701" s="6"/>
      <c r="BK2701" s="6"/>
      <c r="BL2701" s="6"/>
      <c r="BM2701" s="6"/>
      <c r="BN2701" s="6"/>
      <c r="BO2701" s="6"/>
      <c r="BP2701" s="6"/>
      <c r="BQ2701" s="6"/>
      <c r="BR2701" s="6"/>
      <c r="BS2701" s="6"/>
      <c r="BT2701" s="6"/>
      <c r="BU2701" s="6"/>
      <c r="BV2701" s="6"/>
      <c r="BW2701" s="6"/>
      <c r="BX2701" s="6"/>
      <c r="BY2701" s="6"/>
      <c r="BZ2701" s="6"/>
    </row>
    <row r="2702" spans="1:78" ht="21.75" customHeight="1">
      <c r="A2702" s="6"/>
      <c r="B2702" s="6"/>
      <c r="C2702" s="6"/>
      <c r="D2702" s="6"/>
      <c r="E2702" s="6"/>
      <c r="F2702" s="6"/>
      <c r="G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O2702" s="6"/>
      <c r="AP2702" s="6"/>
      <c r="BH2702" s="6"/>
      <c r="BI2702" s="6"/>
      <c r="BJ2702" s="6"/>
      <c r="BK2702" s="6"/>
      <c r="BL2702" s="6"/>
      <c r="BM2702" s="6"/>
      <c r="BN2702" s="6"/>
      <c r="BO2702" s="6"/>
      <c r="BP2702" s="6"/>
      <c r="BQ2702" s="6"/>
      <c r="BR2702" s="6"/>
      <c r="BS2702" s="6"/>
      <c r="BT2702" s="6"/>
      <c r="BU2702" s="6"/>
      <c r="BV2702" s="6"/>
      <c r="BW2702" s="6"/>
      <c r="BX2702" s="6"/>
      <c r="BY2702" s="6"/>
      <c r="BZ2702" s="6"/>
    </row>
    <row r="2703" spans="1:78" ht="21.75" customHeight="1">
      <c r="A2703" s="6"/>
      <c r="B2703" s="6"/>
      <c r="C2703" s="6"/>
      <c r="D2703" s="6"/>
      <c r="E2703" s="6"/>
      <c r="F2703" s="6"/>
      <c r="G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O2703" s="6"/>
      <c r="AP2703" s="6"/>
      <c r="BH2703" s="6"/>
      <c r="BI2703" s="6"/>
      <c r="BJ2703" s="6"/>
      <c r="BK2703" s="6"/>
      <c r="BL2703" s="6"/>
      <c r="BM2703" s="6"/>
      <c r="BN2703" s="6"/>
      <c r="BO2703" s="6"/>
      <c r="BP2703" s="6"/>
      <c r="BQ2703" s="6"/>
      <c r="BR2703" s="6"/>
      <c r="BS2703" s="6"/>
      <c r="BT2703" s="6"/>
      <c r="BU2703" s="6"/>
      <c r="BV2703" s="6"/>
      <c r="BW2703" s="6"/>
      <c r="BX2703" s="6"/>
      <c r="BY2703" s="6"/>
      <c r="BZ2703" s="6"/>
    </row>
    <row r="2704" spans="1:78" ht="21.75" customHeight="1">
      <c r="A2704" s="6"/>
      <c r="B2704" s="6"/>
      <c r="C2704" s="6"/>
      <c r="D2704" s="6"/>
      <c r="E2704" s="6"/>
      <c r="F2704" s="6"/>
      <c r="G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O2704" s="6"/>
      <c r="AP2704" s="6"/>
      <c r="BH2704" s="6"/>
      <c r="BI2704" s="6"/>
      <c r="BJ2704" s="6"/>
      <c r="BK2704" s="6"/>
      <c r="BL2704" s="6"/>
      <c r="BM2704" s="6"/>
      <c r="BN2704" s="6"/>
      <c r="BO2704" s="6"/>
      <c r="BP2704" s="6"/>
      <c r="BQ2704" s="6"/>
      <c r="BR2704" s="6"/>
      <c r="BS2704" s="6"/>
      <c r="BT2704" s="6"/>
      <c r="BU2704" s="6"/>
      <c r="BV2704" s="6"/>
      <c r="BW2704" s="6"/>
      <c r="BX2704" s="6"/>
      <c r="BY2704" s="6"/>
      <c r="BZ2704" s="6"/>
    </row>
    <row r="2705" spans="1:78" ht="21.75" customHeight="1">
      <c r="A2705" s="6"/>
      <c r="B2705" s="6"/>
      <c r="C2705" s="6"/>
      <c r="D2705" s="6"/>
      <c r="E2705" s="6"/>
      <c r="F2705" s="6"/>
      <c r="G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O2705" s="6"/>
      <c r="AP2705" s="6"/>
      <c r="BH2705" s="6"/>
      <c r="BI2705" s="6"/>
      <c r="BJ2705" s="6"/>
      <c r="BK2705" s="6"/>
      <c r="BL2705" s="6"/>
      <c r="BM2705" s="6"/>
      <c r="BN2705" s="6"/>
      <c r="BO2705" s="6"/>
      <c r="BP2705" s="6"/>
      <c r="BQ2705" s="6"/>
      <c r="BR2705" s="6"/>
      <c r="BS2705" s="6"/>
      <c r="BT2705" s="6"/>
      <c r="BU2705" s="6"/>
      <c r="BV2705" s="6"/>
      <c r="BW2705" s="6"/>
      <c r="BX2705" s="6"/>
      <c r="BY2705" s="6"/>
      <c r="BZ2705" s="6"/>
    </row>
    <row r="2706" spans="1:78" ht="21.75" customHeight="1">
      <c r="A2706" s="6"/>
      <c r="B2706" s="6"/>
      <c r="C2706" s="6"/>
      <c r="D2706" s="6"/>
      <c r="E2706" s="6"/>
      <c r="F2706" s="6"/>
      <c r="G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O2706" s="6"/>
      <c r="AP2706" s="6"/>
      <c r="BH2706" s="6"/>
      <c r="BI2706" s="6"/>
      <c r="BJ2706" s="6"/>
      <c r="BK2706" s="6"/>
      <c r="BL2706" s="6"/>
      <c r="BM2706" s="6"/>
      <c r="BN2706" s="6"/>
      <c r="BO2706" s="6"/>
      <c r="BP2706" s="6"/>
      <c r="BQ2706" s="6"/>
      <c r="BR2706" s="6"/>
      <c r="BS2706" s="6"/>
      <c r="BT2706" s="6"/>
      <c r="BU2706" s="6"/>
      <c r="BV2706" s="6"/>
      <c r="BW2706" s="6"/>
      <c r="BX2706" s="6"/>
      <c r="BY2706" s="6"/>
      <c r="BZ2706" s="6"/>
    </row>
    <row r="2707" spans="1:78" ht="21.75" customHeight="1">
      <c r="A2707" s="6"/>
      <c r="B2707" s="6"/>
      <c r="C2707" s="6"/>
      <c r="D2707" s="6"/>
      <c r="E2707" s="6"/>
      <c r="F2707" s="6"/>
      <c r="G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O2707" s="6"/>
      <c r="AP2707" s="6"/>
      <c r="BH2707" s="6"/>
      <c r="BI2707" s="6"/>
      <c r="BJ2707" s="6"/>
      <c r="BK2707" s="6"/>
      <c r="BL2707" s="6"/>
      <c r="BM2707" s="6"/>
      <c r="BN2707" s="6"/>
      <c r="BO2707" s="6"/>
      <c r="BP2707" s="6"/>
      <c r="BQ2707" s="6"/>
      <c r="BR2707" s="6"/>
      <c r="BS2707" s="6"/>
      <c r="BT2707" s="6"/>
      <c r="BU2707" s="6"/>
      <c r="BV2707" s="6"/>
      <c r="BW2707" s="6"/>
      <c r="BX2707" s="6"/>
      <c r="BY2707" s="6"/>
      <c r="BZ2707" s="6"/>
    </row>
    <row r="2708" spans="1:78" ht="21.75" customHeight="1">
      <c r="A2708" s="6"/>
      <c r="B2708" s="6"/>
      <c r="C2708" s="6"/>
      <c r="D2708" s="6"/>
      <c r="E2708" s="6"/>
      <c r="F2708" s="6"/>
      <c r="G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O2708" s="6"/>
      <c r="AP2708" s="6"/>
      <c r="BH2708" s="6"/>
      <c r="BI2708" s="6"/>
      <c r="BJ2708" s="6"/>
      <c r="BK2708" s="6"/>
      <c r="BL2708" s="6"/>
      <c r="BM2708" s="6"/>
      <c r="BN2708" s="6"/>
      <c r="BO2708" s="6"/>
      <c r="BP2708" s="6"/>
      <c r="BQ2708" s="6"/>
      <c r="BR2708" s="6"/>
      <c r="BS2708" s="6"/>
      <c r="BT2708" s="6"/>
      <c r="BU2708" s="6"/>
      <c r="BV2708" s="6"/>
      <c r="BW2708" s="6"/>
      <c r="BX2708" s="6"/>
      <c r="BY2708" s="6"/>
      <c r="BZ2708" s="6"/>
    </row>
    <row r="2709" spans="1:78" ht="21.75" customHeight="1">
      <c r="A2709" s="6"/>
      <c r="B2709" s="6"/>
      <c r="C2709" s="6"/>
      <c r="D2709" s="6"/>
      <c r="E2709" s="6"/>
      <c r="F2709" s="6"/>
      <c r="G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O2709" s="6"/>
      <c r="AP2709" s="6"/>
      <c r="BH2709" s="6"/>
      <c r="BI2709" s="6"/>
      <c r="BJ2709" s="6"/>
      <c r="BK2709" s="6"/>
      <c r="BL2709" s="6"/>
      <c r="BM2709" s="6"/>
      <c r="BN2709" s="6"/>
      <c r="BO2709" s="6"/>
      <c r="BP2709" s="6"/>
      <c r="BQ2709" s="6"/>
      <c r="BR2709" s="6"/>
      <c r="BS2709" s="6"/>
      <c r="BT2709" s="6"/>
      <c r="BU2709" s="6"/>
      <c r="BV2709" s="6"/>
      <c r="BW2709" s="6"/>
      <c r="BX2709" s="6"/>
      <c r="BY2709" s="6"/>
      <c r="BZ2709" s="6"/>
    </row>
    <row r="2710" spans="1:78" s="450" customFormat="1" ht="21.75" customHeight="1"/>
    <row r="2711" spans="1:78" s="476" customFormat="1" ht="21.75" customHeight="1"/>
    <row r="2712" spans="1:78" s="472" customFormat="1" ht="21.75" customHeight="1"/>
    <row r="2713" spans="1:78" s="505" customFormat="1" ht="21.75" customHeight="1"/>
    <row r="2714" spans="1:78" s="472" customFormat="1" ht="21.75" customHeight="1"/>
    <row r="2715" spans="1:78" s="472" customFormat="1" ht="21.75" customHeight="1"/>
    <row r="2716" spans="1:78" ht="21.75" customHeight="1">
      <c r="A2716" s="6"/>
      <c r="B2716" s="6"/>
      <c r="C2716" s="6"/>
      <c r="D2716" s="6"/>
      <c r="E2716" s="6"/>
      <c r="F2716" s="6"/>
      <c r="G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O2716" s="6"/>
      <c r="AP2716" s="6"/>
      <c r="BH2716" s="6"/>
      <c r="BI2716" s="6"/>
      <c r="BJ2716" s="6"/>
      <c r="BK2716" s="6"/>
      <c r="BL2716" s="6"/>
      <c r="BM2716" s="6"/>
      <c r="BN2716" s="6"/>
      <c r="BO2716" s="6"/>
      <c r="BP2716" s="6"/>
      <c r="BQ2716" s="6"/>
      <c r="BR2716" s="6"/>
      <c r="BS2716" s="6"/>
      <c r="BT2716" s="6"/>
      <c r="BU2716" s="6"/>
      <c r="BV2716" s="6"/>
      <c r="BW2716" s="6"/>
      <c r="BX2716" s="6"/>
      <c r="BY2716" s="6"/>
      <c r="BZ2716" s="6"/>
    </row>
    <row r="2717" spans="1:78" ht="21.75" customHeight="1">
      <c r="A2717" s="6"/>
      <c r="B2717" s="6"/>
      <c r="C2717" s="6"/>
      <c r="D2717" s="6"/>
      <c r="E2717" s="6"/>
      <c r="F2717" s="6"/>
      <c r="G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O2717" s="6"/>
      <c r="AP2717" s="6"/>
      <c r="BH2717" s="6"/>
      <c r="BI2717" s="6"/>
      <c r="BJ2717" s="6"/>
      <c r="BK2717" s="6"/>
      <c r="BL2717" s="6"/>
      <c r="BM2717" s="6"/>
      <c r="BN2717" s="6"/>
      <c r="BO2717" s="6"/>
      <c r="BP2717" s="6"/>
      <c r="BQ2717" s="6"/>
      <c r="BR2717" s="6"/>
      <c r="BS2717" s="6"/>
      <c r="BT2717" s="6"/>
      <c r="BU2717" s="6"/>
      <c r="BV2717" s="6"/>
      <c r="BW2717" s="6"/>
      <c r="BX2717" s="6"/>
      <c r="BY2717" s="6"/>
      <c r="BZ2717" s="6"/>
    </row>
    <row r="2718" spans="1:78" s="472" customFormat="1" ht="21.75" customHeight="1"/>
    <row r="2719" spans="1:78" ht="21.75" customHeight="1">
      <c r="A2719" s="6"/>
      <c r="B2719" s="6"/>
      <c r="C2719" s="6"/>
      <c r="D2719" s="6"/>
      <c r="E2719" s="6"/>
      <c r="F2719" s="6"/>
      <c r="G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O2719" s="6"/>
      <c r="AP2719" s="6"/>
      <c r="BH2719" s="6"/>
      <c r="BI2719" s="6"/>
      <c r="BJ2719" s="6"/>
      <c r="BK2719" s="6"/>
      <c r="BL2719" s="6"/>
      <c r="BM2719" s="6"/>
      <c r="BN2719" s="6"/>
      <c r="BO2719" s="6"/>
      <c r="BP2719" s="6"/>
      <c r="BQ2719" s="6"/>
      <c r="BR2719" s="6"/>
      <c r="BS2719" s="6"/>
      <c r="BT2719" s="6"/>
      <c r="BU2719" s="6"/>
      <c r="BV2719" s="6"/>
      <c r="BW2719" s="6"/>
      <c r="BX2719" s="6"/>
      <c r="BY2719" s="6"/>
      <c r="BZ2719" s="6"/>
    </row>
    <row r="2720" spans="1:78" s="497" customFormat="1" ht="21.75" customHeight="1"/>
    <row r="2721" spans="1:78" s="448" customFormat="1" ht="21.75" customHeight="1"/>
    <row r="2722" spans="1:78" ht="21.75" customHeight="1">
      <c r="A2722" s="6"/>
      <c r="B2722" s="6"/>
      <c r="C2722" s="6"/>
      <c r="D2722" s="6"/>
      <c r="E2722" s="6"/>
      <c r="F2722" s="6"/>
      <c r="G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O2722" s="6"/>
      <c r="AP2722" s="6"/>
      <c r="BH2722" s="6"/>
      <c r="BI2722" s="6"/>
      <c r="BJ2722" s="6"/>
      <c r="BK2722" s="6"/>
      <c r="BL2722" s="6"/>
      <c r="BM2722" s="6"/>
      <c r="BN2722" s="6"/>
      <c r="BO2722" s="6"/>
      <c r="BP2722" s="6"/>
      <c r="BQ2722" s="6"/>
      <c r="BR2722" s="6"/>
      <c r="BS2722" s="6"/>
      <c r="BT2722" s="6"/>
      <c r="BU2722" s="6"/>
      <c r="BV2722" s="6"/>
      <c r="BW2722" s="6"/>
      <c r="BX2722" s="6"/>
      <c r="BY2722" s="6"/>
      <c r="BZ2722" s="6"/>
    </row>
    <row r="2723" spans="1:78" ht="21.75" customHeight="1">
      <c r="A2723" s="6"/>
      <c r="B2723" s="6"/>
      <c r="C2723" s="6"/>
      <c r="D2723" s="6"/>
      <c r="E2723" s="6"/>
      <c r="F2723" s="6"/>
      <c r="G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O2723" s="6"/>
      <c r="AP2723" s="6"/>
      <c r="BH2723" s="6"/>
      <c r="BI2723" s="6"/>
      <c r="BJ2723" s="6"/>
      <c r="BK2723" s="6"/>
      <c r="BL2723" s="6"/>
      <c r="BM2723" s="6"/>
      <c r="BN2723" s="6"/>
      <c r="BO2723" s="6"/>
      <c r="BP2723" s="6"/>
      <c r="BQ2723" s="6"/>
      <c r="BR2723" s="6"/>
      <c r="BS2723" s="6"/>
      <c r="BT2723" s="6"/>
      <c r="BU2723" s="6"/>
      <c r="BV2723" s="6"/>
      <c r="BW2723" s="6"/>
      <c r="BX2723" s="6"/>
      <c r="BY2723" s="6"/>
      <c r="BZ2723" s="6"/>
    </row>
    <row r="2724" spans="1:78" ht="21.75" customHeight="1">
      <c r="A2724" s="6"/>
      <c r="B2724" s="6"/>
      <c r="C2724" s="6"/>
      <c r="D2724" s="6"/>
      <c r="E2724" s="6"/>
      <c r="F2724" s="6"/>
      <c r="G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O2724" s="6"/>
      <c r="AP2724" s="6"/>
      <c r="BH2724" s="6"/>
      <c r="BI2724" s="6"/>
      <c r="BJ2724" s="6"/>
      <c r="BK2724" s="6"/>
      <c r="BL2724" s="6"/>
      <c r="BM2724" s="6"/>
      <c r="BN2724" s="6"/>
      <c r="BO2724" s="6"/>
      <c r="BP2724" s="6"/>
      <c r="BQ2724" s="6"/>
      <c r="BR2724" s="6"/>
      <c r="BS2724" s="6"/>
      <c r="BT2724" s="6"/>
      <c r="BU2724" s="6"/>
      <c r="BV2724" s="6"/>
      <c r="BW2724" s="6"/>
      <c r="BX2724" s="6"/>
      <c r="BY2724" s="6"/>
      <c r="BZ2724" s="6"/>
    </row>
    <row r="2725" spans="1:78" ht="21.75" customHeight="1">
      <c r="A2725" s="6"/>
      <c r="B2725" s="6"/>
      <c r="C2725" s="6"/>
      <c r="D2725" s="6"/>
      <c r="E2725" s="6"/>
      <c r="F2725" s="6"/>
      <c r="G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O2725" s="6"/>
      <c r="AP2725" s="6"/>
      <c r="BH2725" s="6"/>
      <c r="BI2725" s="6"/>
      <c r="BJ2725" s="6"/>
      <c r="BK2725" s="6"/>
      <c r="BL2725" s="6"/>
      <c r="BM2725" s="6"/>
      <c r="BN2725" s="6"/>
      <c r="BO2725" s="6"/>
      <c r="BP2725" s="6"/>
      <c r="BQ2725" s="6"/>
      <c r="BR2725" s="6"/>
      <c r="BS2725" s="6"/>
      <c r="BT2725" s="6"/>
      <c r="BU2725" s="6"/>
      <c r="BV2725" s="6"/>
      <c r="BW2725" s="6"/>
      <c r="BX2725" s="6"/>
      <c r="BY2725" s="6"/>
      <c r="BZ2725" s="6"/>
    </row>
    <row r="2726" spans="1:78" s="496" customFormat="1" ht="21.75" customHeight="1"/>
    <row r="2727" spans="1:78" ht="21.75" customHeight="1">
      <c r="A2727" s="6"/>
      <c r="B2727" s="6"/>
      <c r="C2727" s="6"/>
      <c r="D2727" s="6"/>
      <c r="E2727" s="6"/>
      <c r="F2727" s="6"/>
      <c r="G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O2727" s="6"/>
      <c r="AP2727" s="6"/>
      <c r="BH2727" s="6"/>
      <c r="BI2727" s="6"/>
      <c r="BJ2727" s="6"/>
      <c r="BK2727" s="6"/>
      <c r="BL2727" s="6"/>
      <c r="BM2727" s="6"/>
      <c r="BN2727" s="6"/>
      <c r="BO2727" s="6"/>
      <c r="BP2727" s="6"/>
      <c r="BQ2727" s="6"/>
      <c r="BR2727" s="6"/>
      <c r="BS2727" s="6"/>
      <c r="BT2727" s="6"/>
      <c r="BU2727" s="6"/>
      <c r="BV2727" s="6"/>
      <c r="BW2727" s="6"/>
      <c r="BX2727" s="6"/>
      <c r="BY2727" s="6"/>
      <c r="BZ2727" s="6"/>
    </row>
    <row r="2728" spans="1:78" ht="21.75" customHeight="1">
      <c r="A2728" s="6"/>
      <c r="B2728" s="6"/>
      <c r="C2728" s="6"/>
      <c r="D2728" s="6"/>
      <c r="E2728" s="6"/>
      <c r="F2728" s="6"/>
      <c r="G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O2728" s="6"/>
      <c r="AP2728" s="6"/>
      <c r="BH2728" s="6"/>
      <c r="BI2728" s="6"/>
      <c r="BJ2728" s="6"/>
      <c r="BK2728" s="6"/>
      <c r="BL2728" s="6"/>
      <c r="BM2728" s="6"/>
      <c r="BN2728" s="6"/>
      <c r="BO2728" s="6"/>
      <c r="BP2728" s="6"/>
      <c r="BQ2728" s="6"/>
      <c r="BR2728" s="6"/>
      <c r="BS2728" s="6"/>
      <c r="BT2728" s="6"/>
      <c r="BU2728" s="6"/>
      <c r="BV2728" s="6"/>
      <c r="BW2728" s="6"/>
      <c r="BX2728" s="6"/>
      <c r="BY2728" s="6"/>
      <c r="BZ2728" s="6"/>
    </row>
    <row r="2729" spans="1:78" ht="21.75" customHeight="1">
      <c r="A2729" s="6"/>
      <c r="B2729" s="6"/>
      <c r="C2729" s="6"/>
      <c r="D2729" s="6"/>
      <c r="E2729" s="6"/>
      <c r="F2729" s="6"/>
      <c r="G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O2729" s="6"/>
      <c r="AP2729" s="6"/>
      <c r="BH2729" s="6"/>
      <c r="BI2729" s="6"/>
      <c r="BJ2729" s="6"/>
      <c r="BK2729" s="6"/>
      <c r="BL2729" s="6"/>
      <c r="BM2729" s="6"/>
      <c r="BN2729" s="6"/>
      <c r="BO2729" s="6"/>
      <c r="BP2729" s="6"/>
      <c r="BQ2729" s="6"/>
      <c r="BR2729" s="6"/>
      <c r="BS2729" s="6"/>
      <c r="BT2729" s="6"/>
      <c r="BU2729" s="6"/>
      <c r="BV2729" s="6"/>
      <c r="BW2729" s="6"/>
      <c r="BX2729" s="6"/>
      <c r="BY2729" s="6"/>
      <c r="BZ2729" s="6"/>
    </row>
    <row r="2730" spans="1:78" ht="21.75" customHeight="1">
      <c r="A2730" s="6"/>
      <c r="B2730" s="6"/>
      <c r="C2730" s="6"/>
      <c r="D2730" s="6"/>
      <c r="E2730" s="6"/>
      <c r="F2730" s="6"/>
      <c r="G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O2730" s="6"/>
      <c r="AP2730" s="6"/>
      <c r="BH2730" s="6"/>
      <c r="BI2730" s="6"/>
      <c r="BJ2730" s="6"/>
      <c r="BK2730" s="6"/>
      <c r="BL2730" s="6"/>
      <c r="BM2730" s="6"/>
      <c r="BN2730" s="6"/>
      <c r="BO2730" s="6"/>
      <c r="BP2730" s="6"/>
      <c r="BQ2730" s="6"/>
      <c r="BR2730" s="6"/>
      <c r="BS2730" s="6"/>
      <c r="BT2730" s="6"/>
      <c r="BU2730" s="6"/>
      <c r="BV2730" s="6"/>
      <c r="BW2730" s="6"/>
      <c r="BX2730" s="6"/>
      <c r="BY2730" s="6"/>
      <c r="BZ2730" s="6"/>
    </row>
    <row r="2731" spans="1:78" s="496" customFormat="1" ht="21.75" customHeight="1"/>
    <row r="2732" spans="1:78" s="450" customFormat="1" ht="21.75" customHeight="1"/>
    <row r="2733" spans="1:78" s="448" customFormat="1" ht="21.75" customHeight="1"/>
    <row r="2734" spans="1:78" ht="21.75" customHeight="1">
      <c r="A2734" s="6"/>
      <c r="B2734" s="6"/>
      <c r="C2734" s="6"/>
      <c r="D2734" s="6"/>
      <c r="E2734" s="6"/>
      <c r="F2734" s="6"/>
      <c r="G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O2734" s="6"/>
      <c r="AP2734" s="6"/>
      <c r="BH2734" s="6"/>
      <c r="BI2734" s="6"/>
      <c r="BJ2734" s="6"/>
      <c r="BK2734" s="6"/>
      <c r="BL2734" s="6"/>
      <c r="BM2734" s="6"/>
      <c r="BN2734" s="6"/>
      <c r="BO2734" s="6"/>
      <c r="BP2734" s="6"/>
      <c r="BQ2734" s="6"/>
      <c r="BR2734" s="6"/>
      <c r="BS2734" s="6"/>
      <c r="BT2734" s="6"/>
      <c r="BU2734" s="6"/>
      <c r="BV2734" s="6"/>
      <c r="BW2734" s="6"/>
      <c r="BX2734" s="6"/>
      <c r="BY2734" s="6"/>
      <c r="BZ2734" s="6"/>
    </row>
    <row r="2735" spans="1:78" ht="21.75" customHeight="1">
      <c r="A2735" s="6"/>
      <c r="B2735" s="6"/>
      <c r="C2735" s="6"/>
      <c r="D2735" s="6"/>
      <c r="E2735" s="6"/>
      <c r="F2735" s="6"/>
      <c r="G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O2735" s="6"/>
      <c r="AP2735" s="6"/>
      <c r="BH2735" s="6"/>
      <c r="BI2735" s="6"/>
      <c r="BJ2735" s="6"/>
      <c r="BK2735" s="6"/>
      <c r="BL2735" s="6"/>
      <c r="BM2735" s="6"/>
      <c r="BN2735" s="6"/>
      <c r="BO2735" s="6"/>
      <c r="BP2735" s="6"/>
      <c r="BQ2735" s="6"/>
      <c r="BR2735" s="6"/>
      <c r="BS2735" s="6"/>
      <c r="BT2735" s="6"/>
      <c r="BU2735" s="6"/>
      <c r="BV2735" s="6"/>
      <c r="BW2735" s="6"/>
      <c r="BX2735" s="6"/>
      <c r="BY2735" s="6"/>
      <c r="BZ2735" s="6"/>
    </row>
    <row r="2736" spans="1:78" ht="21.75" customHeight="1">
      <c r="A2736" s="6"/>
      <c r="B2736" s="6"/>
      <c r="C2736" s="6"/>
      <c r="D2736" s="6"/>
      <c r="E2736" s="6"/>
      <c r="F2736" s="6"/>
      <c r="G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O2736" s="6"/>
      <c r="AP2736" s="6"/>
      <c r="BH2736" s="6"/>
      <c r="BI2736" s="6"/>
      <c r="BJ2736" s="6"/>
      <c r="BK2736" s="6"/>
      <c r="BL2736" s="6"/>
      <c r="BM2736" s="6"/>
      <c r="BN2736" s="6"/>
      <c r="BO2736" s="6"/>
      <c r="BP2736" s="6"/>
      <c r="BQ2736" s="6"/>
      <c r="BR2736" s="6"/>
      <c r="BS2736" s="6"/>
      <c r="BT2736" s="6"/>
      <c r="BU2736" s="6"/>
      <c r="BV2736" s="6"/>
      <c r="BW2736" s="6"/>
      <c r="BX2736" s="6"/>
      <c r="BY2736" s="6"/>
      <c r="BZ2736" s="6"/>
    </row>
    <row r="2737" spans="1:78" ht="21.75" customHeight="1">
      <c r="A2737" s="6"/>
      <c r="B2737" s="6"/>
      <c r="C2737" s="6"/>
      <c r="D2737" s="6"/>
      <c r="E2737" s="6"/>
      <c r="F2737" s="6"/>
      <c r="G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O2737" s="6"/>
      <c r="AP2737" s="6"/>
      <c r="BH2737" s="6"/>
      <c r="BI2737" s="6"/>
      <c r="BJ2737" s="6"/>
      <c r="BK2737" s="6"/>
      <c r="BL2737" s="6"/>
      <c r="BM2737" s="6"/>
      <c r="BN2737" s="6"/>
      <c r="BO2737" s="6"/>
      <c r="BP2737" s="6"/>
      <c r="BQ2737" s="6"/>
      <c r="BR2737" s="6"/>
      <c r="BS2737" s="6"/>
      <c r="BT2737" s="6"/>
      <c r="BU2737" s="6"/>
      <c r="BV2737" s="6"/>
      <c r="BW2737" s="6"/>
      <c r="BX2737" s="6"/>
      <c r="BY2737" s="6"/>
      <c r="BZ2737" s="6"/>
    </row>
    <row r="2738" spans="1:78" ht="21.75" customHeight="1">
      <c r="A2738" s="6"/>
      <c r="B2738" s="6"/>
      <c r="C2738" s="6"/>
      <c r="D2738" s="6"/>
      <c r="E2738" s="6"/>
      <c r="F2738" s="6"/>
      <c r="G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O2738" s="6"/>
      <c r="AP2738" s="6"/>
      <c r="BH2738" s="6"/>
      <c r="BI2738" s="6"/>
      <c r="BJ2738" s="6"/>
      <c r="BK2738" s="6"/>
      <c r="BL2738" s="6"/>
      <c r="BM2738" s="6"/>
      <c r="BN2738" s="6"/>
      <c r="BO2738" s="6"/>
      <c r="BP2738" s="6"/>
      <c r="BQ2738" s="6"/>
      <c r="BR2738" s="6"/>
      <c r="BS2738" s="6"/>
      <c r="BT2738" s="6"/>
      <c r="BU2738" s="6"/>
      <c r="BV2738" s="6"/>
      <c r="BW2738" s="6"/>
      <c r="BX2738" s="6"/>
      <c r="BY2738" s="6"/>
      <c r="BZ2738" s="6"/>
    </row>
    <row r="2739" spans="1:78" ht="21.75" customHeight="1">
      <c r="A2739" s="6"/>
      <c r="B2739" s="6"/>
      <c r="C2739" s="6"/>
      <c r="D2739" s="6"/>
      <c r="E2739" s="6"/>
      <c r="F2739" s="6"/>
      <c r="G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O2739" s="6"/>
      <c r="AP2739" s="6"/>
      <c r="BH2739" s="6"/>
      <c r="BI2739" s="6"/>
      <c r="BJ2739" s="6"/>
      <c r="BK2739" s="6"/>
      <c r="BL2739" s="6"/>
      <c r="BM2739" s="6"/>
      <c r="BN2739" s="6"/>
      <c r="BO2739" s="6"/>
      <c r="BP2739" s="6"/>
      <c r="BQ2739" s="6"/>
      <c r="BR2739" s="6"/>
      <c r="BS2739" s="6"/>
      <c r="BT2739" s="6"/>
      <c r="BU2739" s="6"/>
      <c r="BV2739" s="6"/>
      <c r="BW2739" s="6"/>
      <c r="BX2739" s="6"/>
      <c r="BY2739" s="6"/>
      <c r="BZ2739" s="6"/>
    </row>
    <row r="2740" spans="1:78" ht="21.75" customHeight="1">
      <c r="A2740" s="6"/>
      <c r="B2740" s="6"/>
      <c r="C2740" s="6"/>
      <c r="D2740" s="6"/>
      <c r="E2740" s="6"/>
      <c r="F2740" s="6"/>
      <c r="G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O2740" s="6"/>
      <c r="AP2740" s="6"/>
      <c r="BH2740" s="6"/>
      <c r="BI2740" s="6"/>
      <c r="BJ2740" s="6"/>
      <c r="BK2740" s="6"/>
      <c r="BL2740" s="6"/>
      <c r="BM2740" s="6"/>
      <c r="BN2740" s="6"/>
      <c r="BO2740" s="6"/>
      <c r="BP2740" s="6"/>
      <c r="BQ2740" s="6"/>
      <c r="BR2740" s="6"/>
      <c r="BS2740" s="6"/>
      <c r="BT2740" s="6"/>
      <c r="BU2740" s="6"/>
      <c r="BV2740" s="6"/>
      <c r="BW2740" s="6"/>
      <c r="BX2740" s="6"/>
      <c r="BY2740" s="6"/>
      <c r="BZ2740" s="6"/>
    </row>
    <row r="2741" spans="1:78" ht="21.75" customHeight="1">
      <c r="A2741" s="6"/>
      <c r="B2741" s="6"/>
      <c r="C2741" s="6"/>
      <c r="D2741" s="6"/>
      <c r="E2741" s="6"/>
      <c r="F2741" s="6"/>
      <c r="G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O2741" s="6"/>
      <c r="AP2741" s="6"/>
      <c r="BH2741" s="6"/>
      <c r="BI2741" s="6"/>
      <c r="BJ2741" s="6"/>
      <c r="BK2741" s="6"/>
      <c r="BL2741" s="6"/>
      <c r="BM2741" s="6"/>
      <c r="BN2741" s="6"/>
      <c r="BO2741" s="6"/>
      <c r="BP2741" s="6"/>
      <c r="BQ2741" s="6"/>
      <c r="BR2741" s="6"/>
      <c r="BS2741" s="6"/>
      <c r="BT2741" s="6"/>
      <c r="BU2741" s="6"/>
      <c r="BV2741" s="6"/>
      <c r="BW2741" s="6"/>
      <c r="BX2741" s="6"/>
      <c r="BY2741" s="6"/>
      <c r="BZ2741" s="6"/>
    </row>
    <row r="2742" spans="1:78" ht="21.75" customHeight="1">
      <c r="A2742" s="6"/>
      <c r="B2742" s="6"/>
      <c r="C2742" s="6"/>
      <c r="D2742" s="6"/>
      <c r="E2742" s="6"/>
      <c r="F2742" s="6"/>
      <c r="G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O2742" s="6"/>
      <c r="AP2742" s="6"/>
      <c r="BH2742" s="6"/>
      <c r="BI2742" s="6"/>
      <c r="BJ2742" s="6"/>
      <c r="BK2742" s="6"/>
      <c r="BL2742" s="6"/>
      <c r="BM2742" s="6"/>
      <c r="BN2742" s="6"/>
      <c r="BO2742" s="6"/>
      <c r="BP2742" s="6"/>
      <c r="BQ2742" s="6"/>
      <c r="BR2742" s="6"/>
      <c r="BS2742" s="6"/>
      <c r="BT2742" s="6"/>
      <c r="BU2742" s="6"/>
      <c r="BV2742" s="6"/>
      <c r="BW2742" s="6"/>
      <c r="BX2742" s="6"/>
      <c r="BY2742" s="6"/>
      <c r="BZ2742" s="6"/>
    </row>
    <row r="2743" spans="1:78" ht="21.75" customHeight="1">
      <c r="A2743" s="6"/>
      <c r="B2743" s="6"/>
      <c r="C2743" s="6"/>
      <c r="D2743" s="6"/>
      <c r="E2743" s="6"/>
      <c r="F2743" s="6"/>
      <c r="G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O2743" s="6"/>
      <c r="AP2743" s="6"/>
      <c r="BH2743" s="6"/>
      <c r="BI2743" s="6"/>
      <c r="BJ2743" s="6"/>
      <c r="BK2743" s="6"/>
      <c r="BL2743" s="6"/>
      <c r="BM2743" s="6"/>
      <c r="BN2743" s="6"/>
      <c r="BO2743" s="6"/>
      <c r="BP2743" s="6"/>
      <c r="BQ2743" s="6"/>
      <c r="BR2743" s="6"/>
      <c r="BS2743" s="6"/>
      <c r="BT2743" s="6"/>
      <c r="BU2743" s="6"/>
      <c r="BV2743" s="6"/>
      <c r="BW2743" s="6"/>
      <c r="BX2743" s="6"/>
      <c r="BY2743" s="6"/>
      <c r="BZ2743" s="6"/>
    </row>
    <row r="2744" spans="1:78" ht="21.75" customHeight="1">
      <c r="A2744" s="6"/>
      <c r="B2744" s="6"/>
      <c r="C2744" s="6"/>
      <c r="D2744" s="6"/>
      <c r="E2744" s="6"/>
      <c r="F2744" s="6"/>
      <c r="G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O2744" s="6"/>
      <c r="AP2744" s="6"/>
      <c r="BH2744" s="6"/>
      <c r="BI2744" s="6"/>
      <c r="BJ2744" s="6"/>
      <c r="BK2744" s="6"/>
      <c r="BL2744" s="6"/>
      <c r="BM2744" s="6"/>
      <c r="BN2744" s="6"/>
      <c r="BO2744" s="6"/>
      <c r="BP2744" s="6"/>
      <c r="BQ2744" s="6"/>
      <c r="BR2744" s="6"/>
      <c r="BS2744" s="6"/>
      <c r="BT2744" s="6"/>
      <c r="BU2744" s="6"/>
      <c r="BV2744" s="6"/>
      <c r="BW2744" s="6"/>
      <c r="BX2744" s="6"/>
      <c r="BY2744" s="6"/>
      <c r="BZ2744" s="6"/>
    </row>
    <row r="2745" spans="1:78" ht="21.75" customHeight="1">
      <c r="A2745" s="6"/>
      <c r="B2745" s="6"/>
      <c r="C2745" s="6"/>
      <c r="D2745" s="6"/>
      <c r="E2745" s="6"/>
      <c r="F2745" s="6"/>
      <c r="G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O2745" s="6"/>
      <c r="AP2745" s="6"/>
      <c r="BH2745" s="6"/>
      <c r="BI2745" s="6"/>
      <c r="BJ2745" s="6"/>
      <c r="BK2745" s="6"/>
      <c r="BL2745" s="6"/>
      <c r="BM2745" s="6"/>
      <c r="BN2745" s="6"/>
      <c r="BO2745" s="6"/>
      <c r="BP2745" s="6"/>
      <c r="BQ2745" s="6"/>
      <c r="BR2745" s="6"/>
      <c r="BS2745" s="6"/>
      <c r="BT2745" s="6"/>
      <c r="BU2745" s="6"/>
      <c r="BV2745" s="6"/>
      <c r="BW2745" s="6"/>
      <c r="BX2745" s="6"/>
      <c r="BY2745" s="6"/>
      <c r="BZ2745" s="6"/>
    </row>
    <row r="2746" spans="1:78" s="496" customFormat="1" ht="21.75" customHeight="1"/>
    <row r="2747" spans="1:78" ht="21.75" customHeight="1">
      <c r="A2747" s="6"/>
      <c r="B2747" s="6"/>
      <c r="C2747" s="6"/>
      <c r="D2747" s="6"/>
      <c r="E2747" s="6"/>
      <c r="F2747" s="6"/>
      <c r="G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O2747" s="6"/>
      <c r="AP2747" s="6"/>
      <c r="BH2747" s="6"/>
      <c r="BI2747" s="6"/>
      <c r="BJ2747" s="6"/>
      <c r="BK2747" s="6"/>
      <c r="BL2747" s="6"/>
      <c r="BM2747" s="6"/>
      <c r="BN2747" s="6"/>
      <c r="BO2747" s="6"/>
      <c r="BP2747" s="6"/>
      <c r="BQ2747" s="6"/>
      <c r="BR2747" s="6"/>
      <c r="BS2747" s="6"/>
      <c r="BT2747" s="6"/>
      <c r="BU2747" s="6"/>
      <c r="BV2747" s="6"/>
      <c r="BW2747" s="6"/>
      <c r="BX2747" s="6"/>
      <c r="BY2747" s="6"/>
      <c r="BZ2747" s="6"/>
    </row>
    <row r="2748" spans="1:78" ht="21.75" customHeight="1">
      <c r="A2748" s="6"/>
      <c r="B2748" s="6"/>
      <c r="C2748" s="6"/>
      <c r="D2748" s="6"/>
      <c r="E2748" s="6"/>
      <c r="F2748" s="6"/>
      <c r="G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O2748" s="6"/>
      <c r="AP2748" s="6"/>
      <c r="BH2748" s="6"/>
      <c r="BI2748" s="6"/>
      <c r="BJ2748" s="6"/>
      <c r="BK2748" s="6"/>
      <c r="BL2748" s="6"/>
      <c r="BM2748" s="6"/>
      <c r="BN2748" s="6"/>
      <c r="BO2748" s="6"/>
      <c r="BP2748" s="6"/>
      <c r="BQ2748" s="6"/>
      <c r="BR2748" s="6"/>
      <c r="BS2748" s="6"/>
      <c r="BT2748" s="6"/>
      <c r="BU2748" s="6"/>
      <c r="BV2748" s="6"/>
      <c r="BW2748" s="6"/>
      <c r="BX2748" s="6"/>
      <c r="BY2748" s="6"/>
      <c r="BZ2748" s="6"/>
    </row>
    <row r="2749" spans="1:78" s="496" customFormat="1" ht="21.75" customHeight="1"/>
    <row r="2750" spans="1:78" s="496" customFormat="1" ht="21.75" customHeight="1"/>
    <row r="2751" spans="1:78" s="497" customFormat="1" ht="21.75" customHeight="1"/>
    <row r="2752" spans="1:78" s="448" customFormat="1" ht="21.75" customHeight="1"/>
    <row r="2753" spans="1:78" s="496" customFormat="1" ht="21.75" customHeight="1"/>
    <row r="2754" spans="1:78" ht="21.75" customHeight="1">
      <c r="A2754" s="6"/>
      <c r="B2754" s="6"/>
      <c r="C2754" s="6"/>
      <c r="D2754" s="6"/>
      <c r="E2754" s="6"/>
      <c r="F2754" s="6"/>
      <c r="G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O2754" s="6"/>
      <c r="AP2754" s="6"/>
      <c r="BH2754" s="6"/>
      <c r="BI2754" s="6"/>
      <c r="BJ2754" s="6"/>
      <c r="BK2754" s="6"/>
      <c r="BL2754" s="6"/>
      <c r="BM2754" s="6"/>
      <c r="BN2754" s="6"/>
      <c r="BO2754" s="6"/>
      <c r="BP2754" s="6"/>
      <c r="BQ2754" s="6"/>
      <c r="BR2754" s="6"/>
      <c r="BS2754" s="6"/>
      <c r="BT2754" s="6"/>
      <c r="BU2754" s="6"/>
      <c r="BV2754" s="6"/>
      <c r="BW2754" s="6"/>
      <c r="BX2754" s="6"/>
      <c r="BY2754" s="6"/>
      <c r="BZ2754" s="6"/>
    </row>
    <row r="2755" spans="1:78" ht="21.75" customHeight="1">
      <c r="A2755" s="6"/>
      <c r="B2755" s="6"/>
      <c r="C2755" s="6"/>
      <c r="D2755" s="6"/>
      <c r="E2755" s="6"/>
      <c r="F2755" s="6"/>
      <c r="G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O2755" s="6"/>
      <c r="AP2755" s="6"/>
      <c r="BH2755" s="6"/>
      <c r="BI2755" s="6"/>
      <c r="BJ2755" s="6"/>
      <c r="BK2755" s="6"/>
      <c r="BL2755" s="6"/>
      <c r="BM2755" s="6"/>
      <c r="BN2755" s="6"/>
      <c r="BO2755" s="6"/>
      <c r="BP2755" s="6"/>
      <c r="BQ2755" s="6"/>
      <c r="BR2755" s="6"/>
      <c r="BS2755" s="6"/>
      <c r="BT2755" s="6"/>
      <c r="BU2755" s="6"/>
      <c r="BV2755" s="6"/>
      <c r="BW2755" s="6"/>
      <c r="BX2755" s="6"/>
      <c r="BY2755" s="6"/>
      <c r="BZ2755" s="6"/>
    </row>
    <row r="2756" spans="1:78" s="496" customFormat="1" ht="21.75" customHeight="1"/>
    <row r="2757" spans="1:78" s="496" customFormat="1" ht="21.75" customHeight="1"/>
    <row r="2758" spans="1:78" ht="21.75" customHeight="1">
      <c r="A2758" s="6"/>
      <c r="B2758" s="6"/>
      <c r="C2758" s="6"/>
      <c r="D2758" s="6"/>
      <c r="E2758" s="6"/>
      <c r="F2758" s="6"/>
      <c r="G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O2758" s="6"/>
      <c r="AP2758" s="6"/>
      <c r="BH2758" s="6"/>
      <c r="BI2758" s="6"/>
      <c r="BJ2758" s="6"/>
      <c r="BK2758" s="6"/>
      <c r="BL2758" s="6"/>
      <c r="BM2758" s="6"/>
      <c r="BN2758" s="6"/>
      <c r="BO2758" s="6"/>
      <c r="BP2758" s="6"/>
      <c r="BQ2758" s="6"/>
      <c r="BR2758" s="6"/>
      <c r="BS2758" s="6"/>
      <c r="BT2758" s="6"/>
      <c r="BU2758" s="6"/>
      <c r="BV2758" s="6"/>
      <c r="BW2758" s="6"/>
      <c r="BX2758" s="6"/>
      <c r="BY2758" s="6"/>
      <c r="BZ2758" s="6"/>
    </row>
    <row r="2759" spans="1:78" ht="21.75" customHeight="1">
      <c r="A2759" s="6"/>
      <c r="B2759" s="6"/>
      <c r="C2759" s="6"/>
      <c r="D2759" s="6"/>
      <c r="E2759" s="6"/>
      <c r="F2759" s="6"/>
      <c r="G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O2759" s="6"/>
      <c r="AP2759" s="6"/>
      <c r="BH2759" s="6"/>
      <c r="BI2759" s="6"/>
      <c r="BJ2759" s="6"/>
      <c r="BK2759" s="6"/>
      <c r="BL2759" s="6"/>
      <c r="BM2759" s="6"/>
      <c r="BN2759" s="6"/>
      <c r="BO2759" s="6"/>
      <c r="BP2759" s="6"/>
      <c r="BQ2759" s="6"/>
      <c r="BR2759" s="6"/>
      <c r="BS2759" s="6"/>
      <c r="BT2759" s="6"/>
      <c r="BU2759" s="6"/>
      <c r="BV2759" s="6"/>
      <c r="BW2759" s="6"/>
      <c r="BX2759" s="6"/>
      <c r="BY2759" s="6"/>
      <c r="BZ2759" s="6"/>
    </row>
    <row r="2760" spans="1:78" ht="21.75" customHeight="1">
      <c r="A2760" s="6"/>
      <c r="B2760" s="6"/>
      <c r="C2760" s="6"/>
      <c r="D2760" s="6"/>
      <c r="E2760" s="6"/>
      <c r="F2760" s="6"/>
      <c r="G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O2760" s="6"/>
      <c r="AP2760" s="6"/>
      <c r="BH2760" s="6"/>
      <c r="BI2760" s="6"/>
      <c r="BJ2760" s="6"/>
      <c r="BK2760" s="6"/>
      <c r="BL2760" s="6"/>
      <c r="BM2760" s="6"/>
      <c r="BN2760" s="6"/>
      <c r="BO2760" s="6"/>
      <c r="BP2760" s="6"/>
      <c r="BQ2760" s="6"/>
      <c r="BR2760" s="6"/>
      <c r="BS2760" s="6"/>
      <c r="BT2760" s="6"/>
      <c r="BU2760" s="6"/>
      <c r="BV2760" s="6"/>
      <c r="BW2760" s="6"/>
      <c r="BX2760" s="6"/>
      <c r="BY2760" s="6"/>
      <c r="BZ2760" s="6"/>
    </row>
    <row r="2761" spans="1:78" ht="21.75" customHeight="1">
      <c r="A2761" s="6"/>
      <c r="B2761" s="6"/>
      <c r="C2761" s="6"/>
      <c r="D2761" s="6"/>
      <c r="E2761" s="6"/>
      <c r="F2761" s="6"/>
      <c r="G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O2761" s="6"/>
      <c r="AP2761" s="6"/>
      <c r="BH2761" s="6"/>
      <c r="BI2761" s="6"/>
      <c r="BJ2761" s="6"/>
      <c r="BK2761" s="6"/>
      <c r="BL2761" s="6"/>
      <c r="BM2761" s="6"/>
      <c r="BN2761" s="6"/>
      <c r="BO2761" s="6"/>
      <c r="BP2761" s="6"/>
      <c r="BQ2761" s="6"/>
      <c r="BR2761" s="6"/>
      <c r="BS2761" s="6"/>
      <c r="BT2761" s="6"/>
      <c r="BU2761" s="6"/>
      <c r="BV2761" s="6"/>
      <c r="BW2761" s="6"/>
      <c r="BX2761" s="6"/>
      <c r="BY2761" s="6"/>
      <c r="BZ2761" s="6"/>
    </row>
    <row r="2762" spans="1:78" ht="21.75" customHeight="1">
      <c r="A2762" s="6"/>
      <c r="B2762" s="6"/>
      <c r="C2762" s="6"/>
      <c r="D2762" s="6"/>
      <c r="E2762" s="6"/>
      <c r="F2762" s="6"/>
      <c r="G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O2762" s="6"/>
      <c r="AP2762" s="6"/>
      <c r="BH2762" s="6"/>
      <c r="BI2762" s="6"/>
      <c r="BJ2762" s="6"/>
      <c r="BK2762" s="6"/>
      <c r="BL2762" s="6"/>
      <c r="BM2762" s="6"/>
      <c r="BN2762" s="6"/>
      <c r="BO2762" s="6"/>
      <c r="BP2762" s="6"/>
      <c r="BQ2762" s="6"/>
      <c r="BR2762" s="6"/>
      <c r="BS2762" s="6"/>
      <c r="BT2762" s="6"/>
      <c r="BU2762" s="6"/>
      <c r="BV2762" s="6"/>
      <c r="BW2762" s="6"/>
      <c r="BX2762" s="6"/>
      <c r="BY2762" s="6"/>
      <c r="BZ2762" s="6"/>
    </row>
    <row r="2763" spans="1:78" ht="21.75" customHeight="1">
      <c r="A2763" s="6"/>
      <c r="B2763" s="6"/>
      <c r="C2763" s="6"/>
      <c r="D2763" s="6"/>
      <c r="E2763" s="6"/>
      <c r="F2763" s="6"/>
      <c r="G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O2763" s="6"/>
      <c r="AP2763" s="6"/>
      <c r="BH2763" s="6"/>
      <c r="BI2763" s="6"/>
      <c r="BJ2763" s="6"/>
      <c r="BK2763" s="6"/>
      <c r="BL2763" s="6"/>
      <c r="BM2763" s="6"/>
      <c r="BN2763" s="6"/>
      <c r="BO2763" s="6"/>
      <c r="BP2763" s="6"/>
      <c r="BQ2763" s="6"/>
      <c r="BR2763" s="6"/>
      <c r="BS2763" s="6"/>
      <c r="BT2763" s="6"/>
      <c r="BU2763" s="6"/>
      <c r="BV2763" s="6"/>
      <c r="BW2763" s="6"/>
      <c r="BX2763" s="6"/>
      <c r="BY2763" s="6"/>
      <c r="BZ2763" s="6"/>
    </row>
    <row r="2764" spans="1:78" ht="21.75" customHeight="1">
      <c r="A2764" s="6"/>
      <c r="B2764" s="6"/>
      <c r="C2764" s="6"/>
      <c r="D2764" s="6"/>
      <c r="E2764" s="6"/>
      <c r="F2764" s="6"/>
      <c r="G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O2764" s="6"/>
      <c r="AP2764" s="6"/>
      <c r="BH2764" s="6"/>
      <c r="BI2764" s="6"/>
      <c r="BJ2764" s="6"/>
      <c r="BK2764" s="6"/>
      <c r="BL2764" s="6"/>
      <c r="BM2764" s="6"/>
      <c r="BN2764" s="6"/>
      <c r="BO2764" s="6"/>
      <c r="BP2764" s="6"/>
      <c r="BQ2764" s="6"/>
      <c r="BR2764" s="6"/>
      <c r="BS2764" s="6"/>
      <c r="BT2764" s="6"/>
      <c r="BU2764" s="6"/>
      <c r="BV2764" s="6"/>
      <c r="BW2764" s="6"/>
      <c r="BX2764" s="6"/>
      <c r="BY2764" s="6"/>
      <c r="BZ2764" s="6"/>
    </row>
    <row r="2765" spans="1:78" ht="21.75" customHeight="1">
      <c r="A2765" s="6"/>
      <c r="B2765" s="6"/>
      <c r="C2765" s="6"/>
      <c r="D2765" s="6"/>
      <c r="E2765" s="6"/>
      <c r="F2765" s="6"/>
      <c r="G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O2765" s="6"/>
      <c r="AP2765" s="6"/>
      <c r="BH2765" s="6"/>
      <c r="BI2765" s="6"/>
      <c r="BJ2765" s="6"/>
      <c r="BK2765" s="6"/>
      <c r="BL2765" s="6"/>
      <c r="BM2765" s="6"/>
      <c r="BN2765" s="6"/>
      <c r="BO2765" s="6"/>
      <c r="BP2765" s="6"/>
      <c r="BQ2765" s="6"/>
      <c r="BR2765" s="6"/>
      <c r="BS2765" s="6"/>
      <c r="BT2765" s="6"/>
      <c r="BU2765" s="6"/>
      <c r="BV2765" s="6"/>
      <c r="BW2765" s="6"/>
      <c r="BX2765" s="6"/>
      <c r="BY2765" s="6"/>
      <c r="BZ2765" s="6"/>
    </row>
    <row r="2766" spans="1:78" ht="21.75" customHeight="1">
      <c r="A2766" s="6"/>
      <c r="B2766" s="6"/>
      <c r="C2766" s="6"/>
      <c r="D2766" s="6"/>
      <c r="E2766" s="6"/>
      <c r="F2766" s="6"/>
      <c r="G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O2766" s="6"/>
      <c r="AP2766" s="6"/>
      <c r="BH2766" s="6"/>
      <c r="BI2766" s="6"/>
      <c r="BJ2766" s="6"/>
      <c r="BK2766" s="6"/>
      <c r="BL2766" s="6"/>
      <c r="BM2766" s="6"/>
      <c r="BN2766" s="6"/>
      <c r="BO2766" s="6"/>
      <c r="BP2766" s="6"/>
      <c r="BQ2766" s="6"/>
      <c r="BR2766" s="6"/>
      <c r="BS2766" s="6"/>
      <c r="BT2766" s="6"/>
      <c r="BU2766" s="6"/>
      <c r="BV2766" s="6"/>
      <c r="BW2766" s="6"/>
      <c r="BX2766" s="6"/>
      <c r="BY2766" s="6"/>
      <c r="BZ2766" s="6"/>
    </row>
    <row r="2767" spans="1:78" s="496" customFormat="1" ht="21.75" customHeight="1"/>
    <row r="2768" spans="1:78" s="450" customFormat="1" ht="21.75" customHeight="1"/>
    <row r="2769" spans="1:78" s="495" customFormat="1" ht="21.75" customHeight="1"/>
    <row r="2770" spans="1:78" ht="21.75" customHeight="1">
      <c r="A2770" s="6"/>
      <c r="B2770" s="6"/>
      <c r="C2770" s="6"/>
      <c r="D2770" s="6"/>
      <c r="E2770" s="6"/>
      <c r="F2770" s="6"/>
      <c r="G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O2770" s="6"/>
      <c r="AP2770" s="6"/>
      <c r="BH2770" s="6"/>
      <c r="BI2770" s="6"/>
      <c r="BJ2770" s="6"/>
      <c r="BK2770" s="6"/>
      <c r="BL2770" s="6"/>
      <c r="BM2770" s="6"/>
      <c r="BN2770" s="6"/>
      <c r="BO2770" s="6"/>
      <c r="BP2770" s="6"/>
      <c r="BQ2770" s="6"/>
      <c r="BR2770" s="6"/>
      <c r="BS2770" s="6"/>
      <c r="BT2770" s="6"/>
      <c r="BU2770" s="6"/>
      <c r="BV2770" s="6"/>
      <c r="BW2770" s="6"/>
      <c r="BX2770" s="6"/>
      <c r="BY2770" s="6"/>
      <c r="BZ2770" s="6"/>
    </row>
    <row r="2771" spans="1:78" ht="21.75" customHeight="1">
      <c r="A2771" s="6"/>
      <c r="B2771" s="6"/>
      <c r="C2771" s="6"/>
      <c r="D2771" s="6"/>
      <c r="E2771" s="6"/>
      <c r="F2771" s="6"/>
      <c r="G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O2771" s="6"/>
      <c r="AP2771" s="6"/>
      <c r="BH2771" s="6"/>
      <c r="BI2771" s="6"/>
      <c r="BJ2771" s="6"/>
      <c r="BK2771" s="6"/>
      <c r="BL2771" s="6"/>
      <c r="BM2771" s="6"/>
      <c r="BN2771" s="6"/>
      <c r="BO2771" s="6"/>
      <c r="BP2771" s="6"/>
      <c r="BQ2771" s="6"/>
      <c r="BR2771" s="6"/>
      <c r="BS2771" s="6"/>
      <c r="BT2771" s="6"/>
      <c r="BU2771" s="6"/>
      <c r="BV2771" s="6"/>
      <c r="BW2771" s="6"/>
      <c r="BX2771" s="6"/>
      <c r="BY2771" s="6"/>
      <c r="BZ2771" s="6"/>
    </row>
    <row r="2772" spans="1:78" s="450" customFormat="1" ht="21.75" customHeight="1"/>
    <row r="2773" spans="1:78" s="448" customFormat="1" ht="21.75" customHeight="1"/>
    <row r="2774" spans="1:78" ht="21.75" customHeight="1">
      <c r="A2774" s="6"/>
      <c r="B2774" s="6"/>
      <c r="C2774" s="6"/>
      <c r="D2774" s="6"/>
      <c r="E2774" s="6"/>
      <c r="F2774" s="6"/>
      <c r="G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O2774" s="6"/>
      <c r="AP2774" s="6"/>
      <c r="BH2774" s="6"/>
      <c r="BI2774" s="6"/>
      <c r="BJ2774" s="6"/>
      <c r="BK2774" s="6"/>
      <c r="BL2774" s="6"/>
      <c r="BM2774" s="6"/>
      <c r="BN2774" s="6"/>
      <c r="BO2774" s="6"/>
      <c r="BP2774" s="6"/>
      <c r="BQ2774" s="6"/>
      <c r="BR2774" s="6"/>
      <c r="BS2774" s="6"/>
      <c r="BT2774" s="6"/>
      <c r="BU2774" s="6"/>
      <c r="BV2774" s="6"/>
      <c r="BW2774" s="6"/>
      <c r="BX2774" s="6"/>
      <c r="BY2774" s="6"/>
      <c r="BZ2774" s="6"/>
    </row>
    <row r="2775" spans="1:78" s="496" customFormat="1" ht="21.75" customHeight="1"/>
    <row r="2776" spans="1:78" ht="21.75" customHeight="1">
      <c r="A2776" s="6"/>
      <c r="B2776" s="6"/>
      <c r="C2776" s="6"/>
      <c r="D2776" s="6"/>
      <c r="E2776" s="6"/>
      <c r="F2776" s="6"/>
      <c r="G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O2776" s="6"/>
      <c r="AP2776" s="6"/>
      <c r="BH2776" s="6"/>
      <c r="BI2776" s="6"/>
      <c r="BJ2776" s="6"/>
      <c r="BK2776" s="6"/>
      <c r="BL2776" s="6"/>
      <c r="BM2776" s="6"/>
      <c r="BN2776" s="6"/>
      <c r="BO2776" s="6"/>
      <c r="BP2776" s="6"/>
      <c r="BQ2776" s="6"/>
      <c r="BR2776" s="6"/>
      <c r="BS2776" s="6"/>
      <c r="BT2776" s="6"/>
      <c r="BU2776" s="6"/>
      <c r="BV2776" s="6"/>
      <c r="BW2776" s="6"/>
      <c r="BX2776" s="6"/>
      <c r="BY2776" s="6"/>
      <c r="BZ2776" s="6"/>
    </row>
    <row r="2777" spans="1:78" s="496" customFormat="1" ht="21.75" customHeight="1"/>
    <row r="2778" spans="1:78" ht="21.75" customHeight="1">
      <c r="A2778" s="6"/>
      <c r="B2778" s="6"/>
      <c r="C2778" s="6"/>
      <c r="D2778" s="6"/>
      <c r="E2778" s="6"/>
      <c r="F2778" s="6"/>
      <c r="G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O2778" s="6"/>
      <c r="AP2778" s="6"/>
      <c r="BH2778" s="6"/>
      <c r="BI2778" s="6"/>
      <c r="BJ2778" s="6"/>
      <c r="BK2778" s="6"/>
      <c r="BL2778" s="6"/>
      <c r="BM2778" s="6"/>
      <c r="BN2778" s="6"/>
      <c r="BO2778" s="6"/>
      <c r="BP2778" s="6"/>
      <c r="BQ2778" s="6"/>
      <c r="BR2778" s="6"/>
      <c r="BS2778" s="6"/>
      <c r="BT2778" s="6"/>
      <c r="BU2778" s="6"/>
      <c r="BV2778" s="6"/>
      <c r="BW2778" s="6"/>
      <c r="BX2778" s="6"/>
      <c r="BY2778" s="6"/>
      <c r="BZ2778" s="6"/>
    </row>
    <row r="2779" spans="1:78" ht="21.75" customHeight="1">
      <c r="A2779" s="6"/>
      <c r="B2779" s="6"/>
      <c r="C2779" s="6"/>
      <c r="D2779" s="6"/>
      <c r="E2779" s="6"/>
      <c r="F2779" s="6"/>
      <c r="G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O2779" s="6"/>
      <c r="AP2779" s="6"/>
      <c r="BH2779" s="6"/>
      <c r="BI2779" s="6"/>
      <c r="BJ2779" s="6"/>
      <c r="BK2779" s="6"/>
      <c r="BL2779" s="6"/>
      <c r="BM2779" s="6"/>
      <c r="BN2779" s="6"/>
      <c r="BO2779" s="6"/>
      <c r="BP2779" s="6"/>
      <c r="BQ2779" s="6"/>
      <c r="BR2779" s="6"/>
      <c r="BS2779" s="6"/>
      <c r="BT2779" s="6"/>
      <c r="BU2779" s="6"/>
      <c r="BV2779" s="6"/>
      <c r="BW2779" s="6"/>
      <c r="BX2779" s="6"/>
      <c r="BY2779" s="6"/>
      <c r="BZ2779" s="6"/>
    </row>
    <row r="2780" spans="1:78" s="496" customFormat="1" ht="21.75" customHeight="1"/>
    <row r="2781" spans="1:78" ht="21.75" customHeight="1">
      <c r="A2781" s="6"/>
      <c r="B2781" s="6"/>
      <c r="C2781" s="6"/>
      <c r="D2781" s="6"/>
      <c r="E2781" s="6"/>
      <c r="F2781" s="6"/>
      <c r="G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O2781" s="6"/>
      <c r="AP2781" s="6"/>
      <c r="BH2781" s="6"/>
      <c r="BI2781" s="6"/>
      <c r="BJ2781" s="6"/>
      <c r="BK2781" s="6"/>
      <c r="BL2781" s="6"/>
      <c r="BM2781" s="6"/>
      <c r="BN2781" s="6"/>
      <c r="BO2781" s="6"/>
      <c r="BP2781" s="6"/>
      <c r="BQ2781" s="6"/>
      <c r="BR2781" s="6"/>
      <c r="BS2781" s="6"/>
      <c r="BT2781" s="6"/>
      <c r="BU2781" s="6"/>
      <c r="BV2781" s="6"/>
      <c r="BW2781" s="6"/>
      <c r="BX2781" s="6"/>
      <c r="BY2781" s="6"/>
      <c r="BZ2781" s="6"/>
    </row>
    <row r="2782" spans="1:78" s="450" customFormat="1" ht="21.75" customHeight="1"/>
    <row r="2783" spans="1:78" s="448" customFormat="1" ht="21.75" customHeight="1"/>
    <row r="2784" spans="1:78" ht="21.75" customHeight="1">
      <c r="A2784" s="6"/>
      <c r="B2784" s="6"/>
      <c r="C2784" s="6"/>
      <c r="D2784" s="6"/>
      <c r="E2784" s="6"/>
      <c r="F2784" s="6"/>
      <c r="G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O2784" s="6"/>
      <c r="AP2784" s="6"/>
      <c r="BH2784" s="6"/>
      <c r="BI2784" s="6"/>
      <c r="BJ2784" s="6"/>
      <c r="BK2784" s="6"/>
      <c r="BL2784" s="6"/>
      <c r="BM2784" s="6"/>
      <c r="BN2784" s="6"/>
      <c r="BO2784" s="6"/>
      <c r="BP2784" s="6"/>
      <c r="BQ2784" s="6"/>
      <c r="BR2784" s="6"/>
      <c r="BS2784" s="6"/>
      <c r="BT2784" s="6"/>
      <c r="BU2784" s="6"/>
      <c r="BV2784" s="6"/>
      <c r="BW2784" s="6"/>
      <c r="BX2784" s="6"/>
      <c r="BY2784" s="6"/>
      <c r="BZ2784" s="6"/>
    </row>
    <row r="2785" spans="1:78" ht="21.75" customHeight="1">
      <c r="A2785" s="6"/>
      <c r="B2785" s="6"/>
      <c r="C2785" s="6"/>
      <c r="D2785" s="6"/>
      <c r="E2785" s="6"/>
      <c r="F2785" s="6"/>
      <c r="G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O2785" s="6"/>
      <c r="AP2785" s="6"/>
      <c r="BH2785" s="6"/>
      <c r="BI2785" s="6"/>
      <c r="BJ2785" s="6"/>
      <c r="BK2785" s="6"/>
      <c r="BL2785" s="6"/>
      <c r="BM2785" s="6"/>
      <c r="BN2785" s="6"/>
      <c r="BO2785" s="6"/>
      <c r="BP2785" s="6"/>
      <c r="BQ2785" s="6"/>
      <c r="BR2785" s="6"/>
      <c r="BS2785" s="6"/>
      <c r="BT2785" s="6"/>
      <c r="BU2785" s="6"/>
      <c r="BV2785" s="6"/>
      <c r="BW2785" s="6"/>
      <c r="BX2785" s="6"/>
      <c r="BY2785" s="6"/>
      <c r="BZ2785" s="6"/>
    </row>
    <row r="2786" spans="1:78" s="472" customFormat="1" ht="21.75" customHeight="1"/>
    <row r="2787" spans="1:78" ht="21.75" customHeight="1">
      <c r="A2787" s="6"/>
      <c r="B2787" s="6"/>
      <c r="C2787" s="6"/>
      <c r="D2787" s="6"/>
      <c r="E2787" s="6"/>
      <c r="F2787" s="6"/>
      <c r="G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O2787" s="6"/>
      <c r="AP2787" s="6"/>
      <c r="BH2787" s="6"/>
      <c r="BI2787" s="6"/>
      <c r="BJ2787" s="6"/>
      <c r="BK2787" s="6"/>
      <c r="BL2787" s="6"/>
      <c r="BM2787" s="6"/>
      <c r="BN2787" s="6"/>
      <c r="BO2787" s="6"/>
      <c r="BP2787" s="6"/>
      <c r="BQ2787" s="6"/>
      <c r="BR2787" s="6"/>
      <c r="BS2787" s="6"/>
      <c r="BT2787" s="6"/>
      <c r="BU2787" s="6"/>
      <c r="BV2787" s="6"/>
      <c r="BW2787" s="6"/>
      <c r="BX2787" s="6"/>
      <c r="BY2787" s="6"/>
      <c r="BZ2787" s="6"/>
    </row>
    <row r="2788" spans="1:78" s="496" customFormat="1" ht="21.75" customHeight="1"/>
    <row r="2789" spans="1:78" ht="21.75" customHeight="1">
      <c r="A2789" s="6"/>
      <c r="B2789" s="6"/>
      <c r="C2789" s="6"/>
      <c r="D2789" s="6"/>
      <c r="E2789" s="6"/>
      <c r="F2789" s="6"/>
      <c r="G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O2789" s="6"/>
      <c r="AP2789" s="6"/>
      <c r="BH2789" s="6"/>
      <c r="BI2789" s="6"/>
      <c r="BJ2789" s="6"/>
      <c r="BK2789" s="6"/>
      <c r="BL2789" s="6"/>
      <c r="BM2789" s="6"/>
      <c r="BN2789" s="6"/>
      <c r="BO2789" s="6"/>
      <c r="BP2789" s="6"/>
      <c r="BQ2789" s="6"/>
      <c r="BR2789" s="6"/>
      <c r="BS2789" s="6"/>
      <c r="BT2789" s="6"/>
      <c r="BU2789" s="6"/>
      <c r="BV2789" s="6"/>
      <c r="BW2789" s="6"/>
      <c r="BX2789" s="6"/>
      <c r="BY2789" s="6"/>
      <c r="BZ2789" s="6"/>
    </row>
    <row r="2790" spans="1:78" s="496" customFormat="1" ht="21.75" customHeight="1"/>
    <row r="2791" spans="1:78" ht="21.75" customHeight="1">
      <c r="A2791" s="6"/>
      <c r="B2791" s="6"/>
      <c r="C2791" s="6"/>
      <c r="D2791" s="6"/>
      <c r="E2791" s="6"/>
      <c r="F2791" s="6"/>
      <c r="G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O2791" s="6"/>
      <c r="AP2791" s="6"/>
      <c r="BH2791" s="6"/>
      <c r="BI2791" s="6"/>
      <c r="BJ2791" s="6"/>
      <c r="BK2791" s="6"/>
      <c r="BL2791" s="6"/>
      <c r="BM2791" s="6"/>
      <c r="BN2791" s="6"/>
      <c r="BO2791" s="6"/>
      <c r="BP2791" s="6"/>
      <c r="BQ2791" s="6"/>
      <c r="BR2791" s="6"/>
      <c r="BS2791" s="6"/>
      <c r="BT2791" s="6"/>
      <c r="BU2791" s="6"/>
      <c r="BV2791" s="6"/>
      <c r="BW2791" s="6"/>
      <c r="BX2791" s="6"/>
      <c r="BY2791" s="6"/>
      <c r="BZ2791" s="6"/>
    </row>
    <row r="2792" spans="1:78" s="496" customFormat="1" ht="21.75" customHeight="1"/>
    <row r="2793" spans="1:78" ht="21.75" customHeight="1">
      <c r="A2793" s="6"/>
      <c r="B2793" s="6"/>
      <c r="C2793" s="6"/>
      <c r="D2793" s="6"/>
      <c r="E2793" s="6"/>
      <c r="F2793" s="6"/>
      <c r="G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O2793" s="6"/>
      <c r="AP2793" s="6"/>
      <c r="BH2793" s="6"/>
      <c r="BI2793" s="6"/>
      <c r="BJ2793" s="6"/>
      <c r="BK2793" s="6"/>
      <c r="BL2793" s="6"/>
      <c r="BM2793" s="6"/>
      <c r="BN2793" s="6"/>
      <c r="BO2793" s="6"/>
      <c r="BP2793" s="6"/>
      <c r="BQ2793" s="6"/>
      <c r="BR2793" s="6"/>
      <c r="BS2793" s="6"/>
      <c r="BT2793" s="6"/>
      <c r="BU2793" s="6"/>
      <c r="BV2793" s="6"/>
      <c r="BW2793" s="6"/>
      <c r="BX2793" s="6"/>
      <c r="BY2793" s="6"/>
      <c r="BZ2793" s="6"/>
    </row>
    <row r="2794" spans="1:78" s="450" customFormat="1" ht="21.75" customHeight="1"/>
    <row r="2795" spans="1:78" s="448" customFormat="1" ht="21.75" customHeight="1"/>
    <row r="2796" spans="1:78" s="496" customFormat="1" ht="21.75" customHeight="1"/>
    <row r="2797" spans="1:78" ht="21.75" customHeight="1">
      <c r="A2797" s="6"/>
      <c r="B2797" s="6"/>
      <c r="C2797" s="6"/>
      <c r="D2797" s="6"/>
      <c r="E2797" s="6"/>
      <c r="F2797" s="6"/>
      <c r="G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O2797" s="6"/>
      <c r="AP2797" s="6"/>
      <c r="BH2797" s="6"/>
      <c r="BI2797" s="6"/>
      <c r="BJ2797" s="6"/>
      <c r="BK2797" s="6"/>
      <c r="BL2797" s="6"/>
      <c r="BM2797" s="6"/>
      <c r="BN2797" s="6"/>
      <c r="BO2797" s="6"/>
      <c r="BP2797" s="6"/>
      <c r="BQ2797" s="6"/>
      <c r="BR2797" s="6"/>
      <c r="BS2797" s="6"/>
      <c r="BT2797" s="6"/>
      <c r="BU2797" s="6"/>
      <c r="BV2797" s="6"/>
      <c r="BW2797" s="6"/>
      <c r="BX2797" s="6"/>
      <c r="BY2797" s="6"/>
      <c r="BZ2797" s="6"/>
    </row>
    <row r="2798" spans="1:78" ht="21.75" customHeight="1">
      <c r="A2798" s="6"/>
      <c r="B2798" s="6"/>
      <c r="C2798" s="6"/>
      <c r="D2798" s="6"/>
      <c r="E2798" s="6"/>
      <c r="F2798" s="6"/>
      <c r="G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O2798" s="6"/>
      <c r="AP2798" s="6"/>
      <c r="BH2798" s="6"/>
      <c r="BI2798" s="6"/>
      <c r="BJ2798" s="6"/>
      <c r="BK2798" s="6"/>
      <c r="BL2798" s="6"/>
      <c r="BM2798" s="6"/>
      <c r="BN2798" s="6"/>
      <c r="BO2798" s="6"/>
      <c r="BP2798" s="6"/>
      <c r="BQ2798" s="6"/>
      <c r="BR2798" s="6"/>
      <c r="BS2798" s="6"/>
      <c r="BT2798" s="6"/>
      <c r="BU2798" s="6"/>
      <c r="BV2798" s="6"/>
      <c r="BW2798" s="6"/>
      <c r="BX2798" s="6"/>
      <c r="BY2798" s="6"/>
      <c r="BZ2798" s="6"/>
    </row>
    <row r="2799" spans="1:78" ht="21.75" customHeight="1">
      <c r="A2799" s="6"/>
      <c r="B2799" s="6"/>
      <c r="C2799" s="6"/>
      <c r="D2799" s="6"/>
      <c r="E2799" s="6"/>
      <c r="F2799" s="6"/>
      <c r="G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O2799" s="6"/>
      <c r="AP2799" s="6"/>
      <c r="BH2799" s="6"/>
      <c r="BI2799" s="6"/>
      <c r="BJ2799" s="6"/>
      <c r="BK2799" s="6"/>
      <c r="BL2799" s="6"/>
      <c r="BM2799" s="6"/>
      <c r="BN2799" s="6"/>
      <c r="BO2799" s="6"/>
      <c r="BP2799" s="6"/>
      <c r="BQ2799" s="6"/>
      <c r="BR2799" s="6"/>
      <c r="BS2799" s="6"/>
      <c r="BT2799" s="6"/>
      <c r="BU2799" s="6"/>
      <c r="BV2799" s="6"/>
      <c r="BW2799" s="6"/>
      <c r="BX2799" s="6"/>
      <c r="BY2799" s="6"/>
      <c r="BZ2799" s="6"/>
    </row>
    <row r="2800" spans="1:78" s="496" customFormat="1" ht="21.75" customHeight="1"/>
    <row r="2801" spans="1:78" s="496" customFormat="1" ht="21.75" customHeight="1"/>
    <row r="2802" spans="1:78" s="496" customFormat="1" ht="21.75" customHeight="1"/>
    <row r="2803" spans="1:78" ht="21.75" customHeight="1">
      <c r="A2803" s="6"/>
      <c r="B2803" s="6"/>
      <c r="C2803" s="6"/>
      <c r="D2803" s="6"/>
      <c r="E2803" s="6"/>
      <c r="F2803" s="6"/>
      <c r="G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O2803" s="6"/>
      <c r="AP2803" s="6"/>
      <c r="BH2803" s="6"/>
      <c r="BI2803" s="6"/>
      <c r="BJ2803" s="6"/>
      <c r="BK2803" s="6"/>
      <c r="BL2803" s="6"/>
      <c r="BM2803" s="6"/>
      <c r="BN2803" s="6"/>
      <c r="BO2803" s="6"/>
      <c r="BP2803" s="6"/>
      <c r="BQ2803" s="6"/>
      <c r="BR2803" s="6"/>
      <c r="BS2803" s="6"/>
      <c r="BT2803" s="6"/>
      <c r="BU2803" s="6"/>
      <c r="BV2803" s="6"/>
      <c r="BW2803" s="6"/>
      <c r="BX2803" s="6"/>
      <c r="BY2803" s="6"/>
      <c r="BZ2803" s="6"/>
    </row>
    <row r="2804" spans="1:78" ht="21.75" customHeight="1">
      <c r="A2804" s="6"/>
      <c r="B2804" s="6"/>
      <c r="C2804" s="6"/>
      <c r="D2804" s="6"/>
      <c r="E2804" s="6"/>
      <c r="F2804" s="6"/>
      <c r="G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O2804" s="6"/>
      <c r="AP2804" s="6"/>
      <c r="BH2804" s="6"/>
      <c r="BI2804" s="6"/>
      <c r="BJ2804" s="6"/>
      <c r="BK2804" s="6"/>
      <c r="BL2804" s="6"/>
      <c r="BM2804" s="6"/>
      <c r="BN2804" s="6"/>
      <c r="BO2804" s="6"/>
      <c r="BP2804" s="6"/>
      <c r="BQ2804" s="6"/>
      <c r="BR2804" s="6"/>
      <c r="BS2804" s="6"/>
      <c r="BT2804" s="6"/>
      <c r="BU2804" s="6"/>
      <c r="BV2804" s="6"/>
      <c r="BW2804" s="6"/>
      <c r="BX2804" s="6"/>
      <c r="BY2804" s="6"/>
      <c r="BZ2804" s="6"/>
    </row>
    <row r="2805" spans="1:78" ht="21.75" customHeight="1">
      <c r="A2805" s="6"/>
      <c r="B2805" s="6"/>
      <c r="C2805" s="6"/>
      <c r="D2805" s="6"/>
      <c r="E2805" s="6"/>
      <c r="F2805" s="6"/>
      <c r="G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O2805" s="6"/>
      <c r="AP2805" s="6"/>
      <c r="BH2805" s="6"/>
      <c r="BI2805" s="6"/>
      <c r="BJ2805" s="6"/>
      <c r="BK2805" s="6"/>
      <c r="BL2805" s="6"/>
      <c r="BM2805" s="6"/>
      <c r="BN2805" s="6"/>
      <c r="BO2805" s="6"/>
      <c r="BP2805" s="6"/>
      <c r="BQ2805" s="6"/>
      <c r="BR2805" s="6"/>
      <c r="BS2805" s="6"/>
      <c r="BT2805" s="6"/>
      <c r="BU2805" s="6"/>
      <c r="BV2805" s="6"/>
      <c r="BW2805" s="6"/>
      <c r="BX2805" s="6"/>
      <c r="BY2805" s="6"/>
      <c r="BZ2805" s="6"/>
    </row>
    <row r="2806" spans="1:78" ht="21.75" customHeight="1">
      <c r="A2806" s="6"/>
      <c r="B2806" s="6"/>
      <c r="C2806" s="6"/>
      <c r="D2806" s="6"/>
      <c r="E2806" s="6"/>
      <c r="F2806" s="6"/>
      <c r="G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O2806" s="6"/>
      <c r="AP2806" s="6"/>
      <c r="BH2806" s="6"/>
      <c r="BI2806" s="6"/>
      <c r="BJ2806" s="6"/>
      <c r="BK2806" s="6"/>
      <c r="BL2806" s="6"/>
      <c r="BM2806" s="6"/>
      <c r="BN2806" s="6"/>
      <c r="BO2806" s="6"/>
      <c r="BP2806" s="6"/>
      <c r="BQ2806" s="6"/>
      <c r="BR2806" s="6"/>
      <c r="BS2806" s="6"/>
      <c r="BT2806" s="6"/>
      <c r="BU2806" s="6"/>
      <c r="BV2806" s="6"/>
      <c r="BW2806" s="6"/>
      <c r="BX2806" s="6"/>
      <c r="BY2806" s="6"/>
      <c r="BZ2806" s="6"/>
    </row>
    <row r="2807" spans="1:78" ht="21.75" customHeight="1">
      <c r="A2807" s="6"/>
      <c r="B2807" s="6"/>
      <c r="C2807" s="6"/>
      <c r="D2807" s="6"/>
      <c r="E2807" s="6"/>
      <c r="F2807" s="6"/>
      <c r="G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O2807" s="6"/>
      <c r="AP2807" s="6"/>
      <c r="BH2807" s="6"/>
      <c r="BI2807" s="6"/>
      <c r="BJ2807" s="6"/>
      <c r="BK2807" s="6"/>
      <c r="BL2807" s="6"/>
      <c r="BM2807" s="6"/>
      <c r="BN2807" s="6"/>
      <c r="BO2807" s="6"/>
      <c r="BP2807" s="6"/>
      <c r="BQ2807" s="6"/>
      <c r="BR2807" s="6"/>
      <c r="BS2807" s="6"/>
      <c r="BT2807" s="6"/>
      <c r="BU2807" s="6"/>
      <c r="BV2807" s="6"/>
      <c r="BW2807" s="6"/>
      <c r="BX2807" s="6"/>
      <c r="BY2807" s="6"/>
      <c r="BZ2807" s="6"/>
    </row>
    <row r="2808" spans="1:78" ht="21.75" customHeight="1">
      <c r="A2808" s="6"/>
      <c r="B2808" s="6"/>
      <c r="C2808" s="6"/>
      <c r="D2808" s="6"/>
      <c r="E2808" s="6"/>
      <c r="F2808" s="6"/>
      <c r="G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O2808" s="6"/>
      <c r="AP2808" s="6"/>
      <c r="BH2808" s="6"/>
      <c r="BI2808" s="6"/>
      <c r="BJ2808" s="6"/>
      <c r="BK2808" s="6"/>
      <c r="BL2808" s="6"/>
      <c r="BM2808" s="6"/>
      <c r="BN2808" s="6"/>
      <c r="BO2808" s="6"/>
      <c r="BP2808" s="6"/>
      <c r="BQ2808" s="6"/>
      <c r="BR2808" s="6"/>
      <c r="BS2808" s="6"/>
      <c r="BT2808" s="6"/>
      <c r="BU2808" s="6"/>
      <c r="BV2808" s="6"/>
      <c r="BW2808" s="6"/>
      <c r="BX2808" s="6"/>
      <c r="BY2808" s="6"/>
      <c r="BZ2808" s="6"/>
    </row>
    <row r="2809" spans="1:78" ht="21.75" customHeight="1">
      <c r="A2809" s="6"/>
      <c r="B2809" s="6"/>
      <c r="C2809" s="6"/>
      <c r="D2809" s="6"/>
      <c r="E2809" s="6"/>
      <c r="F2809" s="6"/>
      <c r="G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O2809" s="6"/>
      <c r="AP2809" s="6"/>
      <c r="BH2809" s="6"/>
      <c r="BI2809" s="6"/>
      <c r="BJ2809" s="6"/>
      <c r="BK2809" s="6"/>
      <c r="BL2809" s="6"/>
      <c r="BM2809" s="6"/>
      <c r="BN2809" s="6"/>
      <c r="BO2809" s="6"/>
      <c r="BP2809" s="6"/>
      <c r="BQ2809" s="6"/>
      <c r="BR2809" s="6"/>
      <c r="BS2809" s="6"/>
      <c r="BT2809" s="6"/>
      <c r="BU2809" s="6"/>
      <c r="BV2809" s="6"/>
      <c r="BW2809" s="6"/>
      <c r="BX2809" s="6"/>
      <c r="BY2809" s="6"/>
      <c r="BZ2809" s="6"/>
    </row>
    <row r="2810" spans="1:78" ht="21.75" customHeight="1">
      <c r="A2810" s="6"/>
      <c r="B2810" s="6"/>
      <c r="C2810" s="6"/>
      <c r="D2810" s="6"/>
      <c r="E2810" s="6"/>
      <c r="F2810" s="6"/>
      <c r="G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O2810" s="6"/>
      <c r="AP2810" s="6"/>
      <c r="BH2810" s="6"/>
      <c r="BI2810" s="6"/>
      <c r="BJ2810" s="6"/>
      <c r="BK2810" s="6"/>
      <c r="BL2810" s="6"/>
      <c r="BM2810" s="6"/>
      <c r="BN2810" s="6"/>
      <c r="BO2810" s="6"/>
      <c r="BP2810" s="6"/>
      <c r="BQ2810" s="6"/>
      <c r="BR2810" s="6"/>
      <c r="BS2810" s="6"/>
      <c r="BT2810" s="6"/>
      <c r="BU2810" s="6"/>
      <c r="BV2810" s="6"/>
      <c r="BW2810" s="6"/>
      <c r="BX2810" s="6"/>
      <c r="BY2810" s="6"/>
      <c r="BZ2810" s="6"/>
    </row>
    <row r="2811" spans="1:78" ht="21.75" customHeight="1">
      <c r="A2811" s="6"/>
      <c r="B2811" s="6"/>
      <c r="C2811" s="6"/>
      <c r="D2811" s="6"/>
      <c r="E2811" s="6"/>
      <c r="F2811" s="6"/>
      <c r="G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O2811" s="6"/>
      <c r="AP2811" s="6"/>
      <c r="BH2811" s="6"/>
      <c r="BI2811" s="6"/>
      <c r="BJ2811" s="6"/>
      <c r="BK2811" s="6"/>
      <c r="BL2811" s="6"/>
      <c r="BM2811" s="6"/>
      <c r="BN2811" s="6"/>
      <c r="BO2811" s="6"/>
      <c r="BP2811" s="6"/>
      <c r="BQ2811" s="6"/>
      <c r="BR2811" s="6"/>
      <c r="BS2811" s="6"/>
      <c r="BT2811" s="6"/>
      <c r="BU2811" s="6"/>
      <c r="BV2811" s="6"/>
      <c r="BW2811" s="6"/>
      <c r="BX2811" s="6"/>
      <c r="BY2811" s="6"/>
      <c r="BZ2811" s="6"/>
    </row>
    <row r="2812" spans="1:78" ht="21.75" customHeight="1">
      <c r="A2812" s="6"/>
      <c r="B2812" s="6"/>
      <c r="C2812" s="6"/>
      <c r="D2812" s="6"/>
      <c r="E2812" s="6"/>
      <c r="F2812" s="6"/>
      <c r="G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O2812" s="6"/>
      <c r="AP2812" s="6"/>
      <c r="BH2812" s="6"/>
      <c r="BI2812" s="6"/>
      <c r="BJ2812" s="6"/>
      <c r="BK2812" s="6"/>
      <c r="BL2812" s="6"/>
      <c r="BM2812" s="6"/>
      <c r="BN2812" s="6"/>
      <c r="BO2812" s="6"/>
      <c r="BP2812" s="6"/>
      <c r="BQ2812" s="6"/>
      <c r="BR2812" s="6"/>
      <c r="BS2812" s="6"/>
      <c r="BT2812" s="6"/>
      <c r="BU2812" s="6"/>
      <c r="BV2812" s="6"/>
      <c r="BW2812" s="6"/>
      <c r="BX2812" s="6"/>
      <c r="BY2812" s="6"/>
      <c r="BZ2812" s="6"/>
    </row>
    <row r="2813" spans="1:78" s="450" customFormat="1" ht="21.75" customHeight="1"/>
    <row r="2814" spans="1:78" s="448" customFormat="1" ht="21.75" customHeight="1"/>
    <row r="2815" spans="1:78" s="496" customFormat="1" ht="21.75" customHeight="1"/>
    <row r="2816" spans="1:78" s="496" customFormat="1" ht="21.75" customHeight="1"/>
    <row r="2817" spans="1:78" ht="21.75" customHeight="1">
      <c r="A2817" s="6"/>
      <c r="B2817" s="6"/>
      <c r="C2817" s="6"/>
      <c r="D2817" s="6"/>
      <c r="E2817" s="6"/>
      <c r="F2817" s="6"/>
      <c r="G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O2817" s="6"/>
      <c r="AP2817" s="6"/>
      <c r="BH2817" s="6"/>
      <c r="BI2817" s="6"/>
      <c r="BJ2817" s="6"/>
      <c r="BK2817" s="6"/>
      <c r="BL2817" s="6"/>
      <c r="BM2817" s="6"/>
      <c r="BN2817" s="6"/>
      <c r="BO2817" s="6"/>
      <c r="BP2817" s="6"/>
      <c r="BQ2817" s="6"/>
      <c r="BR2817" s="6"/>
      <c r="BS2817" s="6"/>
      <c r="BT2817" s="6"/>
      <c r="BU2817" s="6"/>
      <c r="BV2817" s="6"/>
      <c r="BW2817" s="6"/>
      <c r="BX2817" s="6"/>
      <c r="BY2817" s="6"/>
      <c r="BZ2817" s="6"/>
    </row>
    <row r="2818" spans="1:78" ht="21.75" customHeight="1">
      <c r="A2818" s="6"/>
      <c r="B2818" s="6"/>
      <c r="C2818" s="6"/>
      <c r="D2818" s="6"/>
      <c r="E2818" s="6"/>
      <c r="F2818" s="6"/>
      <c r="G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O2818" s="6"/>
      <c r="AP2818" s="6"/>
      <c r="BH2818" s="6"/>
      <c r="BI2818" s="6"/>
      <c r="BJ2818" s="6"/>
      <c r="BK2818" s="6"/>
      <c r="BL2818" s="6"/>
      <c r="BM2818" s="6"/>
      <c r="BN2818" s="6"/>
      <c r="BO2818" s="6"/>
      <c r="BP2818" s="6"/>
      <c r="BQ2818" s="6"/>
      <c r="BR2818" s="6"/>
      <c r="BS2818" s="6"/>
      <c r="BT2818" s="6"/>
      <c r="BU2818" s="6"/>
      <c r="BV2818" s="6"/>
      <c r="BW2818" s="6"/>
      <c r="BX2818" s="6"/>
      <c r="BY2818" s="6"/>
      <c r="BZ2818" s="6"/>
    </row>
    <row r="2819" spans="1:78" ht="21.75" customHeight="1">
      <c r="A2819" s="6"/>
      <c r="B2819" s="6"/>
      <c r="C2819" s="6"/>
      <c r="D2819" s="6"/>
      <c r="E2819" s="6"/>
      <c r="F2819" s="6"/>
      <c r="G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O2819" s="6"/>
      <c r="AP2819" s="6"/>
      <c r="BH2819" s="6"/>
      <c r="BI2819" s="6"/>
      <c r="BJ2819" s="6"/>
      <c r="BK2819" s="6"/>
      <c r="BL2819" s="6"/>
      <c r="BM2819" s="6"/>
      <c r="BN2819" s="6"/>
      <c r="BO2819" s="6"/>
      <c r="BP2819" s="6"/>
      <c r="BQ2819" s="6"/>
      <c r="BR2819" s="6"/>
      <c r="BS2819" s="6"/>
      <c r="BT2819" s="6"/>
      <c r="BU2819" s="6"/>
      <c r="BV2819" s="6"/>
      <c r="BW2819" s="6"/>
      <c r="BX2819" s="6"/>
      <c r="BY2819" s="6"/>
      <c r="BZ2819" s="6"/>
    </row>
    <row r="2820" spans="1:78" ht="21.75" customHeight="1">
      <c r="A2820" s="6"/>
      <c r="B2820" s="6"/>
      <c r="C2820" s="6"/>
      <c r="D2820" s="6"/>
      <c r="E2820" s="6"/>
      <c r="F2820" s="6"/>
      <c r="G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O2820" s="6"/>
      <c r="AP2820" s="6"/>
      <c r="BH2820" s="6"/>
      <c r="BI2820" s="6"/>
      <c r="BJ2820" s="6"/>
      <c r="BK2820" s="6"/>
      <c r="BL2820" s="6"/>
      <c r="BM2820" s="6"/>
      <c r="BN2820" s="6"/>
      <c r="BO2820" s="6"/>
      <c r="BP2820" s="6"/>
      <c r="BQ2820" s="6"/>
      <c r="BR2820" s="6"/>
      <c r="BS2820" s="6"/>
      <c r="BT2820" s="6"/>
      <c r="BU2820" s="6"/>
      <c r="BV2820" s="6"/>
      <c r="BW2820" s="6"/>
      <c r="BX2820" s="6"/>
      <c r="BY2820" s="6"/>
      <c r="BZ2820" s="6"/>
    </row>
    <row r="2821" spans="1:78" ht="21.75" customHeight="1">
      <c r="A2821" s="6"/>
      <c r="B2821" s="6"/>
      <c r="C2821" s="6"/>
      <c r="D2821" s="6"/>
      <c r="E2821" s="6"/>
      <c r="F2821" s="6"/>
      <c r="G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O2821" s="6"/>
      <c r="AP2821" s="6"/>
      <c r="BH2821" s="6"/>
      <c r="BI2821" s="6"/>
      <c r="BJ2821" s="6"/>
      <c r="BK2821" s="6"/>
      <c r="BL2821" s="6"/>
      <c r="BM2821" s="6"/>
      <c r="BN2821" s="6"/>
      <c r="BO2821" s="6"/>
      <c r="BP2821" s="6"/>
      <c r="BQ2821" s="6"/>
      <c r="BR2821" s="6"/>
      <c r="BS2821" s="6"/>
      <c r="BT2821" s="6"/>
      <c r="BU2821" s="6"/>
      <c r="BV2821" s="6"/>
      <c r="BW2821" s="6"/>
      <c r="BX2821" s="6"/>
      <c r="BY2821" s="6"/>
      <c r="BZ2821" s="6"/>
    </row>
    <row r="2822" spans="1:78" ht="21.75" customHeight="1">
      <c r="A2822" s="6"/>
      <c r="B2822" s="6"/>
      <c r="C2822" s="6"/>
      <c r="D2822" s="6"/>
      <c r="E2822" s="6"/>
      <c r="F2822" s="6"/>
      <c r="G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O2822" s="6"/>
      <c r="AP2822" s="6"/>
      <c r="BH2822" s="6"/>
      <c r="BI2822" s="6"/>
      <c r="BJ2822" s="6"/>
      <c r="BK2822" s="6"/>
      <c r="BL2822" s="6"/>
      <c r="BM2822" s="6"/>
      <c r="BN2822" s="6"/>
      <c r="BO2822" s="6"/>
      <c r="BP2822" s="6"/>
      <c r="BQ2822" s="6"/>
      <c r="BR2822" s="6"/>
      <c r="BS2822" s="6"/>
      <c r="BT2822" s="6"/>
      <c r="BU2822" s="6"/>
      <c r="BV2822" s="6"/>
      <c r="BW2822" s="6"/>
      <c r="BX2822" s="6"/>
      <c r="BY2822" s="6"/>
      <c r="BZ2822" s="6"/>
    </row>
    <row r="2823" spans="1:78" ht="21.75" customHeight="1">
      <c r="A2823" s="6"/>
      <c r="B2823" s="6"/>
      <c r="C2823" s="6"/>
      <c r="D2823" s="6"/>
      <c r="E2823" s="6"/>
      <c r="F2823" s="6"/>
      <c r="G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O2823" s="6"/>
      <c r="AP2823" s="6"/>
      <c r="BH2823" s="6"/>
      <c r="BI2823" s="6"/>
      <c r="BJ2823" s="6"/>
      <c r="BK2823" s="6"/>
      <c r="BL2823" s="6"/>
      <c r="BM2823" s="6"/>
      <c r="BN2823" s="6"/>
      <c r="BO2823" s="6"/>
      <c r="BP2823" s="6"/>
      <c r="BQ2823" s="6"/>
      <c r="BR2823" s="6"/>
      <c r="BS2823" s="6"/>
      <c r="BT2823" s="6"/>
      <c r="BU2823" s="6"/>
      <c r="BV2823" s="6"/>
      <c r="BW2823" s="6"/>
      <c r="BX2823" s="6"/>
      <c r="BY2823" s="6"/>
      <c r="BZ2823" s="6"/>
    </row>
    <row r="2824" spans="1:78" s="496" customFormat="1" ht="21.75" customHeight="1"/>
    <row r="2825" spans="1:78" ht="21.75" customHeight="1">
      <c r="A2825" s="6"/>
      <c r="B2825" s="6"/>
      <c r="C2825" s="6"/>
      <c r="D2825" s="6"/>
      <c r="E2825" s="6"/>
      <c r="F2825" s="6"/>
      <c r="G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O2825" s="6"/>
      <c r="AP2825" s="6"/>
      <c r="BH2825" s="6"/>
      <c r="BI2825" s="6"/>
      <c r="BJ2825" s="6"/>
      <c r="BK2825" s="6"/>
      <c r="BL2825" s="6"/>
      <c r="BM2825" s="6"/>
      <c r="BN2825" s="6"/>
      <c r="BO2825" s="6"/>
      <c r="BP2825" s="6"/>
      <c r="BQ2825" s="6"/>
      <c r="BR2825" s="6"/>
      <c r="BS2825" s="6"/>
      <c r="BT2825" s="6"/>
      <c r="BU2825" s="6"/>
      <c r="BV2825" s="6"/>
      <c r="BW2825" s="6"/>
      <c r="BX2825" s="6"/>
      <c r="BY2825" s="6"/>
      <c r="BZ2825" s="6"/>
    </row>
    <row r="2826" spans="1:78" ht="21.75" customHeight="1">
      <c r="A2826" s="6"/>
      <c r="B2826" s="6"/>
      <c r="C2826" s="6"/>
      <c r="D2826" s="6"/>
      <c r="E2826" s="6"/>
      <c r="F2826" s="6"/>
      <c r="G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O2826" s="6"/>
      <c r="AP2826" s="6"/>
      <c r="BH2826" s="6"/>
      <c r="BI2826" s="6"/>
      <c r="BJ2826" s="6"/>
      <c r="BK2826" s="6"/>
      <c r="BL2826" s="6"/>
      <c r="BM2826" s="6"/>
      <c r="BN2826" s="6"/>
      <c r="BO2826" s="6"/>
      <c r="BP2826" s="6"/>
      <c r="BQ2826" s="6"/>
      <c r="BR2826" s="6"/>
      <c r="BS2826" s="6"/>
      <c r="BT2826" s="6"/>
      <c r="BU2826" s="6"/>
      <c r="BV2826" s="6"/>
      <c r="BW2826" s="6"/>
      <c r="BX2826" s="6"/>
      <c r="BY2826" s="6"/>
      <c r="BZ2826" s="6"/>
    </row>
    <row r="2827" spans="1:78" s="496" customFormat="1" ht="21.75" customHeight="1"/>
    <row r="2828" spans="1:78" ht="21.75" customHeight="1">
      <c r="A2828" s="6"/>
      <c r="B2828" s="6"/>
      <c r="C2828" s="6"/>
      <c r="D2828" s="6"/>
      <c r="E2828" s="6"/>
      <c r="F2828" s="6"/>
      <c r="G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O2828" s="6"/>
      <c r="AP2828" s="6"/>
      <c r="BH2828" s="6"/>
      <c r="BI2828" s="6"/>
      <c r="BJ2828" s="6"/>
      <c r="BK2828" s="6"/>
      <c r="BL2828" s="6"/>
      <c r="BM2828" s="6"/>
      <c r="BN2828" s="6"/>
      <c r="BO2828" s="6"/>
      <c r="BP2828" s="6"/>
      <c r="BQ2828" s="6"/>
      <c r="BR2828" s="6"/>
      <c r="BS2828" s="6"/>
      <c r="BT2828" s="6"/>
      <c r="BU2828" s="6"/>
      <c r="BV2828" s="6"/>
      <c r="BW2828" s="6"/>
      <c r="BX2828" s="6"/>
      <c r="BY2828" s="6"/>
      <c r="BZ2828" s="6"/>
    </row>
    <row r="2829" spans="1:78" ht="21.75" customHeight="1">
      <c r="A2829" s="6"/>
      <c r="B2829" s="6"/>
      <c r="C2829" s="6"/>
      <c r="D2829" s="6"/>
      <c r="E2829" s="6"/>
      <c r="F2829" s="6"/>
      <c r="G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O2829" s="6"/>
      <c r="AP2829" s="6"/>
      <c r="BH2829" s="6"/>
      <c r="BI2829" s="6"/>
      <c r="BJ2829" s="6"/>
      <c r="BK2829" s="6"/>
      <c r="BL2829" s="6"/>
      <c r="BM2829" s="6"/>
      <c r="BN2829" s="6"/>
      <c r="BO2829" s="6"/>
      <c r="BP2829" s="6"/>
      <c r="BQ2829" s="6"/>
      <c r="BR2829" s="6"/>
      <c r="BS2829" s="6"/>
      <c r="BT2829" s="6"/>
      <c r="BU2829" s="6"/>
      <c r="BV2829" s="6"/>
      <c r="BW2829" s="6"/>
      <c r="BX2829" s="6"/>
      <c r="BY2829" s="6"/>
      <c r="BZ2829" s="6"/>
    </row>
    <row r="2830" spans="1:78" ht="21.75" customHeight="1">
      <c r="A2830" s="6"/>
      <c r="B2830" s="6"/>
      <c r="C2830" s="6"/>
      <c r="D2830" s="6"/>
      <c r="E2830" s="6"/>
      <c r="F2830" s="6"/>
      <c r="G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O2830" s="6"/>
      <c r="AP2830" s="6"/>
      <c r="BH2830" s="6"/>
      <c r="BI2830" s="6"/>
      <c r="BJ2830" s="6"/>
      <c r="BK2830" s="6"/>
      <c r="BL2830" s="6"/>
      <c r="BM2830" s="6"/>
      <c r="BN2830" s="6"/>
      <c r="BO2830" s="6"/>
      <c r="BP2830" s="6"/>
      <c r="BQ2830" s="6"/>
      <c r="BR2830" s="6"/>
      <c r="BS2830" s="6"/>
      <c r="BT2830" s="6"/>
      <c r="BU2830" s="6"/>
      <c r="BV2830" s="6"/>
      <c r="BW2830" s="6"/>
      <c r="BX2830" s="6"/>
      <c r="BY2830" s="6"/>
      <c r="BZ2830" s="6"/>
    </row>
    <row r="2831" spans="1:78" ht="21.75" customHeight="1">
      <c r="A2831" s="6"/>
      <c r="B2831" s="6"/>
      <c r="C2831" s="6"/>
      <c r="D2831" s="6"/>
      <c r="E2831" s="6"/>
      <c r="F2831" s="6"/>
      <c r="G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O2831" s="6"/>
      <c r="AP2831" s="6"/>
      <c r="BH2831" s="6"/>
      <c r="BI2831" s="6"/>
      <c r="BJ2831" s="6"/>
      <c r="BK2831" s="6"/>
      <c r="BL2831" s="6"/>
      <c r="BM2831" s="6"/>
      <c r="BN2831" s="6"/>
      <c r="BO2831" s="6"/>
      <c r="BP2831" s="6"/>
      <c r="BQ2831" s="6"/>
      <c r="BR2831" s="6"/>
      <c r="BS2831" s="6"/>
      <c r="BT2831" s="6"/>
      <c r="BU2831" s="6"/>
      <c r="BV2831" s="6"/>
      <c r="BW2831" s="6"/>
      <c r="BX2831" s="6"/>
      <c r="BY2831" s="6"/>
      <c r="BZ2831" s="6"/>
    </row>
    <row r="2832" spans="1:78" s="450" customFormat="1" ht="21.75" customHeight="1"/>
    <row r="2833" spans="1:78" s="448" customFormat="1" ht="21.75" customHeight="1"/>
    <row r="2834" spans="1:78" s="496" customFormat="1" ht="21.75" customHeight="1"/>
    <row r="2835" spans="1:78" ht="21.75" customHeight="1">
      <c r="A2835" s="6"/>
      <c r="B2835" s="6"/>
      <c r="C2835" s="6"/>
      <c r="D2835" s="6"/>
      <c r="E2835" s="6"/>
      <c r="F2835" s="6"/>
      <c r="G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O2835" s="6"/>
      <c r="AP2835" s="6"/>
      <c r="BH2835" s="6"/>
      <c r="BI2835" s="6"/>
      <c r="BJ2835" s="6"/>
      <c r="BK2835" s="6"/>
      <c r="BL2835" s="6"/>
      <c r="BM2835" s="6"/>
      <c r="BN2835" s="6"/>
      <c r="BO2835" s="6"/>
      <c r="BP2835" s="6"/>
      <c r="BQ2835" s="6"/>
      <c r="BR2835" s="6"/>
      <c r="BS2835" s="6"/>
      <c r="BT2835" s="6"/>
      <c r="BU2835" s="6"/>
      <c r="BV2835" s="6"/>
      <c r="BW2835" s="6"/>
      <c r="BX2835" s="6"/>
      <c r="BY2835" s="6"/>
      <c r="BZ2835" s="6"/>
    </row>
    <row r="2836" spans="1:78" ht="21.75" customHeight="1">
      <c r="A2836" s="6"/>
      <c r="B2836" s="6"/>
      <c r="C2836" s="6"/>
      <c r="D2836" s="6"/>
      <c r="E2836" s="6"/>
      <c r="F2836" s="6"/>
      <c r="G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O2836" s="6"/>
      <c r="AP2836" s="6"/>
      <c r="BH2836" s="6"/>
      <c r="BI2836" s="6"/>
      <c r="BJ2836" s="6"/>
      <c r="BK2836" s="6"/>
      <c r="BL2836" s="6"/>
      <c r="BM2836" s="6"/>
      <c r="BN2836" s="6"/>
      <c r="BO2836" s="6"/>
      <c r="BP2836" s="6"/>
      <c r="BQ2836" s="6"/>
      <c r="BR2836" s="6"/>
      <c r="BS2836" s="6"/>
      <c r="BT2836" s="6"/>
      <c r="BU2836" s="6"/>
      <c r="BV2836" s="6"/>
      <c r="BW2836" s="6"/>
      <c r="BX2836" s="6"/>
      <c r="BY2836" s="6"/>
      <c r="BZ2836" s="6"/>
    </row>
    <row r="2837" spans="1:78" s="496" customFormat="1" ht="21.75" customHeight="1"/>
    <row r="2838" spans="1:78" ht="21.75" customHeight="1">
      <c r="A2838" s="6"/>
      <c r="B2838" s="6"/>
      <c r="C2838" s="6"/>
      <c r="D2838" s="6"/>
      <c r="E2838" s="6"/>
      <c r="F2838" s="6"/>
      <c r="G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O2838" s="6"/>
      <c r="AP2838" s="6"/>
      <c r="BH2838" s="6"/>
      <c r="BI2838" s="6"/>
      <c r="BJ2838" s="6"/>
      <c r="BK2838" s="6"/>
      <c r="BL2838" s="6"/>
      <c r="BM2838" s="6"/>
      <c r="BN2838" s="6"/>
      <c r="BO2838" s="6"/>
      <c r="BP2838" s="6"/>
      <c r="BQ2838" s="6"/>
      <c r="BR2838" s="6"/>
      <c r="BS2838" s="6"/>
      <c r="BT2838" s="6"/>
      <c r="BU2838" s="6"/>
      <c r="BV2838" s="6"/>
      <c r="BW2838" s="6"/>
      <c r="BX2838" s="6"/>
      <c r="BY2838" s="6"/>
      <c r="BZ2838" s="6"/>
    </row>
    <row r="2839" spans="1:78" ht="21.75" customHeight="1">
      <c r="A2839" s="6"/>
      <c r="B2839" s="6"/>
      <c r="C2839" s="6"/>
      <c r="D2839" s="6"/>
      <c r="E2839" s="6"/>
      <c r="F2839" s="6"/>
      <c r="G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O2839" s="6"/>
      <c r="AP2839" s="6"/>
      <c r="BH2839" s="6"/>
      <c r="BI2839" s="6"/>
      <c r="BJ2839" s="6"/>
      <c r="BK2839" s="6"/>
      <c r="BL2839" s="6"/>
      <c r="BM2839" s="6"/>
      <c r="BN2839" s="6"/>
      <c r="BO2839" s="6"/>
      <c r="BP2839" s="6"/>
      <c r="BQ2839" s="6"/>
      <c r="BR2839" s="6"/>
      <c r="BS2839" s="6"/>
      <c r="BT2839" s="6"/>
      <c r="BU2839" s="6"/>
      <c r="BV2839" s="6"/>
      <c r="BW2839" s="6"/>
      <c r="BX2839" s="6"/>
      <c r="BY2839" s="6"/>
      <c r="BZ2839" s="6"/>
    </row>
    <row r="2840" spans="1:78" ht="21.75" customHeight="1">
      <c r="A2840" s="6"/>
      <c r="B2840" s="6"/>
      <c r="C2840" s="6"/>
      <c r="D2840" s="6"/>
      <c r="E2840" s="6"/>
      <c r="F2840" s="6"/>
      <c r="G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O2840" s="6"/>
      <c r="AP2840" s="6"/>
      <c r="BH2840" s="6"/>
      <c r="BI2840" s="6"/>
      <c r="BJ2840" s="6"/>
      <c r="BK2840" s="6"/>
      <c r="BL2840" s="6"/>
      <c r="BM2840" s="6"/>
      <c r="BN2840" s="6"/>
      <c r="BO2840" s="6"/>
      <c r="BP2840" s="6"/>
      <c r="BQ2840" s="6"/>
      <c r="BR2840" s="6"/>
      <c r="BS2840" s="6"/>
      <c r="BT2840" s="6"/>
      <c r="BU2840" s="6"/>
      <c r="BV2840" s="6"/>
      <c r="BW2840" s="6"/>
      <c r="BX2840" s="6"/>
      <c r="BY2840" s="6"/>
      <c r="BZ2840" s="6"/>
    </row>
    <row r="2841" spans="1:78" s="472" customFormat="1" ht="21.75" customHeight="1"/>
    <row r="2842" spans="1:78" ht="21.75" customHeight="1">
      <c r="A2842" s="6"/>
      <c r="B2842" s="6"/>
      <c r="C2842" s="6"/>
      <c r="D2842" s="6"/>
      <c r="E2842" s="6"/>
      <c r="F2842" s="6"/>
      <c r="G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O2842" s="6"/>
      <c r="AP2842" s="6"/>
      <c r="BH2842" s="6"/>
      <c r="BI2842" s="6"/>
      <c r="BJ2842" s="6"/>
      <c r="BK2842" s="6"/>
      <c r="BL2842" s="6"/>
      <c r="BM2842" s="6"/>
      <c r="BN2842" s="6"/>
      <c r="BO2842" s="6"/>
      <c r="BP2842" s="6"/>
      <c r="BQ2842" s="6"/>
      <c r="BR2842" s="6"/>
      <c r="BS2842" s="6"/>
      <c r="BT2842" s="6"/>
      <c r="BU2842" s="6"/>
      <c r="BV2842" s="6"/>
      <c r="BW2842" s="6"/>
      <c r="BX2842" s="6"/>
      <c r="BY2842" s="6"/>
      <c r="BZ2842" s="6"/>
    </row>
    <row r="2843" spans="1:78" ht="21.75" customHeight="1">
      <c r="A2843" s="6"/>
      <c r="B2843" s="6"/>
      <c r="C2843" s="6"/>
      <c r="D2843" s="6"/>
      <c r="E2843" s="6"/>
      <c r="F2843" s="6"/>
      <c r="G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O2843" s="6"/>
      <c r="AP2843" s="6"/>
      <c r="BH2843" s="6"/>
      <c r="BI2843" s="6"/>
      <c r="BJ2843" s="6"/>
      <c r="BK2843" s="6"/>
      <c r="BL2843" s="6"/>
      <c r="BM2843" s="6"/>
      <c r="BN2843" s="6"/>
      <c r="BO2843" s="6"/>
      <c r="BP2843" s="6"/>
      <c r="BQ2843" s="6"/>
      <c r="BR2843" s="6"/>
      <c r="BS2843" s="6"/>
      <c r="BT2843" s="6"/>
      <c r="BU2843" s="6"/>
      <c r="BV2843" s="6"/>
      <c r="BW2843" s="6"/>
      <c r="BX2843" s="6"/>
      <c r="BY2843" s="6"/>
      <c r="BZ2843" s="6"/>
    </row>
    <row r="2844" spans="1:78" ht="21.75" customHeight="1">
      <c r="A2844" s="6"/>
      <c r="B2844" s="6"/>
      <c r="C2844" s="6"/>
      <c r="D2844" s="6"/>
      <c r="E2844" s="6"/>
      <c r="F2844" s="6"/>
      <c r="G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O2844" s="6"/>
      <c r="AP2844" s="6"/>
      <c r="BH2844" s="6"/>
      <c r="BI2844" s="6"/>
      <c r="BJ2844" s="6"/>
      <c r="BK2844" s="6"/>
      <c r="BL2844" s="6"/>
      <c r="BM2844" s="6"/>
      <c r="BN2844" s="6"/>
      <c r="BO2844" s="6"/>
      <c r="BP2844" s="6"/>
      <c r="BQ2844" s="6"/>
      <c r="BR2844" s="6"/>
      <c r="BS2844" s="6"/>
      <c r="BT2844" s="6"/>
      <c r="BU2844" s="6"/>
      <c r="BV2844" s="6"/>
      <c r="BW2844" s="6"/>
      <c r="BX2844" s="6"/>
      <c r="BY2844" s="6"/>
      <c r="BZ2844" s="6"/>
    </row>
    <row r="2845" spans="1:78" ht="21.75" customHeight="1">
      <c r="A2845" s="6"/>
      <c r="B2845" s="6"/>
      <c r="C2845" s="6"/>
      <c r="D2845" s="6"/>
      <c r="E2845" s="6"/>
      <c r="F2845" s="6"/>
      <c r="G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O2845" s="6"/>
      <c r="AP2845" s="6"/>
      <c r="BH2845" s="6"/>
      <c r="BI2845" s="6"/>
      <c r="BJ2845" s="6"/>
      <c r="BK2845" s="6"/>
      <c r="BL2845" s="6"/>
      <c r="BM2845" s="6"/>
      <c r="BN2845" s="6"/>
      <c r="BO2845" s="6"/>
      <c r="BP2845" s="6"/>
      <c r="BQ2845" s="6"/>
      <c r="BR2845" s="6"/>
      <c r="BS2845" s="6"/>
      <c r="BT2845" s="6"/>
      <c r="BU2845" s="6"/>
      <c r="BV2845" s="6"/>
      <c r="BW2845" s="6"/>
      <c r="BX2845" s="6"/>
      <c r="BY2845" s="6"/>
      <c r="BZ2845" s="6"/>
    </row>
    <row r="2846" spans="1:78" ht="21.75" customHeight="1">
      <c r="A2846" s="6"/>
      <c r="B2846" s="6"/>
      <c r="C2846" s="6"/>
      <c r="D2846" s="6"/>
      <c r="E2846" s="6"/>
      <c r="F2846" s="6"/>
      <c r="G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O2846" s="6"/>
      <c r="AP2846" s="6"/>
      <c r="BH2846" s="6"/>
      <c r="BI2846" s="6"/>
      <c r="BJ2846" s="6"/>
      <c r="BK2846" s="6"/>
      <c r="BL2846" s="6"/>
      <c r="BM2846" s="6"/>
      <c r="BN2846" s="6"/>
      <c r="BO2846" s="6"/>
      <c r="BP2846" s="6"/>
      <c r="BQ2846" s="6"/>
      <c r="BR2846" s="6"/>
      <c r="BS2846" s="6"/>
      <c r="BT2846" s="6"/>
      <c r="BU2846" s="6"/>
      <c r="BV2846" s="6"/>
      <c r="BW2846" s="6"/>
      <c r="BX2846" s="6"/>
      <c r="BY2846" s="6"/>
      <c r="BZ2846" s="6"/>
    </row>
    <row r="2847" spans="1:78" ht="21.75" customHeight="1">
      <c r="A2847" s="6"/>
      <c r="B2847" s="6"/>
      <c r="C2847" s="6"/>
      <c r="D2847" s="6"/>
      <c r="E2847" s="6"/>
      <c r="F2847" s="6"/>
      <c r="G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O2847" s="6"/>
      <c r="AP2847" s="6"/>
      <c r="BH2847" s="6"/>
      <c r="BI2847" s="6"/>
      <c r="BJ2847" s="6"/>
      <c r="BK2847" s="6"/>
      <c r="BL2847" s="6"/>
      <c r="BM2847" s="6"/>
      <c r="BN2847" s="6"/>
      <c r="BO2847" s="6"/>
      <c r="BP2847" s="6"/>
      <c r="BQ2847" s="6"/>
      <c r="BR2847" s="6"/>
      <c r="BS2847" s="6"/>
      <c r="BT2847" s="6"/>
      <c r="BU2847" s="6"/>
      <c r="BV2847" s="6"/>
      <c r="BW2847" s="6"/>
      <c r="BX2847" s="6"/>
      <c r="BY2847" s="6"/>
      <c r="BZ2847" s="6"/>
    </row>
    <row r="2848" spans="1:78" s="450" customFormat="1" ht="21.75" customHeight="1"/>
    <row r="2849" spans="1:78" s="448" customFormat="1" ht="21.75" customHeight="1"/>
    <row r="2850" spans="1:78" ht="21.75" customHeight="1">
      <c r="A2850" s="6"/>
      <c r="B2850" s="6"/>
      <c r="C2850" s="6"/>
      <c r="D2850" s="6"/>
      <c r="E2850" s="6"/>
      <c r="F2850" s="6"/>
      <c r="G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O2850" s="6"/>
      <c r="AP2850" s="6"/>
      <c r="BH2850" s="6"/>
      <c r="BI2850" s="6"/>
      <c r="BJ2850" s="6"/>
      <c r="BK2850" s="6"/>
      <c r="BL2850" s="6"/>
      <c r="BM2850" s="6"/>
      <c r="BN2850" s="6"/>
      <c r="BO2850" s="6"/>
      <c r="BP2850" s="6"/>
      <c r="BQ2850" s="6"/>
      <c r="BR2850" s="6"/>
      <c r="BS2850" s="6"/>
      <c r="BT2850" s="6"/>
      <c r="BU2850" s="6"/>
      <c r="BV2850" s="6"/>
      <c r="BW2850" s="6"/>
      <c r="BX2850" s="6"/>
      <c r="BY2850" s="6"/>
      <c r="BZ2850" s="6"/>
    </row>
    <row r="2851" spans="1:78" ht="21.75" customHeight="1">
      <c r="A2851" s="6"/>
      <c r="B2851" s="6"/>
      <c r="C2851" s="6"/>
      <c r="D2851" s="6"/>
      <c r="E2851" s="6"/>
      <c r="F2851" s="6"/>
      <c r="G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O2851" s="6"/>
      <c r="AP2851" s="6"/>
      <c r="BH2851" s="6"/>
      <c r="BI2851" s="6"/>
      <c r="BJ2851" s="6"/>
      <c r="BK2851" s="6"/>
      <c r="BL2851" s="6"/>
      <c r="BM2851" s="6"/>
      <c r="BN2851" s="6"/>
      <c r="BO2851" s="6"/>
      <c r="BP2851" s="6"/>
      <c r="BQ2851" s="6"/>
      <c r="BR2851" s="6"/>
      <c r="BS2851" s="6"/>
      <c r="BT2851" s="6"/>
      <c r="BU2851" s="6"/>
      <c r="BV2851" s="6"/>
      <c r="BW2851" s="6"/>
      <c r="BX2851" s="6"/>
      <c r="BY2851" s="6"/>
      <c r="BZ2851" s="6"/>
    </row>
    <row r="2852" spans="1:78" ht="21.75" customHeight="1">
      <c r="A2852" s="6"/>
      <c r="B2852" s="6"/>
      <c r="C2852" s="6"/>
      <c r="D2852" s="6"/>
      <c r="E2852" s="6"/>
      <c r="F2852" s="6"/>
      <c r="G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O2852" s="6"/>
      <c r="AP2852" s="6"/>
      <c r="BH2852" s="6"/>
      <c r="BI2852" s="6"/>
      <c r="BJ2852" s="6"/>
      <c r="BK2852" s="6"/>
      <c r="BL2852" s="6"/>
      <c r="BM2852" s="6"/>
      <c r="BN2852" s="6"/>
      <c r="BO2852" s="6"/>
      <c r="BP2852" s="6"/>
      <c r="BQ2852" s="6"/>
      <c r="BR2852" s="6"/>
      <c r="BS2852" s="6"/>
      <c r="BT2852" s="6"/>
      <c r="BU2852" s="6"/>
      <c r="BV2852" s="6"/>
      <c r="BW2852" s="6"/>
      <c r="BX2852" s="6"/>
      <c r="BY2852" s="6"/>
      <c r="BZ2852" s="6"/>
    </row>
    <row r="2853" spans="1:78" ht="21.75" customHeight="1">
      <c r="A2853" s="6"/>
      <c r="B2853" s="6"/>
      <c r="C2853" s="6"/>
      <c r="D2853" s="6"/>
      <c r="E2853" s="6"/>
      <c r="F2853" s="6"/>
      <c r="G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O2853" s="6"/>
      <c r="AP2853" s="6"/>
      <c r="BH2853" s="6"/>
      <c r="BI2853" s="6"/>
      <c r="BJ2853" s="6"/>
      <c r="BK2853" s="6"/>
      <c r="BL2853" s="6"/>
      <c r="BM2853" s="6"/>
      <c r="BN2853" s="6"/>
      <c r="BO2853" s="6"/>
      <c r="BP2853" s="6"/>
      <c r="BQ2853" s="6"/>
      <c r="BR2853" s="6"/>
      <c r="BS2853" s="6"/>
      <c r="BT2853" s="6"/>
      <c r="BU2853" s="6"/>
      <c r="BV2853" s="6"/>
      <c r="BW2853" s="6"/>
      <c r="BX2853" s="6"/>
      <c r="BY2853" s="6"/>
      <c r="BZ2853" s="6"/>
    </row>
    <row r="2854" spans="1:78" s="496" customFormat="1" ht="21.75" customHeight="1"/>
    <row r="2855" spans="1:78" ht="21.75" customHeight="1">
      <c r="A2855" s="6"/>
      <c r="B2855" s="6"/>
      <c r="C2855" s="6"/>
      <c r="D2855" s="6"/>
      <c r="E2855" s="6"/>
      <c r="F2855" s="6"/>
      <c r="G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O2855" s="6"/>
      <c r="AP2855" s="6"/>
      <c r="BH2855" s="6"/>
      <c r="BI2855" s="6"/>
      <c r="BJ2855" s="6"/>
      <c r="BK2855" s="6"/>
      <c r="BL2855" s="6"/>
      <c r="BM2855" s="6"/>
      <c r="BN2855" s="6"/>
      <c r="BO2855" s="6"/>
      <c r="BP2855" s="6"/>
      <c r="BQ2855" s="6"/>
      <c r="BR2855" s="6"/>
      <c r="BS2855" s="6"/>
      <c r="BT2855" s="6"/>
      <c r="BU2855" s="6"/>
      <c r="BV2855" s="6"/>
      <c r="BW2855" s="6"/>
      <c r="BX2855" s="6"/>
      <c r="BY2855" s="6"/>
      <c r="BZ2855" s="6"/>
    </row>
    <row r="2856" spans="1:78" s="496" customFormat="1" ht="21.75" customHeight="1"/>
    <row r="2857" spans="1:78" ht="21.75" customHeight="1">
      <c r="A2857" s="6"/>
      <c r="B2857" s="6"/>
      <c r="C2857" s="6"/>
      <c r="D2857" s="6"/>
      <c r="E2857" s="6"/>
      <c r="F2857" s="6"/>
      <c r="G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O2857" s="6"/>
      <c r="AP2857" s="6"/>
      <c r="BH2857" s="6"/>
      <c r="BI2857" s="6"/>
      <c r="BJ2857" s="6"/>
      <c r="BK2857" s="6"/>
      <c r="BL2857" s="6"/>
      <c r="BM2857" s="6"/>
      <c r="BN2857" s="6"/>
      <c r="BO2857" s="6"/>
      <c r="BP2857" s="6"/>
      <c r="BQ2857" s="6"/>
      <c r="BR2857" s="6"/>
      <c r="BS2857" s="6"/>
      <c r="BT2857" s="6"/>
      <c r="BU2857" s="6"/>
      <c r="BV2857" s="6"/>
      <c r="BW2857" s="6"/>
      <c r="BX2857" s="6"/>
      <c r="BY2857" s="6"/>
      <c r="BZ2857" s="6"/>
    </row>
    <row r="2858" spans="1:78" ht="21.75" customHeight="1">
      <c r="A2858" s="6"/>
      <c r="B2858" s="6"/>
      <c r="C2858" s="6"/>
      <c r="D2858" s="6"/>
      <c r="E2858" s="6"/>
      <c r="F2858" s="6"/>
      <c r="G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O2858" s="6"/>
      <c r="AP2858" s="6"/>
      <c r="BH2858" s="6"/>
      <c r="BI2858" s="6"/>
      <c r="BJ2858" s="6"/>
      <c r="BK2858" s="6"/>
      <c r="BL2858" s="6"/>
      <c r="BM2858" s="6"/>
      <c r="BN2858" s="6"/>
      <c r="BO2858" s="6"/>
      <c r="BP2858" s="6"/>
      <c r="BQ2858" s="6"/>
      <c r="BR2858" s="6"/>
      <c r="BS2858" s="6"/>
      <c r="BT2858" s="6"/>
      <c r="BU2858" s="6"/>
      <c r="BV2858" s="6"/>
      <c r="BW2858" s="6"/>
      <c r="BX2858" s="6"/>
      <c r="BY2858" s="6"/>
      <c r="BZ2858" s="6"/>
    </row>
    <row r="2859" spans="1:78" ht="21.75" customHeight="1">
      <c r="A2859" s="6"/>
      <c r="B2859" s="6"/>
      <c r="C2859" s="6"/>
      <c r="D2859" s="6"/>
      <c r="E2859" s="6"/>
      <c r="F2859" s="6"/>
      <c r="G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O2859" s="6"/>
      <c r="AP2859" s="6"/>
      <c r="BH2859" s="6"/>
      <c r="BI2859" s="6"/>
      <c r="BJ2859" s="6"/>
      <c r="BK2859" s="6"/>
      <c r="BL2859" s="6"/>
      <c r="BM2859" s="6"/>
      <c r="BN2859" s="6"/>
      <c r="BO2859" s="6"/>
      <c r="BP2859" s="6"/>
      <c r="BQ2859" s="6"/>
      <c r="BR2859" s="6"/>
      <c r="BS2859" s="6"/>
      <c r="BT2859" s="6"/>
      <c r="BU2859" s="6"/>
      <c r="BV2859" s="6"/>
      <c r="BW2859" s="6"/>
      <c r="BX2859" s="6"/>
      <c r="BY2859" s="6"/>
      <c r="BZ2859" s="6"/>
    </row>
    <row r="2860" spans="1:78" ht="21.75" customHeight="1">
      <c r="A2860" s="6"/>
      <c r="B2860" s="6"/>
      <c r="C2860" s="6"/>
      <c r="D2860" s="6"/>
      <c r="E2860" s="6"/>
      <c r="F2860" s="6"/>
      <c r="G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O2860" s="6"/>
      <c r="AP2860" s="6"/>
      <c r="BH2860" s="6"/>
      <c r="BI2860" s="6"/>
      <c r="BJ2860" s="6"/>
      <c r="BK2860" s="6"/>
      <c r="BL2860" s="6"/>
      <c r="BM2860" s="6"/>
      <c r="BN2860" s="6"/>
      <c r="BO2860" s="6"/>
      <c r="BP2860" s="6"/>
      <c r="BQ2860" s="6"/>
      <c r="BR2860" s="6"/>
      <c r="BS2860" s="6"/>
      <c r="BT2860" s="6"/>
      <c r="BU2860" s="6"/>
      <c r="BV2860" s="6"/>
      <c r="BW2860" s="6"/>
      <c r="BX2860" s="6"/>
      <c r="BY2860" s="6"/>
      <c r="BZ2860" s="6"/>
    </row>
    <row r="2861" spans="1:78" ht="21.75" customHeight="1">
      <c r="A2861" s="6"/>
      <c r="B2861" s="6"/>
      <c r="C2861" s="6"/>
      <c r="D2861" s="6"/>
      <c r="E2861" s="6"/>
      <c r="F2861" s="6"/>
      <c r="G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O2861" s="6"/>
      <c r="AP2861" s="6"/>
      <c r="BH2861" s="6"/>
      <c r="BI2861" s="6"/>
      <c r="BJ2861" s="6"/>
      <c r="BK2861" s="6"/>
      <c r="BL2861" s="6"/>
      <c r="BM2861" s="6"/>
      <c r="BN2861" s="6"/>
      <c r="BO2861" s="6"/>
      <c r="BP2861" s="6"/>
      <c r="BQ2861" s="6"/>
      <c r="BR2861" s="6"/>
      <c r="BS2861" s="6"/>
      <c r="BT2861" s="6"/>
      <c r="BU2861" s="6"/>
      <c r="BV2861" s="6"/>
      <c r="BW2861" s="6"/>
      <c r="BX2861" s="6"/>
      <c r="BY2861" s="6"/>
      <c r="BZ2861" s="6"/>
    </row>
    <row r="2862" spans="1:78" s="496" customFormat="1" ht="21.75" customHeight="1"/>
    <row r="2863" spans="1:78" ht="21.75" customHeight="1">
      <c r="A2863" s="6"/>
      <c r="B2863" s="6"/>
      <c r="C2863" s="6"/>
      <c r="D2863" s="6"/>
      <c r="E2863" s="6"/>
      <c r="F2863" s="6"/>
      <c r="G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O2863" s="6"/>
      <c r="AP2863" s="6"/>
      <c r="BH2863" s="6"/>
      <c r="BI2863" s="6"/>
      <c r="BJ2863" s="6"/>
      <c r="BK2863" s="6"/>
      <c r="BL2863" s="6"/>
      <c r="BM2863" s="6"/>
      <c r="BN2863" s="6"/>
      <c r="BO2863" s="6"/>
      <c r="BP2863" s="6"/>
      <c r="BQ2863" s="6"/>
      <c r="BR2863" s="6"/>
      <c r="BS2863" s="6"/>
      <c r="BT2863" s="6"/>
      <c r="BU2863" s="6"/>
      <c r="BV2863" s="6"/>
      <c r="BW2863" s="6"/>
      <c r="BX2863" s="6"/>
      <c r="BY2863" s="6"/>
      <c r="BZ2863" s="6"/>
    </row>
    <row r="2864" spans="1:78" ht="21.75" customHeight="1">
      <c r="A2864" s="6"/>
      <c r="B2864" s="6"/>
      <c r="C2864" s="6"/>
      <c r="D2864" s="6"/>
      <c r="E2864" s="6"/>
      <c r="F2864" s="6"/>
      <c r="G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O2864" s="6"/>
      <c r="AP2864" s="6"/>
      <c r="BH2864" s="6"/>
      <c r="BI2864" s="6"/>
      <c r="BJ2864" s="6"/>
      <c r="BK2864" s="6"/>
      <c r="BL2864" s="6"/>
      <c r="BM2864" s="6"/>
      <c r="BN2864" s="6"/>
      <c r="BO2864" s="6"/>
      <c r="BP2864" s="6"/>
      <c r="BQ2864" s="6"/>
      <c r="BR2864" s="6"/>
      <c r="BS2864" s="6"/>
      <c r="BT2864" s="6"/>
      <c r="BU2864" s="6"/>
      <c r="BV2864" s="6"/>
      <c r="BW2864" s="6"/>
      <c r="BX2864" s="6"/>
      <c r="BY2864" s="6"/>
      <c r="BZ2864" s="6"/>
    </row>
    <row r="2865" spans="1:78" ht="21.75" customHeight="1">
      <c r="A2865" s="6"/>
      <c r="B2865" s="6"/>
      <c r="C2865" s="6"/>
      <c r="D2865" s="6"/>
      <c r="E2865" s="6"/>
      <c r="F2865" s="6"/>
      <c r="G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O2865" s="6"/>
      <c r="AP2865" s="6"/>
      <c r="BH2865" s="6"/>
      <c r="BI2865" s="6"/>
      <c r="BJ2865" s="6"/>
      <c r="BK2865" s="6"/>
      <c r="BL2865" s="6"/>
      <c r="BM2865" s="6"/>
      <c r="BN2865" s="6"/>
      <c r="BO2865" s="6"/>
      <c r="BP2865" s="6"/>
      <c r="BQ2865" s="6"/>
      <c r="BR2865" s="6"/>
      <c r="BS2865" s="6"/>
      <c r="BT2865" s="6"/>
      <c r="BU2865" s="6"/>
      <c r="BV2865" s="6"/>
      <c r="BW2865" s="6"/>
      <c r="BX2865" s="6"/>
      <c r="BY2865" s="6"/>
      <c r="BZ2865" s="6"/>
    </row>
    <row r="2866" spans="1:78" ht="21.75" customHeight="1">
      <c r="A2866" s="6"/>
      <c r="B2866" s="6"/>
      <c r="C2866" s="6"/>
      <c r="D2866" s="6"/>
      <c r="E2866" s="6"/>
      <c r="F2866" s="6"/>
      <c r="G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O2866" s="6"/>
      <c r="AP2866" s="6"/>
      <c r="BH2866" s="6"/>
      <c r="BI2866" s="6"/>
      <c r="BJ2866" s="6"/>
      <c r="BK2866" s="6"/>
      <c r="BL2866" s="6"/>
      <c r="BM2866" s="6"/>
      <c r="BN2866" s="6"/>
      <c r="BO2866" s="6"/>
      <c r="BP2866" s="6"/>
      <c r="BQ2866" s="6"/>
      <c r="BR2866" s="6"/>
      <c r="BS2866" s="6"/>
      <c r="BT2866" s="6"/>
      <c r="BU2866" s="6"/>
      <c r="BV2866" s="6"/>
      <c r="BW2866" s="6"/>
      <c r="BX2866" s="6"/>
      <c r="BY2866" s="6"/>
      <c r="BZ2866" s="6"/>
    </row>
    <row r="2867" spans="1:78" s="450" customFormat="1" ht="21.75" customHeight="1"/>
    <row r="2868" spans="1:78" s="448" customFormat="1" ht="21.75" customHeight="1"/>
    <row r="2869" spans="1:78" ht="21.75" customHeight="1">
      <c r="A2869" s="6"/>
      <c r="B2869" s="6"/>
      <c r="C2869" s="6"/>
      <c r="D2869" s="6"/>
      <c r="E2869" s="6"/>
      <c r="F2869" s="6"/>
      <c r="G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O2869" s="6"/>
      <c r="AP2869" s="6"/>
      <c r="BH2869" s="6"/>
      <c r="BI2869" s="6"/>
      <c r="BJ2869" s="6"/>
      <c r="BK2869" s="6"/>
      <c r="BL2869" s="6"/>
      <c r="BM2869" s="6"/>
      <c r="BN2869" s="6"/>
      <c r="BO2869" s="6"/>
      <c r="BP2869" s="6"/>
      <c r="BQ2869" s="6"/>
      <c r="BR2869" s="6"/>
      <c r="BS2869" s="6"/>
      <c r="BT2869" s="6"/>
      <c r="BU2869" s="6"/>
      <c r="BV2869" s="6"/>
      <c r="BW2869" s="6"/>
      <c r="BX2869" s="6"/>
      <c r="BY2869" s="6"/>
      <c r="BZ2869" s="6"/>
    </row>
    <row r="2870" spans="1:78" ht="21.75" customHeight="1">
      <c r="A2870" s="6"/>
      <c r="B2870" s="6"/>
      <c r="C2870" s="6"/>
      <c r="D2870" s="6"/>
      <c r="E2870" s="6"/>
      <c r="F2870" s="6"/>
      <c r="G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O2870" s="6"/>
      <c r="AP2870" s="6"/>
      <c r="BH2870" s="6"/>
      <c r="BI2870" s="6"/>
      <c r="BJ2870" s="6"/>
      <c r="BK2870" s="6"/>
      <c r="BL2870" s="6"/>
      <c r="BM2870" s="6"/>
      <c r="BN2870" s="6"/>
      <c r="BO2870" s="6"/>
      <c r="BP2870" s="6"/>
      <c r="BQ2870" s="6"/>
      <c r="BR2870" s="6"/>
      <c r="BS2870" s="6"/>
      <c r="BT2870" s="6"/>
      <c r="BU2870" s="6"/>
      <c r="BV2870" s="6"/>
      <c r="BW2870" s="6"/>
      <c r="BX2870" s="6"/>
      <c r="BY2870" s="6"/>
      <c r="BZ2870" s="6"/>
    </row>
    <row r="2871" spans="1:78" s="496" customFormat="1" ht="21.75" customHeight="1"/>
    <row r="2872" spans="1:78" s="472" customFormat="1" ht="21.75" customHeight="1"/>
    <row r="2873" spans="1:78" ht="21.75" customHeight="1">
      <c r="A2873" s="6"/>
      <c r="B2873" s="6"/>
      <c r="C2873" s="6"/>
      <c r="D2873" s="6"/>
      <c r="E2873" s="6"/>
      <c r="F2873" s="6"/>
      <c r="G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O2873" s="6"/>
      <c r="AP2873" s="6"/>
      <c r="BH2873" s="6"/>
      <c r="BI2873" s="6"/>
      <c r="BJ2873" s="6"/>
      <c r="BK2873" s="6"/>
      <c r="BL2873" s="6"/>
      <c r="BM2873" s="6"/>
      <c r="BN2873" s="6"/>
      <c r="BO2873" s="6"/>
      <c r="BP2873" s="6"/>
      <c r="BQ2873" s="6"/>
      <c r="BR2873" s="6"/>
      <c r="BS2873" s="6"/>
      <c r="BT2873" s="6"/>
      <c r="BU2873" s="6"/>
      <c r="BV2873" s="6"/>
      <c r="BW2873" s="6"/>
      <c r="BX2873" s="6"/>
      <c r="BY2873" s="6"/>
      <c r="BZ2873" s="6"/>
    </row>
    <row r="2874" spans="1:78" s="478" customFormat="1" ht="21.75" customHeight="1"/>
    <row r="2875" spans="1:78" s="476" customFormat="1" ht="21.75" customHeight="1"/>
    <row r="2876" spans="1:78" ht="21.75" customHeight="1">
      <c r="A2876" s="6"/>
      <c r="B2876" s="6"/>
      <c r="C2876" s="6"/>
      <c r="D2876" s="6"/>
      <c r="E2876" s="6"/>
      <c r="F2876" s="6"/>
      <c r="G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O2876" s="6"/>
      <c r="AP2876" s="6"/>
      <c r="BH2876" s="6"/>
      <c r="BI2876" s="6"/>
      <c r="BJ2876" s="6"/>
      <c r="BK2876" s="6"/>
      <c r="BL2876" s="6"/>
      <c r="BM2876" s="6"/>
      <c r="BN2876" s="6"/>
      <c r="BO2876" s="6"/>
      <c r="BP2876" s="6"/>
      <c r="BQ2876" s="6"/>
      <c r="BR2876" s="6"/>
      <c r="BS2876" s="6"/>
      <c r="BT2876" s="6"/>
      <c r="BU2876" s="6"/>
      <c r="BV2876" s="6"/>
      <c r="BW2876" s="6"/>
      <c r="BX2876" s="6"/>
      <c r="BY2876" s="6"/>
      <c r="BZ2876" s="6"/>
    </row>
    <row r="2877" spans="1:78" s="496" customFormat="1" ht="21.75" customHeight="1"/>
    <row r="2878" spans="1:78" ht="21.75" customHeight="1">
      <c r="A2878" s="6"/>
      <c r="B2878" s="6"/>
      <c r="C2878" s="6"/>
      <c r="D2878" s="6"/>
      <c r="E2878" s="6"/>
      <c r="F2878" s="6"/>
      <c r="G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O2878" s="6"/>
      <c r="AP2878" s="6"/>
      <c r="BH2878" s="6"/>
      <c r="BI2878" s="6"/>
      <c r="BJ2878" s="6"/>
      <c r="BK2878" s="6"/>
      <c r="BL2878" s="6"/>
      <c r="BM2878" s="6"/>
      <c r="BN2878" s="6"/>
      <c r="BO2878" s="6"/>
      <c r="BP2878" s="6"/>
      <c r="BQ2878" s="6"/>
      <c r="BR2878" s="6"/>
      <c r="BS2878" s="6"/>
      <c r="BT2878" s="6"/>
      <c r="BU2878" s="6"/>
      <c r="BV2878" s="6"/>
      <c r="BW2878" s="6"/>
      <c r="BX2878" s="6"/>
      <c r="BY2878" s="6"/>
      <c r="BZ2878" s="6"/>
    </row>
    <row r="2879" spans="1:78" s="472" customFormat="1" ht="21.75" customHeight="1"/>
    <row r="2880" spans="1:78" ht="21.75" customHeight="1">
      <c r="A2880" s="6"/>
      <c r="B2880" s="6"/>
      <c r="C2880" s="6"/>
      <c r="D2880" s="6"/>
      <c r="E2880" s="6"/>
      <c r="F2880" s="6"/>
      <c r="G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O2880" s="6"/>
      <c r="AP2880" s="6"/>
      <c r="BH2880" s="6"/>
      <c r="BI2880" s="6"/>
      <c r="BJ2880" s="6"/>
      <c r="BK2880" s="6"/>
      <c r="BL2880" s="6"/>
      <c r="BM2880" s="6"/>
      <c r="BN2880" s="6"/>
      <c r="BO2880" s="6"/>
      <c r="BP2880" s="6"/>
      <c r="BQ2880" s="6"/>
      <c r="BR2880" s="6"/>
      <c r="BS2880" s="6"/>
      <c r="BT2880" s="6"/>
      <c r="BU2880" s="6"/>
      <c r="BV2880" s="6"/>
      <c r="BW2880" s="6"/>
      <c r="BX2880" s="6"/>
      <c r="BY2880" s="6"/>
      <c r="BZ2880" s="6"/>
    </row>
    <row r="2881" spans="1:78" ht="21.75" customHeight="1">
      <c r="A2881" s="6"/>
      <c r="B2881" s="6"/>
      <c r="C2881" s="6"/>
      <c r="D2881" s="6"/>
      <c r="E2881" s="6"/>
      <c r="F2881" s="6"/>
      <c r="G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O2881" s="6"/>
      <c r="AP2881" s="6"/>
      <c r="BH2881" s="6"/>
      <c r="BI2881" s="6"/>
      <c r="BJ2881" s="6"/>
      <c r="BK2881" s="6"/>
      <c r="BL2881" s="6"/>
      <c r="BM2881" s="6"/>
      <c r="BN2881" s="6"/>
      <c r="BO2881" s="6"/>
      <c r="BP2881" s="6"/>
      <c r="BQ2881" s="6"/>
      <c r="BR2881" s="6"/>
      <c r="BS2881" s="6"/>
      <c r="BT2881" s="6"/>
      <c r="BU2881" s="6"/>
      <c r="BV2881" s="6"/>
      <c r="BW2881" s="6"/>
      <c r="BX2881" s="6"/>
      <c r="BY2881" s="6"/>
      <c r="BZ2881" s="6"/>
    </row>
    <row r="2882" spans="1:78" ht="21.75" customHeight="1">
      <c r="A2882" s="6"/>
      <c r="B2882" s="6"/>
      <c r="C2882" s="6"/>
      <c r="D2882" s="6"/>
      <c r="E2882" s="6"/>
      <c r="F2882" s="6"/>
      <c r="G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O2882" s="6"/>
      <c r="AP2882" s="6"/>
      <c r="BH2882" s="6"/>
      <c r="BI2882" s="6"/>
      <c r="BJ2882" s="6"/>
      <c r="BK2882" s="6"/>
      <c r="BL2882" s="6"/>
      <c r="BM2882" s="6"/>
      <c r="BN2882" s="6"/>
      <c r="BO2882" s="6"/>
      <c r="BP2882" s="6"/>
      <c r="BQ2882" s="6"/>
      <c r="BR2882" s="6"/>
      <c r="BS2882" s="6"/>
      <c r="BT2882" s="6"/>
      <c r="BU2882" s="6"/>
      <c r="BV2882" s="6"/>
      <c r="BW2882" s="6"/>
      <c r="BX2882" s="6"/>
      <c r="BY2882" s="6"/>
      <c r="BZ2882" s="6"/>
    </row>
    <row r="2883" spans="1:78" ht="21.75" customHeight="1">
      <c r="A2883" s="6"/>
      <c r="B2883" s="6"/>
      <c r="C2883" s="6"/>
      <c r="D2883" s="6"/>
      <c r="E2883" s="6"/>
      <c r="F2883" s="6"/>
      <c r="G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O2883" s="6"/>
      <c r="AP2883" s="6"/>
      <c r="BH2883" s="6"/>
      <c r="BI2883" s="6"/>
      <c r="BJ2883" s="6"/>
      <c r="BK2883" s="6"/>
      <c r="BL2883" s="6"/>
      <c r="BM2883" s="6"/>
      <c r="BN2883" s="6"/>
      <c r="BO2883" s="6"/>
      <c r="BP2883" s="6"/>
      <c r="BQ2883" s="6"/>
      <c r="BR2883" s="6"/>
      <c r="BS2883" s="6"/>
      <c r="BT2883" s="6"/>
      <c r="BU2883" s="6"/>
      <c r="BV2883" s="6"/>
      <c r="BW2883" s="6"/>
      <c r="BX2883" s="6"/>
      <c r="BY2883" s="6"/>
      <c r="BZ2883" s="6"/>
    </row>
    <row r="2884" spans="1:78" ht="21.75" customHeight="1">
      <c r="A2884" s="6"/>
      <c r="B2884" s="6"/>
      <c r="C2884" s="6"/>
      <c r="D2884" s="6"/>
      <c r="E2884" s="6"/>
      <c r="F2884" s="6"/>
      <c r="G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O2884" s="6"/>
      <c r="AP2884" s="6"/>
      <c r="BH2884" s="6"/>
      <c r="BI2884" s="6"/>
      <c r="BJ2884" s="6"/>
      <c r="BK2884" s="6"/>
      <c r="BL2884" s="6"/>
      <c r="BM2884" s="6"/>
      <c r="BN2884" s="6"/>
      <c r="BO2884" s="6"/>
      <c r="BP2884" s="6"/>
      <c r="BQ2884" s="6"/>
      <c r="BR2884" s="6"/>
      <c r="BS2884" s="6"/>
      <c r="BT2884" s="6"/>
      <c r="BU2884" s="6"/>
      <c r="BV2884" s="6"/>
      <c r="BW2884" s="6"/>
      <c r="BX2884" s="6"/>
      <c r="BY2884" s="6"/>
      <c r="BZ2884" s="6"/>
    </row>
    <row r="2885" spans="1:78" ht="21.75" customHeight="1">
      <c r="A2885" s="6"/>
      <c r="B2885" s="6"/>
      <c r="C2885" s="6"/>
      <c r="D2885" s="6"/>
      <c r="E2885" s="6"/>
      <c r="F2885" s="6"/>
      <c r="G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O2885" s="6"/>
      <c r="AP2885" s="6"/>
      <c r="BH2885" s="6"/>
      <c r="BI2885" s="6"/>
      <c r="BJ2885" s="6"/>
      <c r="BK2885" s="6"/>
      <c r="BL2885" s="6"/>
      <c r="BM2885" s="6"/>
      <c r="BN2885" s="6"/>
      <c r="BO2885" s="6"/>
      <c r="BP2885" s="6"/>
      <c r="BQ2885" s="6"/>
      <c r="BR2885" s="6"/>
      <c r="BS2885" s="6"/>
      <c r="BT2885" s="6"/>
      <c r="BU2885" s="6"/>
      <c r="BV2885" s="6"/>
      <c r="BW2885" s="6"/>
      <c r="BX2885" s="6"/>
      <c r="BY2885" s="6"/>
      <c r="BZ2885" s="6"/>
    </row>
    <row r="2886" spans="1:78" ht="21.75" customHeight="1">
      <c r="A2886" s="6"/>
      <c r="B2886" s="6"/>
      <c r="C2886" s="6"/>
      <c r="D2886" s="6"/>
      <c r="E2886" s="6"/>
      <c r="F2886" s="6"/>
      <c r="G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O2886" s="6"/>
      <c r="AP2886" s="6"/>
      <c r="BH2886" s="6"/>
      <c r="BI2886" s="6"/>
      <c r="BJ2886" s="6"/>
      <c r="BK2886" s="6"/>
      <c r="BL2886" s="6"/>
      <c r="BM2886" s="6"/>
      <c r="BN2886" s="6"/>
      <c r="BO2886" s="6"/>
      <c r="BP2886" s="6"/>
      <c r="BQ2886" s="6"/>
      <c r="BR2886" s="6"/>
      <c r="BS2886" s="6"/>
      <c r="BT2886" s="6"/>
      <c r="BU2886" s="6"/>
      <c r="BV2886" s="6"/>
      <c r="BW2886" s="6"/>
      <c r="BX2886" s="6"/>
      <c r="BY2886" s="6"/>
      <c r="BZ2886" s="6"/>
    </row>
    <row r="2887" spans="1:78" s="450" customFormat="1" ht="21.75" customHeight="1"/>
    <row r="2888" spans="1:78" s="448" customFormat="1" ht="21.75" customHeight="1"/>
    <row r="2889" spans="1:78" ht="21.75" customHeight="1">
      <c r="A2889" s="6"/>
      <c r="B2889" s="6"/>
      <c r="C2889" s="6"/>
      <c r="D2889" s="6"/>
      <c r="E2889" s="6"/>
      <c r="F2889" s="6"/>
      <c r="G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O2889" s="6"/>
      <c r="AP2889" s="6"/>
      <c r="BH2889" s="6"/>
      <c r="BI2889" s="6"/>
      <c r="BJ2889" s="6"/>
      <c r="BK2889" s="6"/>
      <c r="BL2889" s="6"/>
      <c r="BM2889" s="6"/>
      <c r="BN2889" s="6"/>
      <c r="BO2889" s="6"/>
      <c r="BP2889" s="6"/>
      <c r="BQ2889" s="6"/>
      <c r="BR2889" s="6"/>
      <c r="BS2889" s="6"/>
      <c r="BT2889" s="6"/>
      <c r="BU2889" s="6"/>
      <c r="BV2889" s="6"/>
      <c r="BW2889" s="6"/>
      <c r="BX2889" s="6"/>
      <c r="BY2889" s="6"/>
      <c r="BZ2889" s="6"/>
    </row>
    <row r="2890" spans="1:78" s="496" customFormat="1" ht="21.75" customHeight="1"/>
    <row r="2891" spans="1:78" ht="21.75" customHeight="1">
      <c r="A2891" s="6"/>
      <c r="B2891" s="6"/>
      <c r="C2891" s="6"/>
      <c r="D2891" s="6"/>
      <c r="E2891" s="6"/>
      <c r="F2891" s="6"/>
      <c r="G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O2891" s="6"/>
      <c r="AP2891" s="6"/>
      <c r="BH2891" s="6"/>
      <c r="BI2891" s="6"/>
      <c r="BJ2891" s="6"/>
      <c r="BK2891" s="6"/>
      <c r="BL2891" s="6"/>
      <c r="BM2891" s="6"/>
      <c r="BN2891" s="6"/>
      <c r="BO2891" s="6"/>
      <c r="BP2891" s="6"/>
      <c r="BQ2891" s="6"/>
      <c r="BR2891" s="6"/>
      <c r="BS2891" s="6"/>
      <c r="BT2891" s="6"/>
      <c r="BU2891" s="6"/>
      <c r="BV2891" s="6"/>
      <c r="BW2891" s="6"/>
      <c r="BX2891" s="6"/>
      <c r="BY2891" s="6"/>
      <c r="BZ2891" s="6"/>
    </row>
    <row r="2892" spans="1:78" ht="21.75" customHeight="1">
      <c r="A2892" s="6"/>
      <c r="B2892" s="6"/>
      <c r="C2892" s="6"/>
      <c r="D2892" s="6"/>
      <c r="E2892" s="6"/>
      <c r="F2892" s="6"/>
      <c r="G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O2892" s="6"/>
      <c r="AP2892" s="6"/>
      <c r="BH2892" s="6"/>
      <c r="BI2892" s="6"/>
      <c r="BJ2892" s="6"/>
      <c r="BK2892" s="6"/>
      <c r="BL2892" s="6"/>
      <c r="BM2892" s="6"/>
      <c r="BN2892" s="6"/>
      <c r="BO2892" s="6"/>
      <c r="BP2892" s="6"/>
      <c r="BQ2892" s="6"/>
      <c r="BR2892" s="6"/>
      <c r="BS2892" s="6"/>
      <c r="BT2892" s="6"/>
      <c r="BU2892" s="6"/>
      <c r="BV2892" s="6"/>
      <c r="BW2892" s="6"/>
      <c r="BX2892" s="6"/>
      <c r="BY2892" s="6"/>
      <c r="BZ2892" s="6"/>
    </row>
    <row r="2893" spans="1:78" s="472" customFormat="1" ht="21.75" customHeight="1"/>
    <row r="2894" spans="1:78" ht="21.75" customHeight="1">
      <c r="A2894" s="6"/>
      <c r="B2894" s="6"/>
      <c r="C2894" s="6"/>
      <c r="D2894" s="6"/>
      <c r="E2894" s="6"/>
      <c r="F2894" s="6"/>
      <c r="G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O2894" s="6"/>
      <c r="AP2894" s="6"/>
      <c r="BH2894" s="6"/>
      <c r="BI2894" s="6"/>
      <c r="BJ2894" s="6"/>
      <c r="BK2894" s="6"/>
      <c r="BL2894" s="6"/>
      <c r="BM2894" s="6"/>
      <c r="BN2894" s="6"/>
      <c r="BO2894" s="6"/>
      <c r="BP2894" s="6"/>
      <c r="BQ2894" s="6"/>
      <c r="BR2894" s="6"/>
      <c r="BS2894" s="6"/>
      <c r="BT2894" s="6"/>
      <c r="BU2894" s="6"/>
      <c r="BV2894" s="6"/>
      <c r="BW2894" s="6"/>
      <c r="BX2894" s="6"/>
      <c r="BY2894" s="6"/>
      <c r="BZ2894" s="6"/>
    </row>
    <row r="2895" spans="1:78" ht="21.75" customHeight="1">
      <c r="A2895" s="6"/>
      <c r="B2895" s="6"/>
      <c r="C2895" s="6"/>
      <c r="D2895" s="6"/>
      <c r="E2895" s="6"/>
      <c r="F2895" s="6"/>
      <c r="G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O2895" s="6"/>
      <c r="AP2895" s="6"/>
      <c r="BH2895" s="6"/>
      <c r="BI2895" s="6"/>
      <c r="BJ2895" s="6"/>
      <c r="BK2895" s="6"/>
      <c r="BL2895" s="6"/>
      <c r="BM2895" s="6"/>
      <c r="BN2895" s="6"/>
      <c r="BO2895" s="6"/>
      <c r="BP2895" s="6"/>
      <c r="BQ2895" s="6"/>
      <c r="BR2895" s="6"/>
      <c r="BS2895" s="6"/>
      <c r="BT2895" s="6"/>
      <c r="BU2895" s="6"/>
      <c r="BV2895" s="6"/>
      <c r="BW2895" s="6"/>
      <c r="BX2895" s="6"/>
      <c r="BY2895" s="6"/>
      <c r="BZ2895" s="6"/>
    </row>
    <row r="2896" spans="1:78" ht="21.75" customHeight="1">
      <c r="A2896" s="6"/>
      <c r="B2896" s="6"/>
      <c r="C2896" s="6"/>
      <c r="D2896" s="6"/>
      <c r="E2896" s="6"/>
      <c r="F2896" s="6"/>
      <c r="G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O2896" s="6"/>
      <c r="AP2896" s="6"/>
      <c r="BH2896" s="6"/>
      <c r="BI2896" s="6"/>
      <c r="BJ2896" s="6"/>
      <c r="BK2896" s="6"/>
      <c r="BL2896" s="6"/>
      <c r="BM2896" s="6"/>
      <c r="BN2896" s="6"/>
      <c r="BO2896" s="6"/>
      <c r="BP2896" s="6"/>
      <c r="BQ2896" s="6"/>
      <c r="BR2896" s="6"/>
      <c r="BS2896" s="6"/>
      <c r="BT2896" s="6"/>
      <c r="BU2896" s="6"/>
      <c r="BV2896" s="6"/>
      <c r="BW2896" s="6"/>
      <c r="BX2896" s="6"/>
      <c r="BY2896" s="6"/>
      <c r="BZ2896" s="6"/>
    </row>
    <row r="2897" spans="1:78" ht="21.75" customHeight="1">
      <c r="A2897" s="6"/>
      <c r="B2897" s="6"/>
      <c r="C2897" s="6"/>
      <c r="D2897" s="6"/>
      <c r="E2897" s="6"/>
      <c r="F2897" s="6"/>
      <c r="G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O2897" s="6"/>
      <c r="AP2897" s="6"/>
      <c r="BH2897" s="6"/>
      <c r="BI2897" s="6"/>
      <c r="BJ2897" s="6"/>
      <c r="BK2897" s="6"/>
      <c r="BL2897" s="6"/>
      <c r="BM2897" s="6"/>
      <c r="BN2897" s="6"/>
      <c r="BO2897" s="6"/>
      <c r="BP2897" s="6"/>
      <c r="BQ2897" s="6"/>
      <c r="BR2897" s="6"/>
      <c r="BS2897" s="6"/>
      <c r="BT2897" s="6"/>
      <c r="BU2897" s="6"/>
      <c r="BV2897" s="6"/>
      <c r="BW2897" s="6"/>
      <c r="BX2897" s="6"/>
      <c r="BY2897" s="6"/>
      <c r="BZ2897" s="6"/>
    </row>
    <row r="2898" spans="1:78" s="497" customFormat="1" ht="21.75" customHeight="1"/>
    <row r="2899" spans="1:78" s="448" customFormat="1" ht="21.75" customHeight="1"/>
    <row r="2900" spans="1:78" ht="21.75" customHeight="1">
      <c r="A2900" s="6"/>
      <c r="B2900" s="6"/>
      <c r="C2900" s="6"/>
      <c r="D2900" s="6"/>
      <c r="E2900" s="6"/>
      <c r="F2900" s="6"/>
      <c r="G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O2900" s="6"/>
      <c r="AP2900" s="6"/>
      <c r="BH2900" s="6"/>
      <c r="BI2900" s="6"/>
      <c r="BJ2900" s="6"/>
      <c r="BK2900" s="6"/>
      <c r="BL2900" s="6"/>
      <c r="BM2900" s="6"/>
      <c r="BN2900" s="6"/>
      <c r="BO2900" s="6"/>
      <c r="BP2900" s="6"/>
      <c r="BQ2900" s="6"/>
      <c r="BR2900" s="6"/>
      <c r="BS2900" s="6"/>
      <c r="BT2900" s="6"/>
      <c r="BU2900" s="6"/>
      <c r="BV2900" s="6"/>
      <c r="BW2900" s="6"/>
      <c r="BX2900" s="6"/>
      <c r="BY2900" s="6"/>
      <c r="BZ2900" s="6"/>
    </row>
    <row r="2901" spans="1:78" ht="21.75" customHeight="1">
      <c r="A2901" s="6"/>
      <c r="B2901" s="6"/>
      <c r="C2901" s="6"/>
      <c r="D2901" s="6"/>
      <c r="E2901" s="6"/>
      <c r="F2901" s="6"/>
      <c r="G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O2901" s="6"/>
      <c r="AP2901" s="6"/>
      <c r="BH2901" s="6"/>
      <c r="BI2901" s="6"/>
      <c r="BJ2901" s="6"/>
      <c r="BK2901" s="6"/>
      <c r="BL2901" s="6"/>
      <c r="BM2901" s="6"/>
      <c r="BN2901" s="6"/>
      <c r="BO2901" s="6"/>
      <c r="BP2901" s="6"/>
      <c r="BQ2901" s="6"/>
      <c r="BR2901" s="6"/>
      <c r="BS2901" s="6"/>
      <c r="BT2901" s="6"/>
      <c r="BU2901" s="6"/>
      <c r="BV2901" s="6"/>
      <c r="BW2901" s="6"/>
      <c r="BX2901" s="6"/>
      <c r="BY2901" s="6"/>
      <c r="BZ2901" s="6"/>
    </row>
    <row r="2902" spans="1:78" ht="21.75" customHeight="1">
      <c r="A2902" s="6"/>
      <c r="B2902" s="6"/>
      <c r="C2902" s="6"/>
      <c r="D2902" s="6"/>
      <c r="E2902" s="6"/>
      <c r="F2902" s="6"/>
      <c r="G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O2902" s="6"/>
      <c r="AP2902" s="6"/>
      <c r="BH2902" s="6"/>
      <c r="BI2902" s="6"/>
      <c r="BJ2902" s="6"/>
      <c r="BK2902" s="6"/>
      <c r="BL2902" s="6"/>
      <c r="BM2902" s="6"/>
      <c r="BN2902" s="6"/>
      <c r="BO2902" s="6"/>
      <c r="BP2902" s="6"/>
      <c r="BQ2902" s="6"/>
      <c r="BR2902" s="6"/>
      <c r="BS2902" s="6"/>
      <c r="BT2902" s="6"/>
      <c r="BU2902" s="6"/>
      <c r="BV2902" s="6"/>
      <c r="BW2902" s="6"/>
      <c r="BX2902" s="6"/>
      <c r="BY2902" s="6"/>
      <c r="BZ2902" s="6"/>
    </row>
    <row r="2903" spans="1:78" ht="21.75" customHeight="1">
      <c r="A2903" s="6"/>
      <c r="B2903" s="6"/>
      <c r="C2903" s="6"/>
      <c r="D2903" s="6"/>
      <c r="E2903" s="6"/>
      <c r="F2903" s="6"/>
      <c r="G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O2903" s="6"/>
      <c r="AP2903" s="6"/>
      <c r="BH2903" s="6"/>
      <c r="BI2903" s="6"/>
      <c r="BJ2903" s="6"/>
      <c r="BK2903" s="6"/>
      <c r="BL2903" s="6"/>
      <c r="BM2903" s="6"/>
      <c r="BN2903" s="6"/>
      <c r="BO2903" s="6"/>
      <c r="BP2903" s="6"/>
      <c r="BQ2903" s="6"/>
      <c r="BR2903" s="6"/>
      <c r="BS2903" s="6"/>
      <c r="BT2903" s="6"/>
      <c r="BU2903" s="6"/>
      <c r="BV2903" s="6"/>
      <c r="BW2903" s="6"/>
      <c r="BX2903" s="6"/>
      <c r="BY2903" s="6"/>
      <c r="BZ2903" s="6"/>
    </row>
    <row r="2904" spans="1:78" ht="21.75" customHeight="1">
      <c r="A2904" s="6"/>
      <c r="B2904" s="6"/>
      <c r="C2904" s="6"/>
      <c r="D2904" s="6"/>
      <c r="E2904" s="6"/>
      <c r="F2904" s="6"/>
      <c r="G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O2904" s="6"/>
      <c r="AP2904" s="6"/>
      <c r="BH2904" s="6"/>
      <c r="BI2904" s="6"/>
      <c r="BJ2904" s="6"/>
      <c r="BK2904" s="6"/>
      <c r="BL2904" s="6"/>
      <c r="BM2904" s="6"/>
      <c r="BN2904" s="6"/>
      <c r="BO2904" s="6"/>
      <c r="BP2904" s="6"/>
      <c r="BQ2904" s="6"/>
      <c r="BR2904" s="6"/>
      <c r="BS2904" s="6"/>
      <c r="BT2904" s="6"/>
      <c r="BU2904" s="6"/>
      <c r="BV2904" s="6"/>
      <c r="BW2904" s="6"/>
      <c r="BX2904" s="6"/>
      <c r="BY2904" s="6"/>
      <c r="BZ2904" s="6"/>
    </row>
    <row r="2905" spans="1:78" ht="21.75" customHeight="1">
      <c r="A2905" s="6"/>
      <c r="B2905" s="6"/>
      <c r="C2905" s="6"/>
      <c r="D2905" s="6"/>
      <c r="E2905" s="6"/>
      <c r="F2905" s="6"/>
      <c r="G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O2905" s="6"/>
      <c r="AP2905" s="6"/>
      <c r="BH2905" s="6"/>
      <c r="BI2905" s="6"/>
      <c r="BJ2905" s="6"/>
      <c r="BK2905" s="6"/>
      <c r="BL2905" s="6"/>
      <c r="BM2905" s="6"/>
      <c r="BN2905" s="6"/>
      <c r="BO2905" s="6"/>
      <c r="BP2905" s="6"/>
      <c r="BQ2905" s="6"/>
      <c r="BR2905" s="6"/>
      <c r="BS2905" s="6"/>
      <c r="BT2905" s="6"/>
      <c r="BU2905" s="6"/>
      <c r="BV2905" s="6"/>
      <c r="BW2905" s="6"/>
      <c r="BX2905" s="6"/>
      <c r="BY2905" s="6"/>
      <c r="BZ2905" s="6"/>
    </row>
    <row r="2906" spans="1:78" s="496" customFormat="1" ht="21.75" customHeight="1"/>
    <row r="2907" spans="1:78" ht="21.75" customHeight="1">
      <c r="A2907" s="6"/>
      <c r="B2907" s="6"/>
      <c r="C2907" s="6"/>
      <c r="D2907" s="6"/>
      <c r="E2907" s="6"/>
      <c r="F2907" s="6"/>
      <c r="G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O2907" s="6"/>
      <c r="AP2907" s="6"/>
      <c r="BH2907" s="6"/>
      <c r="BI2907" s="6"/>
      <c r="BJ2907" s="6"/>
      <c r="BK2907" s="6"/>
      <c r="BL2907" s="6"/>
      <c r="BM2907" s="6"/>
      <c r="BN2907" s="6"/>
      <c r="BO2907" s="6"/>
      <c r="BP2907" s="6"/>
      <c r="BQ2907" s="6"/>
      <c r="BR2907" s="6"/>
      <c r="BS2907" s="6"/>
      <c r="BT2907" s="6"/>
      <c r="BU2907" s="6"/>
      <c r="BV2907" s="6"/>
      <c r="BW2907" s="6"/>
      <c r="BX2907" s="6"/>
      <c r="BY2907" s="6"/>
      <c r="BZ2907" s="6"/>
    </row>
    <row r="2908" spans="1:78" ht="21.75" customHeight="1">
      <c r="A2908" s="6"/>
      <c r="B2908" s="6"/>
      <c r="C2908" s="6"/>
      <c r="D2908" s="6"/>
      <c r="E2908" s="6"/>
      <c r="F2908" s="6"/>
      <c r="G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O2908" s="6"/>
      <c r="AP2908" s="6"/>
      <c r="BH2908" s="6"/>
      <c r="BI2908" s="6"/>
      <c r="BJ2908" s="6"/>
      <c r="BK2908" s="6"/>
      <c r="BL2908" s="6"/>
      <c r="BM2908" s="6"/>
      <c r="BN2908" s="6"/>
      <c r="BO2908" s="6"/>
      <c r="BP2908" s="6"/>
      <c r="BQ2908" s="6"/>
      <c r="BR2908" s="6"/>
      <c r="BS2908" s="6"/>
      <c r="BT2908" s="6"/>
      <c r="BU2908" s="6"/>
      <c r="BV2908" s="6"/>
      <c r="BW2908" s="6"/>
      <c r="BX2908" s="6"/>
      <c r="BY2908" s="6"/>
      <c r="BZ2908" s="6"/>
    </row>
    <row r="2909" spans="1:78" ht="21.75" customHeight="1">
      <c r="A2909" s="6"/>
      <c r="B2909" s="6"/>
      <c r="C2909" s="6"/>
      <c r="D2909" s="6"/>
      <c r="E2909" s="6"/>
      <c r="F2909" s="6"/>
      <c r="G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O2909" s="6"/>
      <c r="AP2909" s="6"/>
      <c r="BH2909" s="6"/>
      <c r="BI2909" s="6"/>
      <c r="BJ2909" s="6"/>
      <c r="BK2909" s="6"/>
      <c r="BL2909" s="6"/>
      <c r="BM2909" s="6"/>
      <c r="BN2909" s="6"/>
      <c r="BO2909" s="6"/>
      <c r="BP2909" s="6"/>
      <c r="BQ2909" s="6"/>
      <c r="BR2909" s="6"/>
      <c r="BS2909" s="6"/>
      <c r="BT2909" s="6"/>
      <c r="BU2909" s="6"/>
      <c r="BV2909" s="6"/>
      <c r="BW2909" s="6"/>
      <c r="BX2909" s="6"/>
      <c r="BY2909" s="6"/>
      <c r="BZ2909" s="6"/>
    </row>
    <row r="2910" spans="1:78" ht="21.75" customHeight="1">
      <c r="A2910" s="6"/>
      <c r="B2910" s="6"/>
      <c r="C2910" s="6"/>
      <c r="D2910" s="6"/>
      <c r="E2910" s="6"/>
      <c r="F2910" s="6"/>
      <c r="G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O2910" s="6"/>
      <c r="AP2910" s="6"/>
      <c r="BH2910" s="6"/>
      <c r="BI2910" s="6"/>
      <c r="BJ2910" s="6"/>
      <c r="BK2910" s="6"/>
      <c r="BL2910" s="6"/>
      <c r="BM2910" s="6"/>
      <c r="BN2910" s="6"/>
      <c r="BO2910" s="6"/>
      <c r="BP2910" s="6"/>
      <c r="BQ2910" s="6"/>
      <c r="BR2910" s="6"/>
      <c r="BS2910" s="6"/>
      <c r="BT2910" s="6"/>
      <c r="BU2910" s="6"/>
      <c r="BV2910" s="6"/>
      <c r="BW2910" s="6"/>
      <c r="BX2910" s="6"/>
      <c r="BY2910" s="6"/>
      <c r="BZ2910" s="6"/>
    </row>
    <row r="2911" spans="1:78" s="450" customFormat="1" ht="21.75" customHeight="1"/>
    <row r="2912" spans="1:78" s="448" customFormat="1" ht="21.75" customHeight="1"/>
    <row r="2913" spans="1:78" ht="21.75" customHeight="1">
      <c r="A2913" s="6"/>
      <c r="B2913" s="6"/>
      <c r="C2913" s="6"/>
      <c r="D2913" s="6"/>
      <c r="E2913" s="6"/>
      <c r="F2913" s="6"/>
      <c r="G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O2913" s="6"/>
      <c r="AP2913" s="6"/>
      <c r="BH2913" s="6"/>
      <c r="BI2913" s="6"/>
      <c r="BJ2913" s="6"/>
      <c r="BK2913" s="6"/>
      <c r="BL2913" s="6"/>
      <c r="BM2913" s="6"/>
      <c r="BN2913" s="6"/>
      <c r="BO2913" s="6"/>
      <c r="BP2913" s="6"/>
      <c r="BQ2913" s="6"/>
      <c r="BR2913" s="6"/>
      <c r="BS2913" s="6"/>
      <c r="BT2913" s="6"/>
      <c r="BU2913" s="6"/>
      <c r="BV2913" s="6"/>
      <c r="BW2913" s="6"/>
      <c r="BX2913" s="6"/>
      <c r="BY2913" s="6"/>
      <c r="BZ2913" s="6"/>
    </row>
    <row r="2914" spans="1:78" ht="21.75" customHeight="1">
      <c r="A2914" s="6"/>
      <c r="B2914" s="6"/>
      <c r="C2914" s="6"/>
      <c r="D2914" s="6"/>
      <c r="E2914" s="6"/>
      <c r="F2914" s="6"/>
      <c r="G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O2914" s="6"/>
      <c r="AP2914" s="6"/>
      <c r="BH2914" s="6"/>
      <c r="BI2914" s="6"/>
      <c r="BJ2914" s="6"/>
      <c r="BK2914" s="6"/>
      <c r="BL2914" s="6"/>
      <c r="BM2914" s="6"/>
      <c r="BN2914" s="6"/>
      <c r="BO2914" s="6"/>
      <c r="BP2914" s="6"/>
      <c r="BQ2914" s="6"/>
      <c r="BR2914" s="6"/>
      <c r="BS2914" s="6"/>
      <c r="BT2914" s="6"/>
      <c r="BU2914" s="6"/>
      <c r="BV2914" s="6"/>
      <c r="BW2914" s="6"/>
      <c r="BX2914" s="6"/>
      <c r="BY2914" s="6"/>
      <c r="BZ2914" s="6"/>
    </row>
    <row r="2915" spans="1:78" ht="21.75" customHeight="1">
      <c r="A2915" s="6"/>
      <c r="B2915" s="6"/>
      <c r="C2915" s="6"/>
      <c r="D2915" s="6"/>
      <c r="E2915" s="6"/>
      <c r="F2915" s="6"/>
      <c r="G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O2915" s="6"/>
      <c r="AP2915" s="6"/>
      <c r="BH2915" s="6"/>
      <c r="BI2915" s="6"/>
      <c r="BJ2915" s="6"/>
      <c r="BK2915" s="6"/>
      <c r="BL2915" s="6"/>
      <c r="BM2915" s="6"/>
      <c r="BN2915" s="6"/>
      <c r="BO2915" s="6"/>
      <c r="BP2915" s="6"/>
      <c r="BQ2915" s="6"/>
      <c r="BR2915" s="6"/>
      <c r="BS2915" s="6"/>
      <c r="BT2915" s="6"/>
      <c r="BU2915" s="6"/>
      <c r="BV2915" s="6"/>
      <c r="BW2915" s="6"/>
      <c r="BX2915" s="6"/>
      <c r="BY2915" s="6"/>
      <c r="BZ2915" s="6"/>
    </row>
    <row r="2916" spans="1:78" ht="21.75" customHeight="1">
      <c r="A2916" s="6"/>
      <c r="B2916" s="6"/>
      <c r="C2916" s="6"/>
      <c r="D2916" s="6"/>
      <c r="E2916" s="6"/>
      <c r="F2916" s="6"/>
      <c r="G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O2916" s="6"/>
      <c r="AP2916" s="6"/>
      <c r="BH2916" s="6"/>
      <c r="BI2916" s="6"/>
      <c r="BJ2916" s="6"/>
      <c r="BK2916" s="6"/>
      <c r="BL2916" s="6"/>
      <c r="BM2916" s="6"/>
      <c r="BN2916" s="6"/>
      <c r="BO2916" s="6"/>
      <c r="BP2916" s="6"/>
      <c r="BQ2916" s="6"/>
      <c r="BR2916" s="6"/>
      <c r="BS2916" s="6"/>
      <c r="BT2916" s="6"/>
      <c r="BU2916" s="6"/>
      <c r="BV2916" s="6"/>
      <c r="BW2916" s="6"/>
      <c r="BX2916" s="6"/>
      <c r="BY2916" s="6"/>
      <c r="BZ2916" s="6"/>
    </row>
    <row r="2917" spans="1:78" ht="21.75" customHeight="1">
      <c r="A2917" s="6"/>
      <c r="B2917" s="6"/>
      <c r="C2917" s="6"/>
      <c r="D2917" s="6"/>
      <c r="E2917" s="6"/>
      <c r="F2917" s="6"/>
      <c r="G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O2917" s="6"/>
      <c r="AP2917" s="6"/>
      <c r="BH2917" s="6"/>
      <c r="BI2917" s="6"/>
      <c r="BJ2917" s="6"/>
      <c r="BK2917" s="6"/>
      <c r="BL2917" s="6"/>
      <c r="BM2917" s="6"/>
      <c r="BN2917" s="6"/>
      <c r="BO2917" s="6"/>
      <c r="BP2917" s="6"/>
      <c r="BQ2917" s="6"/>
      <c r="BR2917" s="6"/>
      <c r="BS2917" s="6"/>
      <c r="BT2917" s="6"/>
      <c r="BU2917" s="6"/>
      <c r="BV2917" s="6"/>
      <c r="BW2917" s="6"/>
      <c r="BX2917" s="6"/>
      <c r="BY2917" s="6"/>
      <c r="BZ2917" s="6"/>
    </row>
    <row r="2918" spans="1:78" ht="21.75" customHeight="1">
      <c r="A2918" s="6"/>
      <c r="B2918" s="6"/>
      <c r="C2918" s="6"/>
      <c r="D2918" s="6"/>
      <c r="E2918" s="6"/>
      <c r="F2918" s="6"/>
      <c r="G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O2918" s="6"/>
      <c r="AP2918" s="6"/>
      <c r="BH2918" s="6"/>
      <c r="BI2918" s="6"/>
      <c r="BJ2918" s="6"/>
      <c r="BK2918" s="6"/>
      <c r="BL2918" s="6"/>
      <c r="BM2918" s="6"/>
      <c r="BN2918" s="6"/>
      <c r="BO2918" s="6"/>
      <c r="BP2918" s="6"/>
      <c r="BQ2918" s="6"/>
      <c r="BR2918" s="6"/>
      <c r="BS2918" s="6"/>
      <c r="BT2918" s="6"/>
      <c r="BU2918" s="6"/>
      <c r="BV2918" s="6"/>
      <c r="BW2918" s="6"/>
      <c r="BX2918" s="6"/>
      <c r="BY2918" s="6"/>
      <c r="BZ2918" s="6"/>
    </row>
    <row r="2919" spans="1:78" ht="21.75" customHeight="1">
      <c r="A2919" s="6"/>
      <c r="B2919" s="6"/>
      <c r="C2919" s="6"/>
      <c r="D2919" s="6"/>
      <c r="E2919" s="6"/>
      <c r="F2919" s="6"/>
      <c r="G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O2919" s="6"/>
      <c r="AP2919" s="6"/>
      <c r="BH2919" s="6"/>
      <c r="BI2919" s="6"/>
      <c r="BJ2919" s="6"/>
      <c r="BK2919" s="6"/>
      <c r="BL2919" s="6"/>
      <c r="BM2919" s="6"/>
      <c r="BN2919" s="6"/>
      <c r="BO2919" s="6"/>
      <c r="BP2919" s="6"/>
      <c r="BQ2919" s="6"/>
      <c r="BR2919" s="6"/>
      <c r="BS2919" s="6"/>
      <c r="BT2919" s="6"/>
      <c r="BU2919" s="6"/>
      <c r="BV2919" s="6"/>
      <c r="BW2919" s="6"/>
      <c r="BX2919" s="6"/>
      <c r="BY2919" s="6"/>
      <c r="BZ2919" s="6"/>
    </row>
    <row r="2920" spans="1:78" ht="21.75" customHeight="1">
      <c r="A2920" s="6"/>
      <c r="B2920" s="6"/>
      <c r="C2920" s="6"/>
      <c r="D2920" s="6"/>
      <c r="E2920" s="6"/>
      <c r="F2920" s="6"/>
      <c r="G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O2920" s="6"/>
      <c r="AP2920" s="6"/>
      <c r="BH2920" s="6"/>
      <c r="BI2920" s="6"/>
      <c r="BJ2920" s="6"/>
      <c r="BK2920" s="6"/>
      <c r="BL2920" s="6"/>
      <c r="BM2920" s="6"/>
      <c r="BN2920" s="6"/>
      <c r="BO2920" s="6"/>
      <c r="BP2920" s="6"/>
      <c r="BQ2920" s="6"/>
      <c r="BR2920" s="6"/>
      <c r="BS2920" s="6"/>
      <c r="BT2920" s="6"/>
      <c r="BU2920" s="6"/>
      <c r="BV2920" s="6"/>
      <c r="BW2920" s="6"/>
      <c r="BX2920" s="6"/>
      <c r="BY2920" s="6"/>
      <c r="BZ2920" s="6"/>
    </row>
    <row r="2921" spans="1:78" ht="21.75" customHeight="1">
      <c r="A2921" s="6"/>
      <c r="B2921" s="6"/>
      <c r="C2921" s="6"/>
      <c r="D2921" s="6"/>
      <c r="E2921" s="6"/>
      <c r="F2921" s="6"/>
      <c r="G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O2921" s="6"/>
      <c r="AP2921" s="6"/>
      <c r="BH2921" s="6"/>
      <c r="BI2921" s="6"/>
      <c r="BJ2921" s="6"/>
      <c r="BK2921" s="6"/>
      <c r="BL2921" s="6"/>
      <c r="BM2921" s="6"/>
      <c r="BN2921" s="6"/>
      <c r="BO2921" s="6"/>
      <c r="BP2921" s="6"/>
      <c r="BQ2921" s="6"/>
      <c r="BR2921" s="6"/>
      <c r="BS2921" s="6"/>
      <c r="BT2921" s="6"/>
      <c r="BU2921" s="6"/>
      <c r="BV2921" s="6"/>
      <c r="BW2921" s="6"/>
      <c r="BX2921" s="6"/>
      <c r="BY2921" s="6"/>
      <c r="BZ2921" s="6"/>
    </row>
    <row r="2922" spans="1:78" ht="21.75" customHeight="1">
      <c r="A2922" s="6"/>
      <c r="B2922" s="6"/>
      <c r="C2922" s="6"/>
      <c r="D2922" s="6"/>
      <c r="E2922" s="6"/>
      <c r="F2922" s="6"/>
      <c r="G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O2922" s="6"/>
      <c r="AP2922" s="6"/>
      <c r="BH2922" s="6"/>
      <c r="BI2922" s="6"/>
      <c r="BJ2922" s="6"/>
      <c r="BK2922" s="6"/>
      <c r="BL2922" s="6"/>
      <c r="BM2922" s="6"/>
      <c r="BN2922" s="6"/>
      <c r="BO2922" s="6"/>
      <c r="BP2922" s="6"/>
      <c r="BQ2922" s="6"/>
      <c r="BR2922" s="6"/>
      <c r="BS2922" s="6"/>
      <c r="BT2922" s="6"/>
      <c r="BU2922" s="6"/>
      <c r="BV2922" s="6"/>
      <c r="BW2922" s="6"/>
      <c r="BX2922" s="6"/>
      <c r="BY2922" s="6"/>
      <c r="BZ2922" s="6"/>
    </row>
    <row r="2923" spans="1:78" s="450" customFormat="1" ht="21.75" customHeight="1"/>
    <row r="2924" spans="1:78" s="448" customFormat="1" ht="21.75" customHeight="1"/>
    <row r="2925" spans="1:78" ht="21.75" customHeight="1">
      <c r="A2925" s="6"/>
      <c r="B2925" s="6"/>
      <c r="C2925" s="6"/>
      <c r="D2925" s="6"/>
      <c r="E2925" s="6"/>
      <c r="F2925" s="6"/>
      <c r="G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O2925" s="6"/>
      <c r="AP2925" s="6"/>
      <c r="BH2925" s="6"/>
      <c r="BI2925" s="6"/>
      <c r="BJ2925" s="6"/>
      <c r="BK2925" s="6"/>
      <c r="BL2925" s="6"/>
      <c r="BM2925" s="6"/>
      <c r="BN2925" s="6"/>
      <c r="BO2925" s="6"/>
      <c r="BP2925" s="6"/>
      <c r="BQ2925" s="6"/>
      <c r="BR2925" s="6"/>
      <c r="BS2925" s="6"/>
      <c r="BT2925" s="6"/>
      <c r="BU2925" s="6"/>
      <c r="BV2925" s="6"/>
      <c r="BW2925" s="6"/>
      <c r="BX2925" s="6"/>
      <c r="BY2925" s="6"/>
      <c r="BZ2925" s="6"/>
    </row>
    <row r="2926" spans="1:78" ht="21.75" customHeight="1">
      <c r="A2926" s="6"/>
      <c r="B2926" s="6"/>
      <c r="C2926" s="6"/>
      <c r="D2926" s="6"/>
      <c r="E2926" s="6"/>
      <c r="F2926" s="6"/>
      <c r="G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O2926" s="6"/>
      <c r="AP2926" s="6"/>
      <c r="BH2926" s="6"/>
      <c r="BI2926" s="6"/>
      <c r="BJ2926" s="6"/>
      <c r="BK2926" s="6"/>
      <c r="BL2926" s="6"/>
      <c r="BM2926" s="6"/>
      <c r="BN2926" s="6"/>
      <c r="BO2926" s="6"/>
      <c r="BP2926" s="6"/>
      <c r="BQ2926" s="6"/>
      <c r="BR2926" s="6"/>
      <c r="BS2926" s="6"/>
      <c r="BT2926" s="6"/>
      <c r="BU2926" s="6"/>
      <c r="BV2926" s="6"/>
      <c r="BW2926" s="6"/>
      <c r="BX2926" s="6"/>
      <c r="BY2926" s="6"/>
      <c r="BZ2926" s="6"/>
    </row>
    <row r="2927" spans="1:78" ht="21.75" customHeight="1">
      <c r="A2927" s="6"/>
      <c r="B2927" s="6"/>
      <c r="C2927" s="6"/>
      <c r="D2927" s="6"/>
      <c r="E2927" s="6"/>
      <c r="F2927" s="6"/>
      <c r="G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O2927" s="6"/>
      <c r="AP2927" s="6"/>
      <c r="BH2927" s="6"/>
      <c r="BI2927" s="6"/>
      <c r="BJ2927" s="6"/>
      <c r="BK2927" s="6"/>
      <c r="BL2927" s="6"/>
      <c r="BM2927" s="6"/>
      <c r="BN2927" s="6"/>
      <c r="BO2927" s="6"/>
      <c r="BP2927" s="6"/>
      <c r="BQ2927" s="6"/>
      <c r="BR2927" s="6"/>
      <c r="BS2927" s="6"/>
      <c r="BT2927" s="6"/>
      <c r="BU2927" s="6"/>
      <c r="BV2927" s="6"/>
      <c r="BW2927" s="6"/>
      <c r="BX2927" s="6"/>
      <c r="BY2927" s="6"/>
      <c r="BZ2927" s="6"/>
    </row>
    <row r="2928" spans="1:78" ht="21.75" customHeight="1">
      <c r="A2928" s="6"/>
      <c r="B2928" s="6"/>
      <c r="C2928" s="6"/>
      <c r="D2928" s="6"/>
      <c r="E2928" s="6"/>
      <c r="F2928" s="6"/>
      <c r="G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O2928" s="6"/>
      <c r="AP2928" s="6"/>
      <c r="BH2928" s="6"/>
      <c r="BI2928" s="6"/>
      <c r="BJ2928" s="6"/>
      <c r="BK2928" s="6"/>
      <c r="BL2928" s="6"/>
      <c r="BM2928" s="6"/>
      <c r="BN2928" s="6"/>
      <c r="BO2928" s="6"/>
      <c r="BP2928" s="6"/>
      <c r="BQ2928" s="6"/>
      <c r="BR2928" s="6"/>
      <c r="BS2928" s="6"/>
      <c r="BT2928" s="6"/>
      <c r="BU2928" s="6"/>
      <c r="BV2928" s="6"/>
      <c r="BW2928" s="6"/>
      <c r="BX2928" s="6"/>
      <c r="BY2928" s="6"/>
      <c r="BZ2928" s="6"/>
    </row>
    <row r="2929" spans="1:78" ht="21.75" customHeight="1">
      <c r="A2929" s="6"/>
      <c r="B2929" s="6"/>
      <c r="C2929" s="6"/>
      <c r="D2929" s="6"/>
      <c r="E2929" s="6"/>
      <c r="F2929" s="6"/>
      <c r="G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O2929" s="6"/>
      <c r="AP2929" s="6"/>
      <c r="BH2929" s="6"/>
      <c r="BI2929" s="6"/>
      <c r="BJ2929" s="6"/>
      <c r="BK2929" s="6"/>
      <c r="BL2929" s="6"/>
      <c r="BM2929" s="6"/>
      <c r="BN2929" s="6"/>
      <c r="BO2929" s="6"/>
      <c r="BP2929" s="6"/>
      <c r="BQ2929" s="6"/>
      <c r="BR2929" s="6"/>
      <c r="BS2929" s="6"/>
      <c r="BT2929" s="6"/>
      <c r="BU2929" s="6"/>
      <c r="BV2929" s="6"/>
      <c r="BW2929" s="6"/>
      <c r="BX2929" s="6"/>
      <c r="BY2929" s="6"/>
      <c r="BZ2929" s="6"/>
    </row>
    <row r="2930" spans="1:78" ht="21.75" customHeight="1">
      <c r="A2930" s="6"/>
      <c r="B2930" s="6"/>
      <c r="C2930" s="6"/>
      <c r="D2930" s="6"/>
      <c r="E2930" s="6"/>
      <c r="F2930" s="6"/>
      <c r="G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O2930" s="6"/>
      <c r="AP2930" s="6"/>
      <c r="BH2930" s="6"/>
      <c r="BI2930" s="6"/>
      <c r="BJ2930" s="6"/>
      <c r="BK2930" s="6"/>
      <c r="BL2930" s="6"/>
      <c r="BM2930" s="6"/>
      <c r="BN2930" s="6"/>
      <c r="BO2930" s="6"/>
      <c r="BP2930" s="6"/>
      <c r="BQ2930" s="6"/>
      <c r="BR2930" s="6"/>
      <c r="BS2930" s="6"/>
      <c r="BT2930" s="6"/>
      <c r="BU2930" s="6"/>
      <c r="BV2930" s="6"/>
      <c r="BW2930" s="6"/>
      <c r="BX2930" s="6"/>
      <c r="BY2930" s="6"/>
      <c r="BZ2930" s="6"/>
    </row>
    <row r="2931" spans="1:78" ht="21.75" customHeight="1">
      <c r="A2931" s="6"/>
      <c r="B2931" s="6"/>
      <c r="C2931" s="6"/>
      <c r="D2931" s="6"/>
      <c r="E2931" s="6"/>
      <c r="F2931" s="6"/>
      <c r="G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O2931" s="6"/>
      <c r="AP2931" s="6"/>
      <c r="BH2931" s="6"/>
      <c r="BI2931" s="6"/>
      <c r="BJ2931" s="6"/>
      <c r="BK2931" s="6"/>
      <c r="BL2931" s="6"/>
      <c r="BM2931" s="6"/>
      <c r="BN2931" s="6"/>
      <c r="BO2931" s="6"/>
      <c r="BP2931" s="6"/>
      <c r="BQ2931" s="6"/>
      <c r="BR2931" s="6"/>
      <c r="BS2931" s="6"/>
      <c r="BT2931" s="6"/>
      <c r="BU2931" s="6"/>
      <c r="BV2931" s="6"/>
      <c r="BW2931" s="6"/>
      <c r="BX2931" s="6"/>
      <c r="BY2931" s="6"/>
      <c r="BZ2931" s="6"/>
    </row>
    <row r="2932" spans="1:78" ht="21.75" customHeight="1">
      <c r="A2932" s="6"/>
      <c r="B2932" s="6"/>
      <c r="C2932" s="6"/>
      <c r="D2932" s="6"/>
      <c r="E2932" s="6"/>
      <c r="F2932" s="6"/>
      <c r="G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O2932" s="6"/>
      <c r="AP2932" s="6"/>
      <c r="BH2932" s="6"/>
      <c r="BI2932" s="6"/>
      <c r="BJ2932" s="6"/>
      <c r="BK2932" s="6"/>
      <c r="BL2932" s="6"/>
      <c r="BM2932" s="6"/>
      <c r="BN2932" s="6"/>
      <c r="BO2932" s="6"/>
      <c r="BP2932" s="6"/>
      <c r="BQ2932" s="6"/>
      <c r="BR2932" s="6"/>
      <c r="BS2932" s="6"/>
      <c r="BT2932" s="6"/>
      <c r="BU2932" s="6"/>
      <c r="BV2932" s="6"/>
      <c r="BW2932" s="6"/>
      <c r="BX2932" s="6"/>
      <c r="BY2932" s="6"/>
      <c r="BZ2932" s="6"/>
    </row>
    <row r="2933" spans="1:78" ht="21.75" customHeight="1">
      <c r="A2933" s="6"/>
      <c r="B2933" s="6"/>
      <c r="C2933" s="6"/>
      <c r="D2933" s="6"/>
      <c r="E2933" s="6"/>
      <c r="F2933" s="6"/>
      <c r="G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O2933" s="6"/>
      <c r="AP2933" s="6"/>
      <c r="BH2933" s="6"/>
      <c r="BI2933" s="6"/>
      <c r="BJ2933" s="6"/>
      <c r="BK2933" s="6"/>
      <c r="BL2933" s="6"/>
      <c r="BM2933" s="6"/>
      <c r="BN2933" s="6"/>
      <c r="BO2933" s="6"/>
      <c r="BP2933" s="6"/>
      <c r="BQ2933" s="6"/>
      <c r="BR2933" s="6"/>
      <c r="BS2933" s="6"/>
      <c r="BT2933" s="6"/>
      <c r="BU2933" s="6"/>
      <c r="BV2933" s="6"/>
      <c r="BW2933" s="6"/>
      <c r="BX2933" s="6"/>
      <c r="BY2933" s="6"/>
      <c r="BZ2933" s="6"/>
    </row>
    <row r="2934" spans="1:78" ht="21.75" customHeight="1">
      <c r="A2934" s="6"/>
      <c r="B2934" s="6"/>
      <c r="C2934" s="6"/>
      <c r="D2934" s="6"/>
      <c r="E2934" s="6"/>
      <c r="F2934" s="6"/>
      <c r="G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O2934" s="6"/>
      <c r="AP2934" s="6"/>
      <c r="BH2934" s="6"/>
      <c r="BI2934" s="6"/>
      <c r="BJ2934" s="6"/>
      <c r="BK2934" s="6"/>
      <c r="BL2934" s="6"/>
      <c r="BM2934" s="6"/>
      <c r="BN2934" s="6"/>
      <c r="BO2934" s="6"/>
      <c r="BP2934" s="6"/>
      <c r="BQ2934" s="6"/>
      <c r="BR2934" s="6"/>
      <c r="BS2934" s="6"/>
      <c r="BT2934" s="6"/>
      <c r="BU2934" s="6"/>
      <c r="BV2934" s="6"/>
      <c r="BW2934" s="6"/>
      <c r="BX2934" s="6"/>
      <c r="BY2934" s="6"/>
      <c r="BZ2934" s="6"/>
    </row>
    <row r="2935" spans="1:78" s="496" customFormat="1" ht="21.75" customHeight="1"/>
    <row r="2936" spans="1:78" ht="21.75" customHeight="1">
      <c r="A2936" s="6"/>
      <c r="B2936" s="6"/>
      <c r="C2936" s="6"/>
      <c r="D2936" s="6"/>
      <c r="E2936" s="6"/>
      <c r="F2936" s="6"/>
      <c r="G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O2936" s="6"/>
      <c r="AP2936" s="6"/>
      <c r="BH2936" s="6"/>
      <c r="BI2936" s="6"/>
      <c r="BJ2936" s="6"/>
      <c r="BK2936" s="6"/>
      <c r="BL2936" s="6"/>
      <c r="BM2936" s="6"/>
      <c r="BN2936" s="6"/>
      <c r="BO2936" s="6"/>
      <c r="BP2936" s="6"/>
      <c r="BQ2936" s="6"/>
      <c r="BR2936" s="6"/>
      <c r="BS2936" s="6"/>
      <c r="BT2936" s="6"/>
      <c r="BU2936" s="6"/>
      <c r="BV2936" s="6"/>
      <c r="BW2936" s="6"/>
      <c r="BX2936" s="6"/>
      <c r="BY2936" s="6"/>
      <c r="BZ2936" s="6"/>
    </row>
    <row r="2937" spans="1:78" ht="21.75" customHeight="1">
      <c r="A2937" s="6"/>
      <c r="B2937" s="6"/>
      <c r="C2937" s="6"/>
      <c r="D2937" s="6"/>
      <c r="E2937" s="6"/>
      <c r="F2937" s="6"/>
      <c r="G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O2937" s="6"/>
      <c r="AP2937" s="6"/>
      <c r="BH2937" s="6"/>
      <c r="BI2937" s="6"/>
      <c r="BJ2937" s="6"/>
      <c r="BK2937" s="6"/>
      <c r="BL2937" s="6"/>
      <c r="BM2937" s="6"/>
      <c r="BN2937" s="6"/>
      <c r="BO2937" s="6"/>
      <c r="BP2937" s="6"/>
      <c r="BQ2937" s="6"/>
      <c r="BR2937" s="6"/>
      <c r="BS2937" s="6"/>
      <c r="BT2937" s="6"/>
      <c r="BU2937" s="6"/>
      <c r="BV2937" s="6"/>
      <c r="BW2937" s="6"/>
      <c r="BX2937" s="6"/>
      <c r="BY2937" s="6"/>
      <c r="BZ2937" s="6"/>
    </row>
    <row r="2938" spans="1:78" ht="21.75" customHeight="1">
      <c r="A2938" s="6"/>
      <c r="B2938" s="6"/>
      <c r="C2938" s="6"/>
      <c r="D2938" s="6"/>
      <c r="E2938" s="6"/>
      <c r="F2938" s="6"/>
      <c r="G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O2938" s="6"/>
      <c r="AP2938" s="6"/>
      <c r="BH2938" s="6"/>
      <c r="BI2938" s="6"/>
      <c r="BJ2938" s="6"/>
      <c r="BK2938" s="6"/>
      <c r="BL2938" s="6"/>
      <c r="BM2938" s="6"/>
      <c r="BN2938" s="6"/>
      <c r="BO2938" s="6"/>
      <c r="BP2938" s="6"/>
      <c r="BQ2938" s="6"/>
      <c r="BR2938" s="6"/>
      <c r="BS2938" s="6"/>
      <c r="BT2938" s="6"/>
      <c r="BU2938" s="6"/>
      <c r="BV2938" s="6"/>
      <c r="BW2938" s="6"/>
      <c r="BX2938" s="6"/>
      <c r="BY2938" s="6"/>
      <c r="BZ2938" s="6"/>
    </row>
    <row r="2939" spans="1:78" ht="21.75" customHeight="1">
      <c r="A2939" s="6"/>
      <c r="B2939" s="6"/>
      <c r="C2939" s="6"/>
      <c r="D2939" s="6"/>
      <c r="E2939" s="6"/>
      <c r="F2939" s="6"/>
      <c r="G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O2939" s="6"/>
      <c r="AP2939" s="6"/>
      <c r="BH2939" s="6"/>
      <c r="BI2939" s="6"/>
      <c r="BJ2939" s="6"/>
      <c r="BK2939" s="6"/>
      <c r="BL2939" s="6"/>
      <c r="BM2939" s="6"/>
      <c r="BN2939" s="6"/>
      <c r="BO2939" s="6"/>
      <c r="BP2939" s="6"/>
      <c r="BQ2939" s="6"/>
      <c r="BR2939" s="6"/>
      <c r="BS2939" s="6"/>
      <c r="BT2939" s="6"/>
      <c r="BU2939" s="6"/>
      <c r="BV2939" s="6"/>
      <c r="BW2939" s="6"/>
      <c r="BX2939" s="6"/>
      <c r="BY2939" s="6"/>
      <c r="BZ2939" s="6"/>
    </row>
    <row r="2940" spans="1:78" ht="21.75" customHeight="1">
      <c r="A2940" s="6"/>
      <c r="B2940" s="6"/>
      <c r="C2940" s="6"/>
      <c r="D2940" s="6"/>
      <c r="E2940" s="6"/>
      <c r="F2940" s="6"/>
      <c r="G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O2940" s="6"/>
      <c r="AP2940" s="6"/>
      <c r="BH2940" s="6"/>
      <c r="BI2940" s="6"/>
      <c r="BJ2940" s="6"/>
      <c r="BK2940" s="6"/>
      <c r="BL2940" s="6"/>
      <c r="BM2940" s="6"/>
      <c r="BN2940" s="6"/>
      <c r="BO2940" s="6"/>
      <c r="BP2940" s="6"/>
      <c r="BQ2940" s="6"/>
      <c r="BR2940" s="6"/>
      <c r="BS2940" s="6"/>
      <c r="BT2940" s="6"/>
      <c r="BU2940" s="6"/>
      <c r="BV2940" s="6"/>
      <c r="BW2940" s="6"/>
      <c r="BX2940" s="6"/>
      <c r="BY2940" s="6"/>
      <c r="BZ2940" s="6"/>
    </row>
    <row r="2941" spans="1:78" s="496" customFormat="1" ht="21.75" customHeight="1"/>
    <row r="2942" spans="1:78" ht="21.75" customHeight="1">
      <c r="A2942" s="6"/>
      <c r="B2942" s="6"/>
      <c r="C2942" s="6"/>
      <c r="D2942" s="6"/>
      <c r="E2942" s="6"/>
      <c r="F2942" s="6"/>
      <c r="G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O2942" s="6"/>
      <c r="AP2942" s="6"/>
      <c r="BH2942" s="6"/>
      <c r="BI2942" s="6"/>
      <c r="BJ2942" s="6"/>
      <c r="BK2942" s="6"/>
      <c r="BL2942" s="6"/>
      <c r="BM2942" s="6"/>
      <c r="BN2942" s="6"/>
      <c r="BO2942" s="6"/>
      <c r="BP2942" s="6"/>
      <c r="BQ2942" s="6"/>
      <c r="BR2942" s="6"/>
      <c r="BS2942" s="6"/>
      <c r="BT2942" s="6"/>
      <c r="BU2942" s="6"/>
      <c r="BV2942" s="6"/>
      <c r="BW2942" s="6"/>
      <c r="BX2942" s="6"/>
      <c r="BY2942" s="6"/>
      <c r="BZ2942" s="6"/>
    </row>
    <row r="2943" spans="1:78" ht="21.75" customHeight="1">
      <c r="A2943" s="6"/>
      <c r="B2943" s="6"/>
      <c r="C2943" s="6"/>
      <c r="D2943" s="6"/>
      <c r="E2943" s="6"/>
      <c r="F2943" s="6"/>
      <c r="G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O2943" s="6"/>
      <c r="AP2943" s="6"/>
      <c r="BH2943" s="6"/>
      <c r="BI2943" s="6"/>
      <c r="BJ2943" s="6"/>
      <c r="BK2943" s="6"/>
      <c r="BL2943" s="6"/>
      <c r="BM2943" s="6"/>
      <c r="BN2943" s="6"/>
      <c r="BO2943" s="6"/>
      <c r="BP2943" s="6"/>
      <c r="BQ2943" s="6"/>
      <c r="BR2943" s="6"/>
      <c r="BS2943" s="6"/>
      <c r="BT2943" s="6"/>
      <c r="BU2943" s="6"/>
      <c r="BV2943" s="6"/>
      <c r="BW2943" s="6"/>
      <c r="BX2943" s="6"/>
      <c r="BY2943" s="6"/>
      <c r="BZ2943" s="6"/>
    </row>
    <row r="2944" spans="1:78" ht="21.75" customHeight="1">
      <c r="A2944" s="6"/>
      <c r="B2944" s="6"/>
      <c r="C2944" s="6"/>
      <c r="D2944" s="6"/>
      <c r="E2944" s="6"/>
      <c r="F2944" s="6"/>
      <c r="G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O2944" s="6"/>
      <c r="AP2944" s="6"/>
      <c r="BH2944" s="6"/>
      <c r="BI2944" s="6"/>
      <c r="BJ2944" s="6"/>
      <c r="BK2944" s="6"/>
      <c r="BL2944" s="6"/>
      <c r="BM2944" s="6"/>
      <c r="BN2944" s="6"/>
      <c r="BO2944" s="6"/>
      <c r="BP2944" s="6"/>
      <c r="BQ2944" s="6"/>
      <c r="BR2944" s="6"/>
      <c r="BS2944" s="6"/>
      <c r="BT2944" s="6"/>
      <c r="BU2944" s="6"/>
      <c r="BV2944" s="6"/>
      <c r="BW2944" s="6"/>
      <c r="BX2944" s="6"/>
      <c r="BY2944" s="6"/>
      <c r="BZ2944" s="6"/>
    </row>
    <row r="2945" spans="1:78" s="496" customFormat="1" ht="21.75" customHeight="1"/>
    <row r="2946" spans="1:78" ht="21.75" customHeight="1">
      <c r="A2946" s="6"/>
      <c r="B2946" s="6"/>
      <c r="C2946" s="6"/>
      <c r="D2946" s="6"/>
      <c r="E2946" s="6"/>
      <c r="F2946" s="6"/>
      <c r="G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O2946" s="6"/>
      <c r="AP2946" s="6"/>
      <c r="BH2946" s="6"/>
      <c r="BI2946" s="6"/>
      <c r="BJ2946" s="6"/>
      <c r="BK2946" s="6"/>
      <c r="BL2946" s="6"/>
      <c r="BM2946" s="6"/>
      <c r="BN2946" s="6"/>
      <c r="BO2946" s="6"/>
      <c r="BP2946" s="6"/>
      <c r="BQ2946" s="6"/>
      <c r="BR2946" s="6"/>
      <c r="BS2946" s="6"/>
      <c r="BT2946" s="6"/>
      <c r="BU2946" s="6"/>
      <c r="BV2946" s="6"/>
      <c r="BW2946" s="6"/>
      <c r="BX2946" s="6"/>
      <c r="BY2946" s="6"/>
      <c r="BZ2946" s="6"/>
    </row>
    <row r="2947" spans="1:78" s="450" customFormat="1" ht="21.75" customHeight="1"/>
    <row r="2948" spans="1:78" s="448" customFormat="1" ht="21.75" customHeight="1"/>
    <row r="2949" spans="1:78" ht="21.75" customHeight="1">
      <c r="A2949" s="6"/>
      <c r="B2949" s="6"/>
      <c r="C2949" s="6"/>
      <c r="D2949" s="6"/>
      <c r="E2949" s="6"/>
      <c r="F2949" s="6"/>
      <c r="G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O2949" s="6"/>
      <c r="AP2949" s="6"/>
      <c r="BH2949" s="6"/>
      <c r="BI2949" s="6"/>
      <c r="BJ2949" s="6"/>
      <c r="BK2949" s="6"/>
      <c r="BL2949" s="6"/>
      <c r="BM2949" s="6"/>
      <c r="BN2949" s="6"/>
      <c r="BO2949" s="6"/>
      <c r="BP2949" s="6"/>
      <c r="BQ2949" s="6"/>
      <c r="BR2949" s="6"/>
      <c r="BS2949" s="6"/>
      <c r="BT2949" s="6"/>
      <c r="BU2949" s="6"/>
      <c r="BV2949" s="6"/>
      <c r="BW2949" s="6"/>
      <c r="BX2949" s="6"/>
      <c r="BY2949" s="6"/>
      <c r="BZ2949" s="6"/>
    </row>
    <row r="2950" spans="1:78" ht="21.75" customHeight="1">
      <c r="A2950" s="6"/>
      <c r="B2950" s="6"/>
      <c r="C2950" s="6"/>
      <c r="D2950" s="6"/>
      <c r="E2950" s="6"/>
      <c r="F2950" s="6"/>
      <c r="G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O2950" s="6"/>
      <c r="AP2950" s="6"/>
      <c r="BH2950" s="6"/>
      <c r="BI2950" s="6"/>
      <c r="BJ2950" s="6"/>
      <c r="BK2950" s="6"/>
      <c r="BL2950" s="6"/>
      <c r="BM2950" s="6"/>
      <c r="BN2950" s="6"/>
      <c r="BO2950" s="6"/>
      <c r="BP2950" s="6"/>
      <c r="BQ2950" s="6"/>
      <c r="BR2950" s="6"/>
      <c r="BS2950" s="6"/>
      <c r="BT2950" s="6"/>
      <c r="BU2950" s="6"/>
      <c r="BV2950" s="6"/>
      <c r="BW2950" s="6"/>
      <c r="BX2950" s="6"/>
      <c r="BY2950" s="6"/>
      <c r="BZ2950" s="6"/>
    </row>
    <row r="2951" spans="1:78" ht="21" customHeight="1">
      <c r="A2951" s="6"/>
      <c r="B2951" s="6"/>
      <c r="C2951" s="6"/>
      <c r="D2951" s="6"/>
      <c r="E2951" s="6"/>
      <c r="F2951" s="6"/>
      <c r="G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O2951" s="6"/>
      <c r="AP2951" s="6"/>
      <c r="BH2951" s="6"/>
      <c r="BI2951" s="6"/>
      <c r="BJ2951" s="6"/>
      <c r="BK2951" s="6"/>
      <c r="BL2951" s="6"/>
      <c r="BM2951" s="6"/>
      <c r="BN2951" s="6"/>
      <c r="BO2951" s="6"/>
      <c r="BP2951" s="6"/>
      <c r="BQ2951" s="6"/>
      <c r="BR2951" s="6"/>
      <c r="BS2951" s="6"/>
      <c r="BT2951" s="6"/>
      <c r="BU2951" s="6"/>
      <c r="BV2951" s="6"/>
      <c r="BW2951" s="6"/>
      <c r="BX2951" s="6"/>
      <c r="BY2951" s="6"/>
      <c r="BZ2951" s="6"/>
    </row>
    <row r="2952" spans="1:78" ht="21.75" customHeight="1">
      <c r="A2952" s="6"/>
      <c r="B2952" s="6"/>
      <c r="C2952" s="6"/>
      <c r="D2952" s="6"/>
      <c r="E2952" s="6"/>
      <c r="F2952" s="6"/>
      <c r="G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O2952" s="6"/>
      <c r="AP2952" s="6"/>
      <c r="BH2952" s="6"/>
      <c r="BI2952" s="6"/>
      <c r="BJ2952" s="6"/>
      <c r="BK2952" s="6"/>
      <c r="BL2952" s="6"/>
      <c r="BM2952" s="6"/>
      <c r="BN2952" s="6"/>
      <c r="BO2952" s="6"/>
      <c r="BP2952" s="6"/>
      <c r="BQ2952" s="6"/>
      <c r="BR2952" s="6"/>
      <c r="BS2952" s="6"/>
      <c r="BT2952" s="6"/>
      <c r="BU2952" s="6"/>
      <c r="BV2952" s="6"/>
      <c r="BW2952" s="6"/>
      <c r="BX2952" s="6"/>
      <c r="BY2952" s="6"/>
      <c r="BZ2952" s="6"/>
    </row>
    <row r="2953" spans="1:78" ht="21.75" customHeight="1">
      <c r="A2953" s="6"/>
      <c r="B2953" s="6"/>
      <c r="C2953" s="6"/>
      <c r="D2953" s="6"/>
      <c r="E2953" s="6"/>
      <c r="F2953" s="6"/>
      <c r="G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O2953" s="6"/>
      <c r="AP2953" s="6"/>
      <c r="BH2953" s="6"/>
      <c r="BI2953" s="6"/>
      <c r="BJ2953" s="6"/>
      <c r="BK2953" s="6"/>
      <c r="BL2953" s="6"/>
      <c r="BM2953" s="6"/>
      <c r="BN2953" s="6"/>
      <c r="BO2953" s="6"/>
      <c r="BP2953" s="6"/>
      <c r="BQ2953" s="6"/>
      <c r="BR2953" s="6"/>
      <c r="BS2953" s="6"/>
      <c r="BT2953" s="6"/>
      <c r="BU2953" s="6"/>
      <c r="BV2953" s="6"/>
      <c r="BW2953" s="6"/>
      <c r="BX2953" s="6"/>
      <c r="BY2953" s="6"/>
      <c r="BZ2953" s="6"/>
    </row>
    <row r="2954" spans="1:78" ht="21.75" customHeight="1">
      <c r="A2954" s="6"/>
      <c r="B2954" s="6"/>
      <c r="C2954" s="6"/>
      <c r="D2954" s="6"/>
      <c r="E2954" s="6"/>
      <c r="F2954" s="6"/>
      <c r="G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O2954" s="6"/>
      <c r="AP2954" s="6"/>
      <c r="BH2954" s="6"/>
      <c r="BI2954" s="6"/>
      <c r="BJ2954" s="6"/>
      <c r="BK2954" s="6"/>
      <c r="BL2954" s="6"/>
      <c r="BM2954" s="6"/>
      <c r="BN2954" s="6"/>
      <c r="BO2954" s="6"/>
      <c r="BP2954" s="6"/>
      <c r="BQ2954" s="6"/>
      <c r="BR2954" s="6"/>
      <c r="BS2954" s="6"/>
      <c r="BT2954" s="6"/>
      <c r="BU2954" s="6"/>
      <c r="BV2954" s="6"/>
      <c r="BW2954" s="6"/>
      <c r="BX2954" s="6"/>
      <c r="BY2954" s="6"/>
      <c r="BZ2954" s="6"/>
    </row>
    <row r="2955" spans="1:78" ht="21.75" customHeight="1">
      <c r="A2955" s="6"/>
      <c r="B2955" s="6"/>
      <c r="C2955" s="6"/>
      <c r="D2955" s="6"/>
      <c r="E2955" s="6"/>
      <c r="F2955" s="6"/>
      <c r="G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O2955" s="6"/>
      <c r="AP2955" s="6"/>
      <c r="BH2955" s="6"/>
      <c r="BI2955" s="6"/>
      <c r="BJ2955" s="6"/>
      <c r="BK2955" s="6"/>
      <c r="BL2955" s="6"/>
      <c r="BM2955" s="6"/>
      <c r="BN2955" s="6"/>
      <c r="BO2955" s="6"/>
      <c r="BP2955" s="6"/>
      <c r="BQ2955" s="6"/>
      <c r="BR2955" s="6"/>
      <c r="BS2955" s="6"/>
      <c r="BT2955" s="6"/>
      <c r="BU2955" s="6"/>
      <c r="BV2955" s="6"/>
      <c r="BW2955" s="6"/>
      <c r="BX2955" s="6"/>
      <c r="BY2955" s="6"/>
      <c r="BZ2955" s="6"/>
    </row>
    <row r="2956" spans="1:78" ht="21.75" customHeight="1">
      <c r="A2956" s="6"/>
      <c r="B2956" s="6"/>
      <c r="C2956" s="6"/>
      <c r="D2956" s="6"/>
      <c r="E2956" s="6"/>
      <c r="F2956" s="6"/>
      <c r="G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O2956" s="6"/>
      <c r="AP2956" s="6"/>
      <c r="BH2956" s="6"/>
      <c r="BI2956" s="6"/>
      <c r="BJ2956" s="6"/>
      <c r="BK2956" s="6"/>
      <c r="BL2956" s="6"/>
      <c r="BM2956" s="6"/>
      <c r="BN2956" s="6"/>
      <c r="BO2956" s="6"/>
      <c r="BP2956" s="6"/>
      <c r="BQ2956" s="6"/>
      <c r="BR2956" s="6"/>
      <c r="BS2956" s="6"/>
      <c r="BT2956" s="6"/>
      <c r="BU2956" s="6"/>
      <c r="BV2956" s="6"/>
      <c r="BW2956" s="6"/>
      <c r="BX2956" s="6"/>
      <c r="BY2956" s="6"/>
      <c r="BZ2956" s="6"/>
    </row>
    <row r="2957" spans="1:78" ht="21.75" customHeight="1">
      <c r="A2957" s="6"/>
      <c r="B2957" s="6"/>
      <c r="C2957" s="6"/>
      <c r="D2957" s="6"/>
      <c r="E2957" s="6"/>
      <c r="F2957" s="6"/>
      <c r="G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O2957" s="6"/>
      <c r="AP2957" s="6"/>
      <c r="BH2957" s="6"/>
      <c r="BI2957" s="6"/>
      <c r="BJ2957" s="6"/>
      <c r="BK2957" s="6"/>
      <c r="BL2957" s="6"/>
      <c r="BM2957" s="6"/>
      <c r="BN2957" s="6"/>
      <c r="BO2957" s="6"/>
      <c r="BP2957" s="6"/>
      <c r="BQ2957" s="6"/>
      <c r="BR2957" s="6"/>
      <c r="BS2957" s="6"/>
      <c r="BT2957" s="6"/>
      <c r="BU2957" s="6"/>
      <c r="BV2957" s="6"/>
      <c r="BW2957" s="6"/>
      <c r="BX2957" s="6"/>
      <c r="BY2957" s="6"/>
      <c r="BZ2957" s="6"/>
    </row>
    <row r="2958" spans="1:78" ht="21.75" customHeight="1">
      <c r="A2958" s="6"/>
      <c r="B2958" s="6"/>
      <c r="C2958" s="6"/>
      <c r="D2958" s="6"/>
      <c r="E2958" s="6"/>
      <c r="F2958" s="6"/>
      <c r="G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O2958" s="6"/>
      <c r="AP2958" s="6"/>
      <c r="BH2958" s="6"/>
      <c r="BI2958" s="6"/>
      <c r="BJ2958" s="6"/>
      <c r="BK2958" s="6"/>
      <c r="BL2958" s="6"/>
      <c r="BM2958" s="6"/>
      <c r="BN2958" s="6"/>
      <c r="BO2958" s="6"/>
      <c r="BP2958" s="6"/>
      <c r="BQ2958" s="6"/>
      <c r="BR2958" s="6"/>
      <c r="BS2958" s="6"/>
      <c r="BT2958" s="6"/>
      <c r="BU2958" s="6"/>
      <c r="BV2958" s="6"/>
      <c r="BW2958" s="6"/>
      <c r="BX2958" s="6"/>
      <c r="BY2958" s="6"/>
      <c r="BZ2958" s="6"/>
    </row>
    <row r="2959" spans="1:78" s="472" customFormat="1" ht="18.75" customHeight="1"/>
    <row r="2960" spans="1:78" ht="21.75" customHeight="1">
      <c r="A2960" s="6"/>
      <c r="B2960" s="6"/>
      <c r="C2960" s="6"/>
      <c r="D2960" s="6"/>
      <c r="E2960" s="6"/>
      <c r="F2960" s="6"/>
      <c r="G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O2960" s="6"/>
      <c r="AP2960" s="6"/>
      <c r="BH2960" s="6"/>
      <c r="BI2960" s="6"/>
      <c r="BJ2960" s="6"/>
      <c r="BK2960" s="6"/>
      <c r="BL2960" s="6"/>
      <c r="BM2960" s="6"/>
      <c r="BN2960" s="6"/>
      <c r="BO2960" s="6"/>
      <c r="BP2960" s="6"/>
      <c r="BQ2960" s="6"/>
      <c r="BR2960" s="6"/>
      <c r="BS2960" s="6"/>
      <c r="BT2960" s="6"/>
      <c r="BU2960" s="6"/>
      <c r="BV2960" s="6"/>
      <c r="BW2960" s="6"/>
      <c r="BX2960" s="6"/>
      <c r="BY2960" s="6"/>
      <c r="BZ2960" s="6"/>
    </row>
    <row r="2961" spans="1:78" ht="21.75" customHeight="1">
      <c r="A2961" s="6"/>
      <c r="B2961" s="6"/>
      <c r="C2961" s="6"/>
      <c r="D2961" s="6"/>
      <c r="E2961" s="6"/>
      <c r="F2961" s="6"/>
      <c r="G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O2961" s="6"/>
      <c r="AP2961" s="6"/>
      <c r="BH2961" s="6"/>
      <c r="BI2961" s="6"/>
      <c r="BJ2961" s="6"/>
      <c r="BK2961" s="6"/>
      <c r="BL2961" s="6"/>
      <c r="BM2961" s="6"/>
      <c r="BN2961" s="6"/>
      <c r="BO2961" s="6"/>
      <c r="BP2961" s="6"/>
      <c r="BQ2961" s="6"/>
      <c r="BR2961" s="6"/>
      <c r="BS2961" s="6"/>
      <c r="BT2961" s="6"/>
      <c r="BU2961" s="6"/>
      <c r="BV2961" s="6"/>
      <c r="BW2961" s="6"/>
      <c r="BX2961" s="6"/>
      <c r="BY2961" s="6"/>
      <c r="BZ2961" s="6"/>
    </row>
    <row r="2962" spans="1:78" ht="21.75" customHeight="1">
      <c r="A2962" s="6"/>
      <c r="B2962" s="6"/>
      <c r="C2962" s="6"/>
      <c r="D2962" s="6"/>
      <c r="E2962" s="6"/>
      <c r="F2962" s="6"/>
      <c r="G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O2962" s="6"/>
      <c r="AP2962" s="6"/>
      <c r="BH2962" s="6"/>
      <c r="BI2962" s="6"/>
      <c r="BJ2962" s="6"/>
      <c r="BK2962" s="6"/>
      <c r="BL2962" s="6"/>
      <c r="BM2962" s="6"/>
      <c r="BN2962" s="6"/>
      <c r="BO2962" s="6"/>
      <c r="BP2962" s="6"/>
      <c r="BQ2962" s="6"/>
      <c r="BR2962" s="6"/>
      <c r="BS2962" s="6"/>
      <c r="BT2962" s="6"/>
      <c r="BU2962" s="6"/>
      <c r="BV2962" s="6"/>
      <c r="BW2962" s="6"/>
      <c r="BX2962" s="6"/>
      <c r="BY2962" s="6"/>
      <c r="BZ2962" s="6"/>
    </row>
    <row r="2963" spans="1:78" ht="21.75" customHeight="1">
      <c r="A2963" s="6"/>
      <c r="B2963" s="6"/>
      <c r="C2963" s="6"/>
      <c r="D2963" s="6"/>
      <c r="E2963" s="6"/>
      <c r="F2963" s="6"/>
      <c r="G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O2963" s="6"/>
      <c r="AP2963" s="6"/>
      <c r="BH2963" s="6"/>
      <c r="BI2963" s="6"/>
      <c r="BJ2963" s="6"/>
      <c r="BK2963" s="6"/>
      <c r="BL2963" s="6"/>
      <c r="BM2963" s="6"/>
      <c r="BN2963" s="6"/>
      <c r="BO2963" s="6"/>
      <c r="BP2963" s="6"/>
      <c r="BQ2963" s="6"/>
      <c r="BR2963" s="6"/>
      <c r="BS2963" s="6"/>
      <c r="BT2963" s="6"/>
      <c r="BU2963" s="6"/>
      <c r="BV2963" s="6"/>
      <c r="BW2963" s="6"/>
      <c r="BX2963" s="6"/>
      <c r="BY2963" s="6"/>
      <c r="BZ2963" s="6"/>
    </row>
    <row r="2964" spans="1:78" ht="21.75" customHeight="1">
      <c r="A2964" s="6"/>
      <c r="B2964" s="6"/>
      <c r="C2964" s="6"/>
      <c r="D2964" s="6"/>
      <c r="E2964" s="6"/>
      <c r="F2964" s="6"/>
      <c r="G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O2964" s="6"/>
      <c r="AP2964" s="6"/>
      <c r="BH2964" s="6"/>
      <c r="BI2964" s="6"/>
      <c r="BJ2964" s="6"/>
      <c r="BK2964" s="6"/>
      <c r="BL2964" s="6"/>
      <c r="BM2964" s="6"/>
      <c r="BN2964" s="6"/>
      <c r="BO2964" s="6"/>
      <c r="BP2964" s="6"/>
      <c r="BQ2964" s="6"/>
      <c r="BR2964" s="6"/>
      <c r="BS2964" s="6"/>
      <c r="BT2964" s="6"/>
      <c r="BU2964" s="6"/>
      <c r="BV2964" s="6"/>
      <c r="BW2964" s="6"/>
      <c r="BX2964" s="6"/>
      <c r="BY2964" s="6"/>
      <c r="BZ2964" s="6"/>
    </row>
    <row r="2965" spans="1:78" s="496" customFormat="1" ht="21.75" customHeight="1"/>
    <row r="2966" spans="1:78" ht="21.75" customHeight="1">
      <c r="A2966" s="6"/>
      <c r="B2966" s="6"/>
      <c r="C2966" s="6"/>
      <c r="D2966" s="6"/>
      <c r="E2966" s="6"/>
      <c r="F2966" s="6"/>
      <c r="G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O2966" s="6"/>
      <c r="AP2966" s="6"/>
      <c r="BH2966" s="6"/>
      <c r="BI2966" s="6"/>
      <c r="BJ2966" s="6"/>
      <c r="BK2966" s="6"/>
      <c r="BL2966" s="6"/>
      <c r="BM2966" s="6"/>
      <c r="BN2966" s="6"/>
      <c r="BO2966" s="6"/>
      <c r="BP2966" s="6"/>
      <c r="BQ2966" s="6"/>
      <c r="BR2966" s="6"/>
      <c r="BS2966" s="6"/>
      <c r="BT2966" s="6"/>
      <c r="BU2966" s="6"/>
      <c r="BV2966" s="6"/>
      <c r="BW2966" s="6"/>
      <c r="BX2966" s="6"/>
      <c r="BY2966" s="6"/>
      <c r="BZ2966" s="6"/>
    </row>
    <row r="2967" spans="1:78" ht="21.75" customHeight="1">
      <c r="A2967" s="6"/>
      <c r="B2967" s="6"/>
      <c r="C2967" s="6"/>
      <c r="D2967" s="6"/>
      <c r="E2967" s="6"/>
      <c r="F2967" s="6"/>
      <c r="G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O2967" s="6"/>
      <c r="AP2967" s="6"/>
      <c r="BH2967" s="6"/>
      <c r="BI2967" s="6"/>
      <c r="BJ2967" s="6"/>
      <c r="BK2967" s="6"/>
      <c r="BL2967" s="6"/>
      <c r="BM2967" s="6"/>
      <c r="BN2967" s="6"/>
      <c r="BO2967" s="6"/>
      <c r="BP2967" s="6"/>
      <c r="BQ2967" s="6"/>
      <c r="BR2967" s="6"/>
      <c r="BS2967" s="6"/>
      <c r="BT2967" s="6"/>
      <c r="BU2967" s="6"/>
      <c r="BV2967" s="6"/>
      <c r="BW2967" s="6"/>
      <c r="BX2967" s="6"/>
      <c r="BY2967" s="6"/>
      <c r="BZ2967" s="6"/>
    </row>
    <row r="2968" spans="1:78" ht="21.75" customHeight="1">
      <c r="A2968" s="6"/>
      <c r="B2968" s="6"/>
      <c r="C2968" s="6"/>
      <c r="D2968" s="6"/>
      <c r="E2968" s="6"/>
      <c r="F2968" s="6"/>
      <c r="G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O2968" s="6"/>
      <c r="AP2968" s="6"/>
      <c r="BH2968" s="6"/>
      <c r="BI2968" s="6"/>
      <c r="BJ2968" s="6"/>
      <c r="BK2968" s="6"/>
      <c r="BL2968" s="6"/>
      <c r="BM2968" s="6"/>
      <c r="BN2968" s="6"/>
      <c r="BO2968" s="6"/>
      <c r="BP2968" s="6"/>
      <c r="BQ2968" s="6"/>
      <c r="BR2968" s="6"/>
      <c r="BS2968" s="6"/>
      <c r="BT2968" s="6"/>
      <c r="BU2968" s="6"/>
      <c r="BV2968" s="6"/>
      <c r="BW2968" s="6"/>
      <c r="BX2968" s="6"/>
      <c r="BY2968" s="6"/>
      <c r="BZ2968" s="6"/>
    </row>
    <row r="2969" spans="1:78" ht="21.75" customHeight="1">
      <c r="A2969" s="6"/>
      <c r="B2969" s="6"/>
      <c r="C2969" s="6"/>
      <c r="D2969" s="6"/>
      <c r="E2969" s="6"/>
      <c r="F2969" s="6"/>
      <c r="G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O2969" s="6"/>
      <c r="AP2969" s="6"/>
      <c r="BH2969" s="6"/>
      <c r="BI2969" s="6"/>
      <c r="BJ2969" s="6"/>
      <c r="BK2969" s="6"/>
      <c r="BL2969" s="6"/>
      <c r="BM2969" s="6"/>
      <c r="BN2969" s="6"/>
      <c r="BO2969" s="6"/>
      <c r="BP2969" s="6"/>
      <c r="BQ2969" s="6"/>
      <c r="BR2969" s="6"/>
      <c r="BS2969" s="6"/>
      <c r="BT2969" s="6"/>
      <c r="BU2969" s="6"/>
      <c r="BV2969" s="6"/>
      <c r="BW2969" s="6"/>
      <c r="BX2969" s="6"/>
      <c r="BY2969" s="6"/>
      <c r="BZ2969" s="6"/>
    </row>
    <row r="2970" spans="1:78" ht="21.75" customHeight="1">
      <c r="A2970" s="6"/>
      <c r="B2970" s="6"/>
      <c r="C2970" s="6"/>
      <c r="D2970" s="6"/>
      <c r="E2970" s="6"/>
      <c r="F2970" s="6"/>
      <c r="G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O2970" s="6"/>
      <c r="AP2970" s="6"/>
      <c r="BH2970" s="6"/>
      <c r="BI2970" s="6"/>
      <c r="BJ2970" s="6"/>
      <c r="BK2970" s="6"/>
      <c r="BL2970" s="6"/>
      <c r="BM2970" s="6"/>
      <c r="BN2970" s="6"/>
      <c r="BO2970" s="6"/>
      <c r="BP2970" s="6"/>
      <c r="BQ2970" s="6"/>
      <c r="BR2970" s="6"/>
      <c r="BS2970" s="6"/>
      <c r="BT2970" s="6"/>
      <c r="BU2970" s="6"/>
      <c r="BV2970" s="6"/>
      <c r="BW2970" s="6"/>
      <c r="BX2970" s="6"/>
      <c r="BY2970" s="6"/>
      <c r="BZ2970" s="6"/>
    </row>
    <row r="2971" spans="1:78" ht="21.75" customHeight="1">
      <c r="A2971" s="6"/>
      <c r="B2971" s="6"/>
      <c r="C2971" s="6"/>
      <c r="D2971" s="6"/>
      <c r="E2971" s="6"/>
      <c r="F2971" s="6"/>
      <c r="G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O2971" s="6"/>
      <c r="AP2971" s="6"/>
      <c r="BH2971" s="6"/>
      <c r="BI2971" s="6"/>
      <c r="BJ2971" s="6"/>
      <c r="BK2971" s="6"/>
      <c r="BL2971" s="6"/>
      <c r="BM2971" s="6"/>
      <c r="BN2971" s="6"/>
      <c r="BO2971" s="6"/>
      <c r="BP2971" s="6"/>
      <c r="BQ2971" s="6"/>
      <c r="BR2971" s="6"/>
      <c r="BS2971" s="6"/>
      <c r="BT2971" s="6"/>
      <c r="BU2971" s="6"/>
      <c r="BV2971" s="6"/>
      <c r="BW2971" s="6"/>
      <c r="BX2971" s="6"/>
      <c r="BY2971" s="6"/>
      <c r="BZ2971" s="6"/>
    </row>
    <row r="2972" spans="1:78" ht="21.75" customHeight="1">
      <c r="A2972" s="6"/>
      <c r="B2972" s="6"/>
      <c r="C2972" s="6"/>
      <c r="D2972" s="6"/>
      <c r="E2972" s="6"/>
      <c r="F2972" s="6"/>
      <c r="G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O2972" s="6"/>
      <c r="AP2972" s="6"/>
      <c r="BH2972" s="6"/>
      <c r="BI2972" s="6"/>
      <c r="BJ2972" s="6"/>
      <c r="BK2972" s="6"/>
      <c r="BL2972" s="6"/>
      <c r="BM2972" s="6"/>
      <c r="BN2972" s="6"/>
      <c r="BO2972" s="6"/>
      <c r="BP2972" s="6"/>
      <c r="BQ2972" s="6"/>
      <c r="BR2972" s="6"/>
      <c r="BS2972" s="6"/>
      <c r="BT2972" s="6"/>
      <c r="BU2972" s="6"/>
      <c r="BV2972" s="6"/>
      <c r="BW2972" s="6"/>
      <c r="BX2972" s="6"/>
      <c r="BY2972" s="6"/>
      <c r="BZ2972" s="6"/>
    </row>
    <row r="2973" spans="1:78" s="450" customFormat="1" ht="21.75" customHeight="1"/>
    <row r="2974" spans="1:78" s="448" customFormat="1" ht="21.75" customHeight="1"/>
    <row r="2975" spans="1:78" ht="21.75" customHeight="1">
      <c r="A2975" s="6"/>
      <c r="B2975" s="6"/>
      <c r="C2975" s="6"/>
      <c r="D2975" s="6"/>
      <c r="E2975" s="6"/>
      <c r="F2975" s="6"/>
      <c r="G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O2975" s="6"/>
      <c r="AP2975" s="6"/>
      <c r="BH2975" s="6"/>
      <c r="BI2975" s="6"/>
      <c r="BJ2975" s="6"/>
      <c r="BK2975" s="6"/>
      <c r="BL2975" s="6"/>
      <c r="BM2975" s="6"/>
      <c r="BN2975" s="6"/>
      <c r="BO2975" s="6"/>
      <c r="BP2975" s="6"/>
      <c r="BQ2975" s="6"/>
      <c r="BR2975" s="6"/>
      <c r="BS2975" s="6"/>
      <c r="BT2975" s="6"/>
      <c r="BU2975" s="6"/>
      <c r="BV2975" s="6"/>
      <c r="BW2975" s="6"/>
      <c r="BX2975" s="6"/>
      <c r="BY2975" s="6"/>
      <c r="BZ2975" s="6"/>
    </row>
    <row r="2976" spans="1:78" ht="21.75" customHeight="1">
      <c r="A2976" s="6"/>
      <c r="B2976" s="6"/>
      <c r="C2976" s="6"/>
      <c r="D2976" s="6"/>
      <c r="E2976" s="6"/>
      <c r="F2976" s="6"/>
      <c r="G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O2976" s="6"/>
      <c r="AP2976" s="6"/>
      <c r="BH2976" s="6"/>
      <c r="BI2976" s="6"/>
      <c r="BJ2976" s="6"/>
      <c r="BK2976" s="6"/>
      <c r="BL2976" s="6"/>
      <c r="BM2976" s="6"/>
      <c r="BN2976" s="6"/>
      <c r="BO2976" s="6"/>
      <c r="BP2976" s="6"/>
      <c r="BQ2976" s="6"/>
      <c r="BR2976" s="6"/>
      <c r="BS2976" s="6"/>
      <c r="BT2976" s="6"/>
      <c r="BU2976" s="6"/>
      <c r="BV2976" s="6"/>
      <c r="BW2976" s="6"/>
      <c r="BX2976" s="6"/>
      <c r="BY2976" s="6"/>
      <c r="BZ2976" s="6"/>
    </row>
    <row r="2977" spans="1:78" ht="21.75" customHeight="1">
      <c r="A2977" s="6"/>
      <c r="B2977" s="6"/>
      <c r="C2977" s="6"/>
      <c r="D2977" s="6"/>
      <c r="E2977" s="6"/>
      <c r="F2977" s="6"/>
      <c r="G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O2977" s="6"/>
      <c r="AP2977" s="6"/>
      <c r="BH2977" s="6"/>
      <c r="BI2977" s="6"/>
      <c r="BJ2977" s="6"/>
      <c r="BK2977" s="6"/>
      <c r="BL2977" s="6"/>
      <c r="BM2977" s="6"/>
      <c r="BN2977" s="6"/>
      <c r="BO2977" s="6"/>
      <c r="BP2977" s="6"/>
      <c r="BQ2977" s="6"/>
      <c r="BR2977" s="6"/>
      <c r="BS2977" s="6"/>
      <c r="BT2977" s="6"/>
      <c r="BU2977" s="6"/>
      <c r="BV2977" s="6"/>
      <c r="BW2977" s="6"/>
      <c r="BX2977" s="6"/>
      <c r="BY2977" s="6"/>
      <c r="BZ2977" s="6"/>
    </row>
    <row r="2978" spans="1:78" ht="21.75" customHeight="1">
      <c r="A2978" s="6"/>
      <c r="B2978" s="6"/>
      <c r="C2978" s="6"/>
      <c r="D2978" s="6"/>
      <c r="E2978" s="6"/>
      <c r="F2978" s="6"/>
      <c r="G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O2978" s="6"/>
      <c r="AP2978" s="6"/>
      <c r="BH2978" s="6"/>
      <c r="BI2978" s="6"/>
      <c r="BJ2978" s="6"/>
      <c r="BK2978" s="6"/>
      <c r="BL2978" s="6"/>
      <c r="BM2978" s="6"/>
      <c r="BN2978" s="6"/>
      <c r="BO2978" s="6"/>
      <c r="BP2978" s="6"/>
      <c r="BQ2978" s="6"/>
      <c r="BR2978" s="6"/>
      <c r="BS2978" s="6"/>
      <c r="BT2978" s="6"/>
      <c r="BU2978" s="6"/>
      <c r="BV2978" s="6"/>
      <c r="BW2978" s="6"/>
      <c r="BX2978" s="6"/>
      <c r="BY2978" s="6"/>
      <c r="BZ2978" s="6"/>
    </row>
    <row r="2979" spans="1:78" ht="21.75" customHeight="1">
      <c r="A2979" s="6"/>
      <c r="B2979" s="6"/>
      <c r="C2979" s="6"/>
      <c r="D2979" s="6"/>
      <c r="E2979" s="6"/>
      <c r="F2979" s="6"/>
      <c r="G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O2979" s="6"/>
      <c r="AP2979" s="6"/>
      <c r="BH2979" s="6"/>
      <c r="BI2979" s="6"/>
      <c r="BJ2979" s="6"/>
      <c r="BK2979" s="6"/>
      <c r="BL2979" s="6"/>
      <c r="BM2979" s="6"/>
      <c r="BN2979" s="6"/>
      <c r="BO2979" s="6"/>
      <c r="BP2979" s="6"/>
      <c r="BQ2979" s="6"/>
      <c r="BR2979" s="6"/>
      <c r="BS2979" s="6"/>
      <c r="BT2979" s="6"/>
      <c r="BU2979" s="6"/>
      <c r="BV2979" s="6"/>
      <c r="BW2979" s="6"/>
      <c r="BX2979" s="6"/>
      <c r="BY2979" s="6"/>
      <c r="BZ2979" s="6"/>
    </row>
    <row r="2980" spans="1:78" ht="21.75" customHeight="1">
      <c r="A2980" s="6"/>
      <c r="B2980" s="6"/>
      <c r="C2980" s="6"/>
      <c r="D2980" s="6"/>
      <c r="E2980" s="6"/>
      <c r="F2980" s="6"/>
      <c r="G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O2980" s="6"/>
      <c r="AP2980" s="6"/>
      <c r="BH2980" s="6"/>
      <c r="BI2980" s="6"/>
      <c r="BJ2980" s="6"/>
      <c r="BK2980" s="6"/>
      <c r="BL2980" s="6"/>
      <c r="BM2980" s="6"/>
      <c r="BN2980" s="6"/>
      <c r="BO2980" s="6"/>
      <c r="BP2980" s="6"/>
      <c r="BQ2980" s="6"/>
      <c r="BR2980" s="6"/>
      <c r="BS2980" s="6"/>
      <c r="BT2980" s="6"/>
      <c r="BU2980" s="6"/>
      <c r="BV2980" s="6"/>
      <c r="BW2980" s="6"/>
      <c r="BX2980" s="6"/>
      <c r="BY2980" s="6"/>
      <c r="BZ2980" s="6"/>
    </row>
    <row r="2981" spans="1:78" ht="21.75" customHeight="1">
      <c r="A2981" s="6"/>
      <c r="B2981" s="6"/>
      <c r="C2981" s="6"/>
      <c r="D2981" s="6"/>
      <c r="E2981" s="6"/>
      <c r="F2981" s="6"/>
      <c r="G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O2981" s="6"/>
      <c r="AP2981" s="6"/>
      <c r="BH2981" s="6"/>
      <c r="BI2981" s="6"/>
      <c r="BJ2981" s="6"/>
      <c r="BK2981" s="6"/>
      <c r="BL2981" s="6"/>
      <c r="BM2981" s="6"/>
      <c r="BN2981" s="6"/>
      <c r="BO2981" s="6"/>
      <c r="BP2981" s="6"/>
      <c r="BQ2981" s="6"/>
      <c r="BR2981" s="6"/>
      <c r="BS2981" s="6"/>
      <c r="BT2981" s="6"/>
      <c r="BU2981" s="6"/>
      <c r="BV2981" s="6"/>
      <c r="BW2981" s="6"/>
      <c r="BX2981" s="6"/>
      <c r="BY2981" s="6"/>
      <c r="BZ2981" s="6"/>
    </row>
    <row r="2982" spans="1:78" ht="21.75" customHeight="1">
      <c r="A2982" s="6"/>
      <c r="B2982" s="6"/>
      <c r="C2982" s="6"/>
      <c r="D2982" s="6"/>
      <c r="E2982" s="6"/>
      <c r="F2982" s="6"/>
      <c r="G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O2982" s="6"/>
      <c r="AP2982" s="6"/>
      <c r="BH2982" s="6"/>
      <c r="BI2982" s="6"/>
      <c r="BJ2982" s="6"/>
      <c r="BK2982" s="6"/>
      <c r="BL2982" s="6"/>
      <c r="BM2982" s="6"/>
      <c r="BN2982" s="6"/>
      <c r="BO2982" s="6"/>
      <c r="BP2982" s="6"/>
      <c r="BQ2982" s="6"/>
      <c r="BR2982" s="6"/>
      <c r="BS2982" s="6"/>
      <c r="BT2982" s="6"/>
      <c r="BU2982" s="6"/>
      <c r="BV2982" s="6"/>
      <c r="BW2982" s="6"/>
      <c r="BX2982" s="6"/>
      <c r="BY2982" s="6"/>
      <c r="BZ2982" s="6"/>
    </row>
    <row r="2983" spans="1:78" ht="21.75" customHeight="1">
      <c r="A2983" s="6"/>
      <c r="B2983" s="6"/>
      <c r="C2983" s="6"/>
      <c r="D2983" s="6"/>
      <c r="E2983" s="6"/>
      <c r="F2983" s="6"/>
      <c r="G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O2983" s="6"/>
      <c r="AP2983" s="6"/>
      <c r="BH2983" s="6"/>
      <c r="BI2983" s="6"/>
      <c r="BJ2983" s="6"/>
      <c r="BK2983" s="6"/>
      <c r="BL2983" s="6"/>
      <c r="BM2983" s="6"/>
      <c r="BN2983" s="6"/>
      <c r="BO2983" s="6"/>
      <c r="BP2983" s="6"/>
      <c r="BQ2983" s="6"/>
      <c r="BR2983" s="6"/>
      <c r="BS2983" s="6"/>
      <c r="BT2983" s="6"/>
      <c r="BU2983" s="6"/>
      <c r="BV2983" s="6"/>
      <c r="BW2983" s="6"/>
      <c r="BX2983" s="6"/>
      <c r="BY2983" s="6"/>
      <c r="BZ2983" s="6"/>
    </row>
    <row r="2984" spans="1:78" s="496" customFormat="1" ht="21.75" customHeight="1"/>
    <row r="2985" spans="1:78" ht="21.75" customHeight="1">
      <c r="A2985" s="6"/>
      <c r="B2985" s="6"/>
      <c r="C2985" s="6"/>
      <c r="D2985" s="6"/>
      <c r="E2985" s="6"/>
      <c r="F2985" s="6"/>
      <c r="G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O2985" s="6"/>
      <c r="AP2985" s="6"/>
      <c r="BH2985" s="6"/>
      <c r="BI2985" s="6"/>
      <c r="BJ2985" s="6"/>
      <c r="BK2985" s="6"/>
      <c r="BL2985" s="6"/>
      <c r="BM2985" s="6"/>
      <c r="BN2985" s="6"/>
      <c r="BO2985" s="6"/>
      <c r="BP2985" s="6"/>
      <c r="BQ2985" s="6"/>
      <c r="BR2985" s="6"/>
      <c r="BS2985" s="6"/>
      <c r="BT2985" s="6"/>
      <c r="BU2985" s="6"/>
      <c r="BV2985" s="6"/>
      <c r="BW2985" s="6"/>
      <c r="BX2985" s="6"/>
      <c r="BY2985" s="6"/>
      <c r="BZ2985" s="6"/>
    </row>
    <row r="2986" spans="1:78" ht="21.75" customHeight="1">
      <c r="A2986" s="6"/>
      <c r="B2986" s="6"/>
      <c r="C2986" s="6"/>
      <c r="D2986" s="6"/>
      <c r="E2986" s="6"/>
      <c r="F2986" s="6"/>
      <c r="G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O2986" s="6"/>
      <c r="AP2986" s="6"/>
      <c r="BH2986" s="6"/>
      <c r="BI2986" s="6"/>
      <c r="BJ2986" s="6"/>
      <c r="BK2986" s="6"/>
      <c r="BL2986" s="6"/>
      <c r="BM2986" s="6"/>
      <c r="BN2986" s="6"/>
      <c r="BO2986" s="6"/>
      <c r="BP2986" s="6"/>
      <c r="BQ2986" s="6"/>
      <c r="BR2986" s="6"/>
      <c r="BS2986" s="6"/>
      <c r="BT2986" s="6"/>
      <c r="BU2986" s="6"/>
      <c r="BV2986" s="6"/>
      <c r="BW2986" s="6"/>
      <c r="BX2986" s="6"/>
      <c r="BY2986" s="6"/>
      <c r="BZ2986" s="6"/>
    </row>
    <row r="2987" spans="1:78" ht="21.75" customHeight="1">
      <c r="A2987" s="6"/>
      <c r="B2987" s="6"/>
      <c r="C2987" s="6"/>
      <c r="D2987" s="6"/>
      <c r="E2987" s="6"/>
      <c r="F2987" s="6"/>
      <c r="G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O2987" s="6"/>
      <c r="AP2987" s="6"/>
      <c r="BH2987" s="6"/>
      <c r="BI2987" s="6"/>
      <c r="BJ2987" s="6"/>
      <c r="BK2987" s="6"/>
      <c r="BL2987" s="6"/>
      <c r="BM2987" s="6"/>
      <c r="BN2987" s="6"/>
      <c r="BO2987" s="6"/>
      <c r="BP2987" s="6"/>
      <c r="BQ2987" s="6"/>
      <c r="BR2987" s="6"/>
      <c r="BS2987" s="6"/>
      <c r="BT2987" s="6"/>
      <c r="BU2987" s="6"/>
      <c r="BV2987" s="6"/>
      <c r="BW2987" s="6"/>
      <c r="BX2987" s="6"/>
      <c r="BY2987" s="6"/>
      <c r="BZ2987" s="6"/>
    </row>
    <row r="2988" spans="1:78" s="450" customFormat="1" ht="21.75" customHeight="1"/>
    <row r="2989" spans="1:78" s="448" customFormat="1" ht="21.75" customHeight="1"/>
    <row r="2990" spans="1:78" ht="21.75" customHeight="1">
      <c r="A2990" s="6"/>
      <c r="B2990" s="6"/>
      <c r="C2990" s="6"/>
      <c r="D2990" s="6"/>
      <c r="E2990" s="6"/>
      <c r="F2990" s="6"/>
      <c r="G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O2990" s="6"/>
      <c r="AP2990" s="6"/>
      <c r="BH2990" s="6"/>
      <c r="BI2990" s="6"/>
      <c r="BJ2990" s="6"/>
      <c r="BK2990" s="6"/>
      <c r="BL2990" s="6"/>
      <c r="BM2990" s="6"/>
      <c r="BN2990" s="6"/>
      <c r="BO2990" s="6"/>
      <c r="BP2990" s="6"/>
      <c r="BQ2990" s="6"/>
      <c r="BR2990" s="6"/>
      <c r="BS2990" s="6"/>
      <c r="BT2990" s="6"/>
      <c r="BU2990" s="6"/>
      <c r="BV2990" s="6"/>
      <c r="BW2990" s="6"/>
      <c r="BX2990" s="6"/>
      <c r="BY2990" s="6"/>
      <c r="BZ2990" s="6"/>
    </row>
    <row r="2991" spans="1:78" s="448" customFormat="1" ht="21.75" customHeight="1"/>
    <row r="2992" spans="1:78" ht="21.75" customHeight="1">
      <c r="A2992" s="6"/>
      <c r="B2992" s="6"/>
      <c r="C2992" s="6"/>
      <c r="D2992" s="6"/>
      <c r="E2992" s="6"/>
      <c r="F2992" s="6"/>
      <c r="G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O2992" s="6"/>
      <c r="AP2992" s="6"/>
      <c r="BH2992" s="6"/>
      <c r="BI2992" s="6"/>
      <c r="BJ2992" s="6"/>
      <c r="BK2992" s="6"/>
      <c r="BL2992" s="6"/>
      <c r="BM2992" s="6"/>
      <c r="BN2992" s="6"/>
      <c r="BO2992" s="6"/>
      <c r="BP2992" s="6"/>
      <c r="BQ2992" s="6"/>
      <c r="BR2992" s="6"/>
      <c r="BS2992" s="6"/>
      <c r="BT2992" s="6"/>
      <c r="BU2992" s="6"/>
      <c r="BV2992" s="6"/>
      <c r="BW2992" s="6"/>
      <c r="BX2992" s="6"/>
      <c r="BY2992" s="6"/>
      <c r="BZ2992" s="6"/>
    </row>
    <row r="2993" spans="1:78" ht="21.75" customHeight="1">
      <c r="A2993" s="6"/>
      <c r="B2993" s="6"/>
      <c r="C2993" s="6"/>
      <c r="D2993" s="6"/>
      <c r="E2993" s="6"/>
      <c r="F2993" s="6"/>
      <c r="G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O2993" s="6"/>
      <c r="AP2993" s="6"/>
      <c r="BH2993" s="6"/>
      <c r="BI2993" s="6"/>
      <c r="BJ2993" s="6"/>
      <c r="BK2993" s="6"/>
      <c r="BL2993" s="6"/>
      <c r="BM2993" s="6"/>
      <c r="BN2993" s="6"/>
      <c r="BO2993" s="6"/>
      <c r="BP2993" s="6"/>
      <c r="BQ2993" s="6"/>
      <c r="BR2993" s="6"/>
      <c r="BS2993" s="6"/>
      <c r="BT2993" s="6"/>
      <c r="BU2993" s="6"/>
      <c r="BV2993" s="6"/>
      <c r="BW2993" s="6"/>
      <c r="BX2993" s="6"/>
      <c r="BY2993" s="6"/>
      <c r="BZ2993" s="6"/>
    </row>
    <row r="2994" spans="1:78" ht="21.75" customHeight="1">
      <c r="A2994" s="6"/>
      <c r="B2994" s="6"/>
      <c r="C2994" s="6"/>
      <c r="D2994" s="6"/>
      <c r="E2994" s="6"/>
      <c r="F2994" s="6"/>
      <c r="G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O2994" s="6"/>
      <c r="AP2994" s="6"/>
      <c r="BH2994" s="6"/>
      <c r="BI2994" s="6"/>
      <c r="BJ2994" s="6"/>
      <c r="BK2994" s="6"/>
      <c r="BL2994" s="6"/>
      <c r="BM2994" s="6"/>
      <c r="BN2994" s="6"/>
      <c r="BO2994" s="6"/>
      <c r="BP2994" s="6"/>
      <c r="BQ2994" s="6"/>
      <c r="BR2994" s="6"/>
      <c r="BS2994" s="6"/>
      <c r="BT2994" s="6"/>
      <c r="BU2994" s="6"/>
      <c r="BV2994" s="6"/>
      <c r="BW2994" s="6"/>
      <c r="BX2994" s="6"/>
      <c r="BY2994" s="6"/>
      <c r="BZ2994" s="6"/>
    </row>
    <row r="2995" spans="1:78" ht="21.75" customHeight="1">
      <c r="A2995" s="6"/>
      <c r="B2995" s="6"/>
      <c r="C2995" s="6"/>
      <c r="D2995" s="6"/>
      <c r="E2995" s="6"/>
      <c r="F2995" s="6"/>
      <c r="G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O2995" s="6"/>
      <c r="AP2995" s="6"/>
      <c r="BH2995" s="6"/>
      <c r="BI2995" s="6"/>
      <c r="BJ2995" s="6"/>
      <c r="BK2995" s="6"/>
      <c r="BL2995" s="6"/>
      <c r="BM2995" s="6"/>
      <c r="BN2995" s="6"/>
      <c r="BO2995" s="6"/>
      <c r="BP2995" s="6"/>
      <c r="BQ2995" s="6"/>
      <c r="BR2995" s="6"/>
      <c r="BS2995" s="6"/>
      <c r="BT2995" s="6"/>
      <c r="BU2995" s="6"/>
      <c r="BV2995" s="6"/>
      <c r="BW2995" s="6"/>
      <c r="BX2995" s="6"/>
      <c r="BY2995" s="6"/>
      <c r="BZ2995" s="6"/>
    </row>
    <row r="2996" spans="1:78" ht="21.75" customHeight="1">
      <c r="A2996" s="6"/>
      <c r="B2996" s="6"/>
      <c r="C2996" s="6"/>
      <c r="D2996" s="6"/>
      <c r="E2996" s="6"/>
      <c r="F2996" s="6"/>
      <c r="G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O2996" s="6"/>
      <c r="AP2996" s="6"/>
      <c r="BH2996" s="6"/>
      <c r="BI2996" s="6"/>
      <c r="BJ2996" s="6"/>
      <c r="BK2996" s="6"/>
      <c r="BL2996" s="6"/>
      <c r="BM2996" s="6"/>
      <c r="BN2996" s="6"/>
      <c r="BO2996" s="6"/>
      <c r="BP2996" s="6"/>
      <c r="BQ2996" s="6"/>
      <c r="BR2996" s="6"/>
      <c r="BS2996" s="6"/>
      <c r="BT2996" s="6"/>
      <c r="BU2996" s="6"/>
      <c r="BV2996" s="6"/>
      <c r="BW2996" s="6"/>
      <c r="BX2996" s="6"/>
      <c r="BY2996" s="6"/>
      <c r="BZ2996" s="6"/>
    </row>
    <row r="2997" spans="1:78" s="472" customFormat="1" ht="21.75" customHeight="1"/>
    <row r="2998" spans="1:78" s="472" customFormat="1" ht="21.75" customHeight="1"/>
    <row r="2999" spans="1:78" ht="21.75" customHeight="1">
      <c r="A2999" s="6"/>
      <c r="B2999" s="6"/>
      <c r="C2999" s="6"/>
      <c r="D2999" s="6"/>
      <c r="E2999" s="6"/>
      <c r="F2999" s="6"/>
      <c r="G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O2999" s="6"/>
      <c r="AP2999" s="6"/>
      <c r="BH2999" s="6"/>
      <c r="BI2999" s="6"/>
      <c r="BJ2999" s="6"/>
      <c r="BK2999" s="6"/>
      <c r="BL2999" s="6"/>
      <c r="BM2999" s="6"/>
      <c r="BN2999" s="6"/>
      <c r="BO2999" s="6"/>
      <c r="BP2999" s="6"/>
      <c r="BQ2999" s="6"/>
      <c r="BR2999" s="6"/>
      <c r="BS2999" s="6"/>
      <c r="BT2999" s="6"/>
      <c r="BU2999" s="6"/>
      <c r="BV2999" s="6"/>
      <c r="BW2999" s="6"/>
      <c r="BX2999" s="6"/>
      <c r="BY2999" s="6"/>
      <c r="BZ2999" s="6"/>
    </row>
    <row r="3000" spans="1:78" ht="21.75" customHeight="1">
      <c r="A3000" s="6"/>
      <c r="B3000" s="6"/>
      <c r="C3000" s="6"/>
      <c r="D3000" s="6"/>
      <c r="E3000" s="6"/>
      <c r="F3000" s="6"/>
      <c r="G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O3000" s="6"/>
      <c r="AP3000" s="6"/>
      <c r="BH3000" s="6"/>
      <c r="BI3000" s="6"/>
      <c r="BJ3000" s="6"/>
      <c r="BK3000" s="6"/>
      <c r="BL3000" s="6"/>
      <c r="BM3000" s="6"/>
      <c r="BN3000" s="6"/>
      <c r="BO3000" s="6"/>
      <c r="BP3000" s="6"/>
      <c r="BQ3000" s="6"/>
      <c r="BR3000" s="6"/>
      <c r="BS3000" s="6"/>
      <c r="BT3000" s="6"/>
      <c r="BU3000" s="6"/>
      <c r="BV3000" s="6"/>
      <c r="BW3000" s="6"/>
      <c r="BX3000" s="6"/>
      <c r="BY3000" s="6"/>
      <c r="BZ3000" s="6"/>
    </row>
    <row r="3001" spans="1:78" ht="21.75" customHeight="1">
      <c r="A3001" s="6"/>
      <c r="B3001" s="6"/>
      <c r="C3001" s="6"/>
      <c r="D3001" s="6"/>
      <c r="E3001" s="6"/>
      <c r="F3001" s="6"/>
      <c r="G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O3001" s="6"/>
      <c r="AP3001" s="6"/>
      <c r="BH3001" s="6"/>
      <c r="BI3001" s="6"/>
      <c r="BJ3001" s="6"/>
      <c r="BK3001" s="6"/>
      <c r="BL3001" s="6"/>
      <c r="BM3001" s="6"/>
      <c r="BN3001" s="6"/>
      <c r="BO3001" s="6"/>
      <c r="BP3001" s="6"/>
      <c r="BQ3001" s="6"/>
      <c r="BR3001" s="6"/>
      <c r="BS3001" s="6"/>
      <c r="BT3001" s="6"/>
      <c r="BU3001" s="6"/>
      <c r="BV3001" s="6"/>
      <c r="BW3001" s="6"/>
      <c r="BX3001" s="6"/>
      <c r="BY3001" s="6"/>
      <c r="BZ3001" s="6"/>
    </row>
    <row r="3002" spans="1:78" ht="21.75" customHeight="1">
      <c r="A3002" s="6"/>
      <c r="B3002" s="6"/>
      <c r="C3002" s="6"/>
      <c r="D3002" s="6"/>
      <c r="E3002" s="6"/>
      <c r="F3002" s="6"/>
      <c r="G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O3002" s="6"/>
      <c r="AP3002" s="6"/>
      <c r="BH3002" s="6"/>
      <c r="BI3002" s="6"/>
      <c r="BJ3002" s="6"/>
      <c r="BK3002" s="6"/>
      <c r="BL3002" s="6"/>
      <c r="BM3002" s="6"/>
      <c r="BN3002" s="6"/>
      <c r="BO3002" s="6"/>
      <c r="BP3002" s="6"/>
      <c r="BQ3002" s="6"/>
      <c r="BR3002" s="6"/>
      <c r="BS3002" s="6"/>
      <c r="BT3002" s="6"/>
      <c r="BU3002" s="6"/>
      <c r="BV3002" s="6"/>
      <c r="BW3002" s="6"/>
      <c r="BX3002" s="6"/>
      <c r="BY3002" s="6"/>
      <c r="BZ3002" s="6"/>
    </row>
    <row r="3003" spans="1:78" ht="21.75" customHeight="1">
      <c r="A3003" s="6"/>
      <c r="B3003" s="6"/>
      <c r="C3003" s="6"/>
      <c r="D3003" s="6"/>
      <c r="E3003" s="6"/>
      <c r="F3003" s="6"/>
      <c r="G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O3003" s="6"/>
      <c r="AP3003" s="6"/>
      <c r="BH3003" s="6"/>
      <c r="BI3003" s="6"/>
      <c r="BJ3003" s="6"/>
      <c r="BK3003" s="6"/>
      <c r="BL3003" s="6"/>
      <c r="BM3003" s="6"/>
      <c r="BN3003" s="6"/>
      <c r="BO3003" s="6"/>
      <c r="BP3003" s="6"/>
      <c r="BQ3003" s="6"/>
      <c r="BR3003" s="6"/>
      <c r="BS3003" s="6"/>
      <c r="BT3003" s="6"/>
      <c r="BU3003" s="6"/>
      <c r="BV3003" s="6"/>
      <c r="BW3003" s="6"/>
      <c r="BX3003" s="6"/>
      <c r="BY3003" s="6"/>
      <c r="BZ3003" s="6"/>
    </row>
    <row r="3004" spans="1:78" ht="21.75" customHeight="1">
      <c r="A3004" s="6"/>
      <c r="B3004" s="6"/>
      <c r="C3004" s="6"/>
      <c r="D3004" s="6"/>
      <c r="E3004" s="6"/>
      <c r="F3004" s="6"/>
      <c r="G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O3004" s="6"/>
      <c r="AP3004" s="6"/>
      <c r="BH3004" s="6"/>
      <c r="BI3004" s="6"/>
      <c r="BJ3004" s="6"/>
      <c r="BK3004" s="6"/>
      <c r="BL3004" s="6"/>
      <c r="BM3004" s="6"/>
      <c r="BN3004" s="6"/>
      <c r="BO3004" s="6"/>
      <c r="BP3004" s="6"/>
      <c r="BQ3004" s="6"/>
      <c r="BR3004" s="6"/>
      <c r="BS3004" s="6"/>
      <c r="BT3004" s="6"/>
      <c r="BU3004" s="6"/>
      <c r="BV3004" s="6"/>
      <c r="BW3004" s="6"/>
      <c r="BX3004" s="6"/>
      <c r="BY3004" s="6"/>
      <c r="BZ3004" s="6"/>
    </row>
    <row r="3005" spans="1:78" ht="21.75" customHeight="1">
      <c r="A3005" s="6"/>
      <c r="B3005" s="6"/>
      <c r="C3005" s="6"/>
      <c r="D3005" s="6"/>
      <c r="E3005" s="6"/>
      <c r="F3005" s="6"/>
      <c r="G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O3005" s="6"/>
      <c r="AP3005" s="6"/>
      <c r="BH3005" s="6"/>
      <c r="BI3005" s="6"/>
      <c r="BJ3005" s="6"/>
      <c r="BK3005" s="6"/>
      <c r="BL3005" s="6"/>
      <c r="BM3005" s="6"/>
      <c r="BN3005" s="6"/>
      <c r="BO3005" s="6"/>
      <c r="BP3005" s="6"/>
      <c r="BQ3005" s="6"/>
      <c r="BR3005" s="6"/>
      <c r="BS3005" s="6"/>
      <c r="BT3005" s="6"/>
      <c r="BU3005" s="6"/>
      <c r="BV3005" s="6"/>
      <c r="BW3005" s="6"/>
      <c r="BX3005" s="6"/>
      <c r="BY3005" s="6"/>
      <c r="BZ3005" s="6"/>
    </row>
    <row r="3006" spans="1:78" ht="21.75" customHeight="1">
      <c r="A3006" s="6"/>
      <c r="B3006" s="6"/>
      <c r="C3006" s="6"/>
      <c r="D3006" s="6"/>
      <c r="E3006" s="6"/>
      <c r="F3006" s="6"/>
      <c r="G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O3006" s="6"/>
      <c r="AP3006" s="6"/>
      <c r="BH3006" s="6"/>
      <c r="BI3006" s="6"/>
      <c r="BJ3006" s="6"/>
      <c r="BK3006" s="6"/>
      <c r="BL3006" s="6"/>
      <c r="BM3006" s="6"/>
      <c r="BN3006" s="6"/>
      <c r="BO3006" s="6"/>
      <c r="BP3006" s="6"/>
      <c r="BQ3006" s="6"/>
      <c r="BR3006" s="6"/>
      <c r="BS3006" s="6"/>
      <c r="BT3006" s="6"/>
      <c r="BU3006" s="6"/>
      <c r="BV3006" s="6"/>
      <c r="BW3006" s="6"/>
      <c r="BX3006" s="6"/>
      <c r="BY3006" s="6"/>
      <c r="BZ3006" s="6"/>
    </row>
    <row r="3007" spans="1:78" ht="21.75" customHeight="1">
      <c r="A3007" s="6"/>
      <c r="B3007" s="6"/>
      <c r="C3007" s="6"/>
      <c r="D3007" s="6"/>
      <c r="E3007" s="6"/>
      <c r="F3007" s="6"/>
      <c r="G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O3007" s="6"/>
      <c r="AP3007" s="6"/>
      <c r="BH3007" s="6"/>
      <c r="BI3007" s="6"/>
      <c r="BJ3007" s="6"/>
      <c r="BK3007" s="6"/>
      <c r="BL3007" s="6"/>
      <c r="BM3007" s="6"/>
      <c r="BN3007" s="6"/>
      <c r="BO3007" s="6"/>
      <c r="BP3007" s="6"/>
      <c r="BQ3007" s="6"/>
      <c r="BR3007" s="6"/>
      <c r="BS3007" s="6"/>
      <c r="BT3007" s="6"/>
      <c r="BU3007" s="6"/>
      <c r="BV3007" s="6"/>
      <c r="BW3007" s="6"/>
      <c r="BX3007" s="6"/>
      <c r="BY3007" s="6"/>
      <c r="BZ3007" s="6"/>
    </row>
    <row r="3008" spans="1:78" ht="21.75" customHeight="1">
      <c r="A3008" s="6"/>
      <c r="B3008" s="6"/>
      <c r="C3008" s="6"/>
      <c r="D3008" s="6"/>
      <c r="E3008" s="6"/>
      <c r="F3008" s="6"/>
      <c r="G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O3008" s="6"/>
      <c r="AP3008" s="6"/>
      <c r="BH3008" s="6"/>
      <c r="BI3008" s="6"/>
      <c r="BJ3008" s="6"/>
      <c r="BK3008" s="6"/>
      <c r="BL3008" s="6"/>
      <c r="BM3008" s="6"/>
      <c r="BN3008" s="6"/>
      <c r="BO3008" s="6"/>
      <c r="BP3008" s="6"/>
      <c r="BQ3008" s="6"/>
      <c r="BR3008" s="6"/>
      <c r="BS3008" s="6"/>
      <c r="BT3008" s="6"/>
      <c r="BU3008" s="6"/>
      <c r="BV3008" s="6"/>
      <c r="BW3008" s="6"/>
      <c r="BX3008" s="6"/>
      <c r="BY3008" s="6"/>
      <c r="BZ3008" s="6"/>
    </row>
    <row r="3009" spans="1:78" s="450" customFormat="1" ht="21.75" customHeight="1"/>
    <row r="3010" spans="1:78" s="448" customFormat="1" ht="21.75" customHeight="1"/>
    <row r="3011" spans="1:78" ht="21.75" customHeight="1">
      <c r="A3011" s="6"/>
      <c r="B3011" s="6"/>
      <c r="C3011" s="6"/>
      <c r="D3011" s="6"/>
      <c r="E3011" s="6"/>
      <c r="F3011" s="6"/>
      <c r="G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O3011" s="6"/>
      <c r="AP3011" s="6"/>
      <c r="BH3011" s="6"/>
      <c r="BI3011" s="6"/>
      <c r="BJ3011" s="6"/>
      <c r="BK3011" s="6"/>
      <c r="BL3011" s="6"/>
      <c r="BM3011" s="6"/>
      <c r="BN3011" s="6"/>
      <c r="BO3011" s="6"/>
      <c r="BP3011" s="6"/>
      <c r="BQ3011" s="6"/>
      <c r="BR3011" s="6"/>
      <c r="BS3011" s="6"/>
      <c r="BT3011" s="6"/>
      <c r="BU3011" s="6"/>
      <c r="BV3011" s="6"/>
      <c r="BW3011" s="6"/>
      <c r="BX3011" s="6"/>
      <c r="BY3011" s="6"/>
      <c r="BZ3011" s="6"/>
    </row>
    <row r="3012" spans="1:78" ht="21.75" customHeight="1">
      <c r="A3012" s="6"/>
      <c r="B3012" s="6"/>
      <c r="C3012" s="6"/>
      <c r="D3012" s="6"/>
      <c r="E3012" s="6"/>
      <c r="F3012" s="6"/>
      <c r="G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O3012" s="6"/>
      <c r="AP3012" s="6"/>
      <c r="BH3012" s="6"/>
      <c r="BI3012" s="6"/>
      <c r="BJ3012" s="6"/>
      <c r="BK3012" s="6"/>
      <c r="BL3012" s="6"/>
      <c r="BM3012" s="6"/>
      <c r="BN3012" s="6"/>
      <c r="BO3012" s="6"/>
      <c r="BP3012" s="6"/>
      <c r="BQ3012" s="6"/>
      <c r="BR3012" s="6"/>
      <c r="BS3012" s="6"/>
      <c r="BT3012" s="6"/>
      <c r="BU3012" s="6"/>
      <c r="BV3012" s="6"/>
      <c r="BW3012" s="6"/>
      <c r="BX3012" s="6"/>
      <c r="BY3012" s="6"/>
      <c r="BZ3012" s="6"/>
    </row>
    <row r="3013" spans="1:78" s="472" customFormat="1" ht="21.75" customHeight="1"/>
    <row r="3014" spans="1:78" ht="21.75" customHeight="1">
      <c r="A3014" s="6"/>
      <c r="B3014" s="6"/>
      <c r="C3014" s="6"/>
      <c r="D3014" s="6"/>
      <c r="E3014" s="6"/>
      <c r="F3014" s="6"/>
      <c r="G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O3014" s="6"/>
      <c r="AP3014" s="6"/>
      <c r="BH3014" s="6"/>
      <c r="BI3014" s="6"/>
      <c r="BJ3014" s="6"/>
      <c r="BK3014" s="6"/>
      <c r="BL3014" s="6"/>
      <c r="BM3014" s="6"/>
      <c r="BN3014" s="6"/>
      <c r="BO3014" s="6"/>
      <c r="BP3014" s="6"/>
      <c r="BQ3014" s="6"/>
      <c r="BR3014" s="6"/>
      <c r="BS3014" s="6"/>
      <c r="BT3014" s="6"/>
      <c r="BU3014" s="6"/>
      <c r="BV3014" s="6"/>
      <c r="BW3014" s="6"/>
      <c r="BX3014" s="6"/>
      <c r="BY3014" s="6"/>
      <c r="BZ3014" s="6"/>
    </row>
    <row r="3015" spans="1:78" s="472" customFormat="1" ht="21.75" customHeight="1"/>
    <row r="3016" spans="1:78" ht="21.75" customHeight="1">
      <c r="A3016" s="6"/>
      <c r="B3016" s="6"/>
      <c r="C3016" s="6"/>
      <c r="D3016" s="6"/>
      <c r="E3016" s="6"/>
      <c r="F3016" s="6"/>
      <c r="G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O3016" s="6"/>
      <c r="AP3016" s="6"/>
      <c r="BH3016" s="6"/>
      <c r="BI3016" s="6"/>
      <c r="BJ3016" s="6"/>
      <c r="BK3016" s="6"/>
      <c r="BL3016" s="6"/>
      <c r="BM3016" s="6"/>
      <c r="BN3016" s="6"/>
      <c r="BO3016" s="6"/>
      <c r="BP3016" s="6"/>
      <c r="BQ3016" s="6"/>
      <c r="BR3016" s="6"/>
      <c r="BS3016" s="6"/>
      <c r="BT3016" s="6"/>
      <c r="BU3016" s="6"/>
      <c r="BV3016" s="6"/>
      <c r="BW3016" s="6"/>
      <c r="BX3016" s="6"/>
      <c r="BY3016" s="6"/>
      <c r="BZ3016" s="6"/>
    </row>
    <row r="3017" spans="1:78" ht="21.75" customHeight="1">
      <c r="A3017" s="6"/>
      <c r="B3017" s="6"/>
      <c r="C3017" s="6"/>
      <c r="D3017" s="6"/>
      <c r="E3017" s="6"/>
      <c r="F3017" s="6"/>
      <c r="G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O3017" s="6"/>
      <c r="AP3017" s="6"/>
      <c r="BH3017" s="6"/>
      <c r="BI3017" s="6"/>
      <c r="BJ3017" s="6"/>
      <c r="BK3017" s="6"/>
      <c r="BL3017" s="6"/>
      <c r="BM3017" s="6"/>
      <c r="BN3017" s="6"/>
      <c r="BO3017" s="6"/>
      <c r="BP3017" s="6"/>
      <c r="BQ3017" s="6"/>
      <c r="BR3017" s="6"/>
      <c r="BS3017" s="6"/>
      <c r="BT3017" s="6"/>
      <c r="BU3017" s="6"/>
      <c r="BV3017" s="6"/>
      <c r="BW3017" s="6"/>
      <c r="BX3017" s="6"/>
      <c r="BY3017" s="6"/>
      <c r="BZ3017" s="6"/>
    </row>
    <row r="3018" spans="1:78" s="450" customFormat="1" ht="21.75" customHeight="1"/>
    <row r="3019" spans="1:78" s="448" customFormat="1" ht="21.75" customHeight="1"/>
    <row r="3020" spans="1:78" ht="21.75" customHeight="1">
      <c r="A3020" s="6"/>
      <c r="B3020" s="6"/>
      <c r="C3020" s="6"/>
      <c r="D3020" s="6"/>
      <c r="E3020" s="6"/>
      <c r="F3020" s="6"/>
      <c r="G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O3020" s="6"/>
      <c r="AP3020" s="6"/>
      <c r="BH3020" s="6"/>
      <c r="BI3020" s="6"/>
      <c r="BJ3020" s="6"/>
      <c r="BK3020" s="6"/>
      <c r="BL3020" s="6"/>
      <c r="BM3020" s="6"/>
      <c r="BN3020" s="6"/>
      <c r="BO3020" s="6"/>
      <c r="BP3020" s="6"/>
      <c r="BQ3020" s="6"/>
      <c r="BR3020" s="6"/>
      <c r="BS3020" s="6"/>
      <c r="BT3020" s="6"/>
      <c r="BU3020" s="6"/>
      <c r="BV3020" s="6"/>
      <c r="BW3020" s="6"/>
      <c r="BX3020" s="6"/>
      <c r="BY3020" s="6"/>
      <c r="BZ3020" s="6"/>
    </row>
    <row r="3021" spans="1:78" ht="21.75" customHeight="1">
      <c r="A3021" s="6"/>
      <c r="B3021" s="6"/>
      <c r="C3021" s="6"/>
      <c r="D3021" s="6"/>
      <c r="E3021" s="6"/>
      <c r="F3021" s="6"/>
      <c r="G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O3021" s="6"/>
      <c r="AP3021" s="6"/>
      <c r="BH3021" s="6"/>
      <c r="BI3021" s="6"/>
      <c r="BJ3021" s="6"/>
      <c r="BK3021" s="6"/>
      <c r="BL3021" s="6"/>
      <c r="BM3021" s="6"/>
      <c r="BN3021" s="6"/>
      <c r="BO3021" s="6"/>
      <c r="BP3021" s="6"/>
      <c r="BQ3021" s="6"/>
      <c r="BR3021" s="6"/>
      <c r="BS3021" s="6"/>
      <c r="BT3021" s="6"/>
      <c r="BU3021" s="6"/>
      <c r="BV3021" s="6"/>
      <c r="BW3021" s="6"/>
      <c r="BX3021" s="6"/>
      <c r="BY3021" s="6"/>
      <c r="BZ3021" s="6"/>
    </row>
    <row r="3022" spans="1:78" ht="21.75" customHeight="1">
      <c r="A3022" s="6"/>
      <c r="B3022" s="6"/>
      <c r="C3022" s="6"/>
      <c r="D3022" s="6"/>
      <c r="E3022" s="6"/>
      <c r="F3022" s="6"/>
      <c r="G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O3022" s="6"/>
      <c r="AP3022" s="6"/>
      <c r="BH3022" s="6"/>
      <c r="BI3022" s="6"/>
      <c r="BJ3022" s="6"/>
      <c r="BK3022" s="6"/>
      <c r="BL3022" s="6"/>
      <c r="BM3022" s="6"/>
      <c r="BN3022" s="6"/>
      <c r="BO3022" s="6"/>
      <c r="BP3022" s="6"/>
      <c r="BQ3022" s="6"/>
      <c r="BR3022" s="6"/>
      <c r="BS3022" s="6"/>
      <c r="BT3022" s="6"/>
      <c r="BU3022" s="6"/>
      <c r="BV3022" s="6"/>
      <c r="BW3022" s="6"/>
      <c r="BX3022" s="6"/>
      <c r="BY3022" s="6"/>
      <c r="BZ3022" s="6"/>
    </row>
    <row r="3023" spans="1:78" ht="21.75" customHeight="1">
      <c r="A3023" s="6"/>
      <c r="B3023" s="6"/>
      <c r="C3023" s="6"/>
      <c r="D3023" s="6"/>
      <c r="E3023" s="6"/>
      <c r="F3023" s="6"/>
      <c r="G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O3023" s="6"/>
      <c r="AP3023" s="6"/>
      <c r="BH3023" s="6"/>
      <c r="BI3023" s="6"/>
      <c r="BJ3023" s="6"/>
      <c r="BK3023" s="6"/>
      <c r="BL3023" s="6"/>
      <c r="BM3023" s="6"/>
      <c r="BN3023" s="6"/>
      <c r="BO3023" s="6"/>
      <c r="BP3023" s="6"/>
      <c r="BQ3023" s="6"/>
      <c r="BR3023" s="6"/>
      <c r="BS3023" s="6"/>
      <c r="BT3023" s="6"/>
      <c r="BU3023" s="6"/>
      <c r="BV3023" s="6"/>
      <c r="BW3023" s="6"/>
      <c r="BX3023" s="6"/>
      <c r="BY3023" s="6"/>
      <c r="BZ3023" s="6"/>
    </row>
    <row r="3024" spans="1:78" ht="21.75" customHeight="1">
      <c r="A3024" s="6"/>
      <c r="B3024" s="6"/>
      <c r="C3024" s="6"/>
      <c r="D3024" s="6"/>
      <c r="E3024" s="6"/>
      <c r="F3024" s="6"/>
      <c r="G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O3024" s="6"/>
      <c r="AP3024" s="6"/>
      <c r="BH3024" s="6"/>
      <c r="BI3024" s="6"/>
      <c r="BJ3024" s="6"/>
      <c r="BK3024" s="6"/>
      <c r="BL3024" s="6"/>
      <c r="BM3024" s="6"/>
      <c r="BN3024" s="6"/>
      <c r="BO3024" s="6"/>
      <c r="BP3024" s="6"/>
      <c r="BQ3024" s="6"/>
      <c r="BR3024" s="6"/>
      <c r="BS3024" s="6"/>
      <c r="BT3024" s="6"/>
      <c r="BU3024" s="6"/>
      <c r="BV3024" s="6"/>
      <c r="BW3024" s="6"/>
      <c r="BX3024" s="6"/>
      <c r="BY3024" s="6"/>
      <c r="BZ3024" s="6"/>
    </row>
    <row r="3025" spans="1:78" ht="21.75" customHeight="1">
      <c r="A3025" s="6"/>
      <c r="B3025" s="6"/>
      <c r="C3025" s="6"/>
      <c r="D3025" s="6"/>
      <c r="E3025" s="6"/>
      <c r="F3025" s="6"/>
      <c r="G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O3025" s="6"/>
      <c r="AP3025" s="6"/>
      <c r="BH3025" s="6"/>
      <c r="BI3025" s="6"/>
      <c r="BJ3025" s="6"/>
      <c r="BK3025" s="6"/>
      <c r="BL3025" s="6"/>
      <c r="BM3025" s="6"/>
      <c r="BN3025" s="6"/>
      <c r="BO3025" s="6"/>
      <c r="BP3025" s="6"/>
      <c r="BQ3025" s="6"/>
      <c r="BR3025" s="6"/>
      <c r="BS3025" s="6"/>
      <c r="BT3025" s="6"/>
      <c r="BU3025" s="6"/>
      <c r="BV3025" s="6"/>
      <c r="BW3025" s="6"/>
      <c r="BX3025" s="6"/>
      <c r="BY3025" s="6"/>
      <c r="BZ3025" s="6"/>
    </row>
    <row r="3026" spans="1:78" ht="21.75" customHeight="1">
      <c r="A3026" s="6"/>
      <c r="B3026" s="6"/>
      <c r="C3026" s="6"/>
      <c r="D3026" s="6"/>
      <c r="E3026" s="6"/>
      <c r="F3026" s="6"/>
      <c r="G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O3026" s="6"/>
      <c r="AP3026" s="6"/>
      <c r="BH3026" s="6"/>
      <c r="BI3026" s="6"/>
      <c r="BJ3026" s="6"/>
      <c r="BK3026" s="6"/>
      <c r="BL3026" s="6"/>
      <c r="BM3026" s="6"/>
      <c r="BN3026" s="6"/>
      <c r="BO3026" s="6"/>
      <c r="BP3026" s="6"/>
      <c r="BQ3026" s="6"/>
      <c r="BR3026" s="6"/>
      <c r="BS3026" s="6"/>
      <c r="BT3026" s="6"/>
      <c r="BU3026" s="6"/>
      <c r="BV3026" s="6"/>
      <c r="BW3026" s="6"/>
      <c r="BX3026" s="6"/>
      <c r="BY3026" s="6"/>
      <c r="BZ3026" s="6"/>
    </row>
    <row r="3027" spans="1:78" ht="21.75" customHeight="1">
      <c r="A3027" s="6"/>
      <c r="B3027" s="6"/>
      <c r="C3027" s="6"/>
      <c r="D3027" s="6"/>
      <c r="E3027" s="6"/>
      <c r="F3027" s="6"/>
      <c r="G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O3027" s="6"/>
      <c r="AP3027" s="6"/>
      <c r="BH3027" s="6"/>
      <c r="BI3027" s="6"/>
      <c r="BJ3027" s="6"/>
      <c r="BK3027" s="6"/>
      <c r="BL3027" s="6"/>
      <c r="BM3027" s="6"/>
      <c r="BN3027" s="6"/>
      <c r="BO3027" s="6"/>
      <c r="BP3027" s="6"/>
      <c r="BQ3027" s="6"/>
      <c r="BR3027" s="6"/>
      <c r="BS3027" s="6"/>
      <c r="BT3027" s="6"/>
      <c r="BU3027" s="6"/>
      <c r="BV3027" s="6"/>
      <c r="BW3027" s="6"/>
      <c r="BX3027" s="6"/>
      <c r="BY3027" s="6"/>
      <c r="BZ3027" s="6"/>
    </row>
    <row r="3028" spans="1:78" ht="21.75" customHeight="1">
      <c r="A3028" s="6"/>
      <c r="B3028" s="6"/>
      <c r="C3028" s="6"/>
      <c r="D3028" s="6"/>
      <c r="E3028" s="6"/>
      <c r="F3028" s="6"/>
      <c r="G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O3028" s="6"/>
      <c r="AP3028" s="6"/>
      <c r="BH3028" s="6"/>
      <c r="BI3028" s="6"/>
      <c r="BJ3028" s="6"/>
      <c r="BK3028" s="6"/>
      <c r="BL3028" s="6"/>
      <c r="BM3028" s="6"/>
      <c r="BN3028" s="6"/>
      <c r="BO3028" s="6"/>
      <c r="BP3028" s="6"/>
      <c r="BQ3028" s="6"/>
      <c r="BR3028" s="6"/>
      <c r="BS3028" s="6"/>
      <c r="BT3028" s="6"/>
      <c r="BU3028" s="6"/>
      <c r="BV3028" s="6"/>
      <c r="BW3028" s="6"/>
      <c r="BX3028" s="6"/>
      <c r="BY3028" s="6"/>
      <c r="BZ3028" s="6"/>
    </row>
    <row r="3029" spans="1:78" ht="21.75" customHeight="1">
      <c r="A3029" s="6"/>
      <c r="B3029" s="6"/>
      <c r="C3029" s="6"/>
      <c r="D3029" s="6"/>
      <c r="E3029" s="6"/>
      <c r="F3029" s="6"/>
      <c r="G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O3029" s="6"/>
      <c r="AP3029" s="6"/>
      <c r="BH3029" s="6"/>
      <c r="BI3029" s="6"/>
      <c r="BJ3029" s="6"/>
      <c r="BK3029" s="6"/>
      <c r="BL3029" s="6"/>
      <c r="BM3029" s="6"/>
      <c r="BN3029" s="6"/>
      <c r="BO3029" s="6"/>
      <c r="BP3029" s="6"/>
      <c r="BQ3029" s="6"/>
      <c r="BR3029" s="6"/>
      <c r="BS3029" s="6"/>
      <c r="BT3029" s="6"/>
      <c r="BU3029" s="6"/>
      <c r="BV3029" s="6"/>
      <c r="BW3029" s="6"/>
      <c r="BX3029" s="6"/>
      <c r="BY3029" s="6"/>
      <c r="BZ3029" s="6"/>
    </row>
    <row r="3030" spans="1:78" ht="21.75" customHeight="1">
      <c r="A3030" s="6"/>
      <c r="B3030" s="6"/>
      <c r="C3030" s="6"/>
      <c r="D3030" s="6"/>
      <c r="E3030" s="6"/>
      <c r="F3030" s="6"/>
      <c r="G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O3030" s="6"/>
      <c r="AP3030" s="6"/>
      <c r="BH3030" s="6"/>
      <c r="BI3030" s="6"/>
      <c r="BJ3030" s="6"/>
      <c r="BK3030" s="6"/>
      <c r="BL3030" s="6"/>
      <c r="BM3030" s="6"/>
      <c r="BN3030" s="6"/>
      <c r="BO3030" s="6"/>
      <c r="BP3030" s="6"/>
      <c r="BQ3030" s="6"/>
      <c r="BR3030" s="6"/>
      <c r="BS3030" s="6"/>
      <c r="BT3030" s="6"/>
      <c r="BU3030" s="6"/>
      <c r="BV3030" s="6"/>
      <c r="BW3030" s="6"/>
      <c r="BX3030" s="6"/>
      <c r="BY3030" s="6"/>
      <c r="BZ3030" s="6"/>
    </row>
    <row r="3031" spans="1:78" ht="21.75" customHeight="1">
      <c r="A3031" s="6"/>
      <c r="B3031" s="6"/>
      <c r="C3031" s="6"/>
      <c r="D3031" s="6"/>
      <c r="E3031" s="6"/>
      <c r="F3031" s="6"/>
      <c r="G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O3031" s="6"/>
      <c r="AP3031" s="6"/>
      <c r="BH3031" s="6"/>
      <c r="BI3031" s="6"/>
      <c r="BJ3031" s="6"/>
      <c r="BK3031" s="6"/>
      <c r="BL3031" s="6"/>
      <c r="BM3031" s="6"/>
      <c r="BN3031" s="6"/>
      <c r="BO3031" s="6"/>
      <c r="BP3031" s="6"/>
      <c r="BQ3031" s="6"/>
      <c r="BR3031" s="6"/>
      <c r="BS3031" s="6"/>
      <c r="BT3031" s="6"/>
      <c r="BU3031" s="6"/>
      <c r="BV3031" s="6"/>
      <c r="BW3031" s="6"/>
      <c r="BX3031" s="6"/>
      <c r="BY3031" s="6"/>
      <c r="BZ3031" s="6"/>
    </row>
    <row r="3032" spans="1:78" ht="21.75" customHeight="1">
      <c r="A3032" s="6"/>
      <c r="B3032" s="6"/>
      <c r="C3032" s="6"/>
      <c r="D3032" s="6"/>
      <c r="E3032" s="6"/>
      <c r="F3032" s="6"/>
      <c r="G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O3032" s="6"/>
      <c r="AP3032" s="6"/>
      <c r="BH3032" s="6"/>
      <c r="BI3032" s="6"/>
      <c r="BJ3032" s="6"/>
      <c r="BK3032" s="6"/>
      <c r="BL3032" s="6"/>
      <c r="BM3032" s="6"/>
      <c r="BN3032" s="6"/>
      <c r="BO3032" s="6"/>
      <c r="BP3032" s="6"/>
      <c r="BQ3032" s="6"/>
      <c r="BR3032" s="6"/>
      <c r="BS3032" s="6"/>
      <c r="BT3032" s="6"/>
      <c r="BU3032" s="6"/>
      <c r="BV3032" s="6"/>
      <c r="BW3032" s="6"/>
      <c r="BX3032" s="6"/>
      <c r="BY3032" s="6"/>
      <c r="BZ3032" s="6"/>
    </row>
    <row r="3033" spans="1:78" ht="21.75" customHeight="1">
      <c r="A3033" s="6"/>
      <c r="B3033" s="6"/>
      <c r="C3033" s="6"/>
      <c r="D3033" s="6"/>
      <c r="E3033" s="6"/>
      <c r="F3033" s="6"/>
      <c r="G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O3033" s="6"/>
      <c r="AP3033" s="6"/>
      <c r="BH3033" s="6"/>
      <c r="BI3033" s="6"/>
      <c r="BJ3033" s="6"/>
      <c r="BK3033" s="6"/>
      <c r="BL3033" s="6"/>
      <c r="BM3033" s="6"/>
      <c r="BN3033" s="6"/>
      <c r="BO3033" s="6"/>
      <c r="BP3033" s="6"/>
      <c r="BQ3033" s="6"/>
      <c r="BR3033" s="6"/>
      <c r="BS3033" s="6"/>
      <c r="BT3033" s="6"/>
      <c r="BU3033" s="6"/>
      <c r="BV3033" s="6"/>
      <c r="BW3033" s="6"/>
      <c r="BX3033" s="6"/>
      <c r="BY3033" s="6"/>
      <c r="BZ3033" s="6"/>
    </row>
    <row r="3034" spans="1:78" ht="21.75" customHeight="1">
      <c r="A3034" s="6"/>
      <c r="B3034" s="6"/>
      <c r="C3034" s="6"/>
      <c r="D3034" s="6"/>
      <c r="E3034" s="6"/>
      <c r="F3034" s="6"/>
      <c r="G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O3034" s="6"/>
      <c r="AP3034" s="6"/>
      <c r="BH3034" s="6"/>
      <c r="BI3034" s="6"/>
      <c r="BJ3034" s="6"/>
      <c r="BK3034" s="6"/>
      <c r="BL3034" s="6"/>
      <c r="BM3034" s="6"/>
      <c r="BN3034" s="6"/>
      <c r="BO3034" s="6"/>
      <c r="BP3034" s="6"/>
      <c r="BQ3034" s="6"/>
      <c r="BR3034" s="6"/>
      <c r="BS3034" s="6"/>
      <c r="BT3034" s="6"/>
      <c r="BU3034" s="6"/>
      <c r="BV3034" s="6"/>
      <c r="BW3034" s="6"/>
      <c r="BX3034" s="6"/>
      <c r="BY3034" s="6"/>
      <c r="BZ3034" s="6"/>
    </row>
    <row r="3035" spans="1:78" s="472" customFormat="1" ht="21.75" customHeight="1"/>
    <row r="3036" spans="1:78" ht="21.75" customHeight="1">
      <c r="A3036" s="6"/>
      <c r="B3036" s="6"/>
      <c r="C3036" s="6"/>
      <c r="D3036" s="6"/>
      <c r="E3036" s="6"/>
      <c r="F3036" s="6"/>
      <c r="G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O3036" s="6"/>
      <c r="AP3036" s="6"/>
      <c r="BH3036" s="6"/>
      <c r="BI3036" s="6"/>
      <c r="BJ3036" s="6"/>
      <c r="BK3036" s="6"/>
      <c r="BL3036" s="6"/>
      <c r="BM3036" s="6"/>
      <c r="BN3036" s="6"/>
      <c r="BO3036" s="6"/>
      <c r="BP3036" s="6"/>
      <c r="BQ3036" s="6"/>
      <c r="BR3036" s="6"/>
      <c r="BS3036" s="6"/>
      <c r="BT3036" s="6"/>
      <c r="BU3036" s="6"/>
      <c r="BV3036" s="6"/>
      <c r="BW3036" s="6"/>
      <c r="BX3036" s="6"/>
      <c r="BY3036" s="6"/>
      <c r="BZ3036" s="6"/>
    </row>
    <row r="3037" spans="1:78" ht="21.75" customHeight="1">
      <c r="A3037" s="6"/>
      <c r="B3037" s="6"/>
      <c r="C3037" s="6"/>
      <c r="D3037" s="6"/>
      <c r="E3037" s="6"/>
      <c r="F3037" s="6"/>
      <c r="G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O3037" s="6"/>
      <c r="AP3037" s="6"/>
      <c r="BH3037" s="6"/>
      <c r="BI3037" s="6"/>
      <c r="BJ3037" s="6"/>
      <c r="BK3037" s="6"/>
      <c r="BL3037" s="6"/>
      <c r="BM3037" s="6"/>
      <c r="BN3037" s="6"/>
      <c r="BO3037" s="6"/>
      <c r="BP3037" s="6"/>
      <c r="BQ3037" s="6"/>
      <c r="BR3037" s="6"/>
      <c r="BS3037" s="6"/>
      <c r="BT3037" s="6"/>
      <c r="BU3037" s="6"/>
      <c r="BV3037" s="6"/>
      <c r="BW3037" s="6"/>
      <c r="BX3037" s="6"/>
      <c r="BY3037" s="6"/>
      <c r="BZ3037" s="6"/>
    </row>
    <row r="3038" spans="1:78" ht="21.75" customHeight="1">
      <c r="A3038" s="6"/>
      <c r="B3038" s="6"/>
      <c r="C3038" s="6"/>
      <c r="D3038" s="6"/>
      <c r="E3038" s="6"/>
      <c r="F3038" s="6"/>
      <c r="G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O3038" s="6"/>
      <c r="AP3038" s="6"/>
      <c r="BH3038" s="6"/>
      <c r="BI3038" s="6"/>
      <c r="BJ3038" s="6"/>
      <c r="BK3038" s="6"/>
      <c r="BL3038" s="6"/>
      <c r="BM3038" s="6"/>
      <c r="BN3038" s="6"/>
      <c r="BO3038" s="6"/>
      <c r="BP3038" s="6"/>
      <c r="BQ3038" s="6"/>
      <c r="BR3038" s="6"/>
      <c r="BS3038" s="6"/>
      <c r="BT3038" s="6"/>
      <c r="BU3038" s="6"/>
      <c r="BV3038" s="6"/>
      <c r="BW3038" s="6"/>
      <c r="BX3038" s="6"/>
      <c r="BY3038" s="6"/>
      <c r="BZ3038" s="6"/>
    </row>
    <row r="3039" spans="1:78" ht="21.75" customHeight="1">
      <c r="A3039" s="6"/>
      <c r="B3039" s="6"/>
      <c r="C3039" s="6"/>
      <c r="D3039" s="6"/>
      <c r="E3039" s="6"/>
      <c r="F3039" s="6"/>
      <c r="G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O3039" s="6"/>
      <c r="AP3039" s="6"/>
      <c r="BH3039" s="6"/>
      <c r="BI3039" s="6"/>
      <c r="BJ3039" s="6"/>
      <c r="BK3039" s="6"/>
      <c r="BL3039" s="6"/>
      <c r="BM3039" s="6"/>
      <c r="BN3039" s="6"/>
      <c r="BO3039" s="6"/>
      <c r="BP3039" s="6"/>
      <c r="BQ3039" s="6"/>
      <c r="BR3039" s="6"/>
      <c r="BS3039" s="6"/>
      <c r="BT3039" s="6"/>
      <c r="BU3039" s="6"/>
      <c r="BV3039" s="6"/>
      <c r="BW3039" s="6"/>
      <c r="BX3039" s="6"/>
      <c r="BY3039" s="6"/>
      <c r="BZ3039" s="6"/>
    </row>
    <row r="3040" spans="1:78" ht="21.75" customHeight="1">
      <c r="A3040" s="6"/>
      <c r="B3040" s="6"/>
      <c r="C3040" s="6"/>
      <c r="D3040" s="6"/>
      <c r="E3040" s="6"/>
      <c r="F3040" s="6"/>
      <c r="G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O3040" s="6"/>
      <c r="AP3040" s="6"/>
      <c r="BH3040" s="6"/>
      <c r="BI3040" s="6"/>
      <c r="BJ3040" s="6"/>
      <c r="BK3040" s="6"/>
      <c r="BL3040" s="6"/>
      <c r="BM3040" s="6"/>
      <c r="BN3040" s="6"/>
      <c r="BO3040" s="6"/>
      <c r="BP3040" s="6"/>
      <c r="BQ3040" s="6"/>
      <c r="BR3040" s="6"/>
      <c r="BS3040" s="6"/>
      <c r="BT3040" s="6"/>
      <c r="BU3040" s="6"/>
      <c r="BV3040" s="6"/>
      <c r="BW3040" s="6"/>
      <c r="BX3040" s="6"/>
      <c r="BY3040" s="6"/>
      <c r="BZ3040" s="6"/>
    </row>
    <row r="3041" spans="1:78" ht="21.75" customHeight="1">
      <c r="A3041" s="6"/>
      <c r="B3041" s="6"/>
      <c r="C3041" s="6"/>
      <c r="D3041" s="6"/>
      <c r="E3041" s="6"/>
      <c r="F3041" s="6"/>
      <c r="G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O3041" s="6"/>
      <c r="AP3041" s="6"/>
      <c r="BH3041" s="6"/>
      <c r="BI3041" s="6"/>
      <c r="BJ3041" s="6"/>
      <c r="BK3041" s="6"/>
      <c r="BL3041" s="6"/>
      <c r="BM3041" s="6"/>
      <c r="BN3041" s="6"/>
      <c r="BO3041" s="6"/>
      <c r="BP3041" s="6"/>
      <c r="BQ3041" s="6"/>
      <c r="BR3041" s="6"/>
      <c r="BS3041" s="6"/>
      <c r="BT3041" s="6"/>
      <c r="BU3041" s="6"/>
      <c r="BV3041" s="6"/>
      <c r="BW3041" s="6"/>
      <c r="BX3041" s="6"/>
      <c r="BY3041" s="6"/>
      <c r="BZ3041" s="6"/>
    </row>
    <row r="3042" spans="1:78" ht="21.75" customHeight="1">
      <c r="A3042" s="6"/>
      <c r="B3042" s="6"/>
      <c r="C3042" s="6"/>
      <c r="D3042" s="6"/>
      <c r="E3042" s="6"/>
      <c r="F3042" s="6"/>
      <c r="G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O3042" s="6"/>
      <c r="AP3042" s="6"/>
      <c r="BH3042" s="6"/>
      <c r="BI3042" s="6"/>
      <c r="BJ3042" s="6"/>
      <c r="BK3042" s="6"/>
      <c r="BL3042" s="6"/>
      <c r="BM3042" s="6"/>
      <c r="BN3042" s="6"/>
      <c r="BO3042" s="6"/>
      <c r="BP3042" s="6"/>
      <c r="BQ3042" s="6"/>
      <c r="BR3042" s="6"/>
      <c r="BS3042" s="6"/>
      <c r="BT3042" s="6"/>
      <c r="BU3042" s="6"/>
      <c r="BV3042" s="6"/>
      <c r="BW3042" s="6"/>
      <c r="BX3042" s="6"/>
      <c r="BY3042" s="6"/>
      <c r="BZ3042" s="6"/>
    </row>
    <row r="3043" spans="1:78" ht="21.75" customHeight="1">
      <c r="A3043" s="6"/>
      <c r="B3043" s="6"/>
      <c r="C3043" s="6"/>
      <c r="D3043" s="6"/>
      <c r="E3043" s="6"/>
      <c r="F3043" s="6"/>
      <c r="G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O3043" s="6"/>
      <c r="AP3043" s="6"/>
      <c r="BH3043" s="6"/>
      <c r="BI3043" s="6"/>
      <c r="BJ3043" s="6"/>
      <c r="BK3043" s="6"/>
      <c r="BL3043" s="6"/>
      <c r="BM3043" s="6"/>
      <c r="BN3043" s="6"/>
      <c r="BO3043" s="6"/>
      <c r="BP3043" s="6"/>
      <c r="BQ3043" s="6"/>
      <c r="BR3043" s="6"/>
      <c r="BS3043" s="6"/>
      <c r="BT3043" s="6"/>
      <c r="BU3043" s="6"/>
      <c r="BV3043" s="6"/>
      <c r="BW3043" s="6"/>
      <c r="BX3043" s="6"/>
      <c r="BY3043" s="6"/>
      <c r="BZ3043" s="6"/>
    </row>
    <row r="3044" spans="1:78" s="450" customFormat="1" ht="21.75" customHeight="1"/>
    <row r="3045" spans="1:78" s="448" customFormat="1" ht="21.75" customHeight="1"/>
    <row r="3046" spans="1:78" ht="21.75" customHeight="1">
      <c r="A3046" s="6"/>
      <c r="B3046" s="6"/>
      <c r="C3046" s="6"/>
      <c r="D3046" s="6"/>
      <c r="E3046" s="6"/>
      <c r="F3046" s="6"/>
      <c r="G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O3046" s="6"/>
      <c r="AP3046" s="6"/>
      <c r="BH3046" s="6"/>
      <c r="BI3046" s="6"/>
      <c r="BJ3046" s="6"/>
      <c r="BK3046" s="6"/>
      <c r="BL3046" s="6"/>
      <c r="BM3046" s="6"/>
      <c r="BN3046" s="6"/>
      <c r="BO3046" s="6"/>
      <c r="BP3046" s="6"/>
      <c r="BQ3046" s="6"/>
      <c r="BR3046" s="6"/>
      <c r="BS3046" s="6"/>
      <c r="BT3046" s="6"/>
      <c r="BU3046" s="6"/>
      <c r="BV3046" s="6"/>
      <c r="BW3046" s="6"/>
      <c r="BX3046" s="6"/>
      <c r="BY3046" s="6"/>
      <c r="BZ3046" s="6"/>
    </row>
    <row r="3047" spans="1:78" ht="21.75" customHeight="1">
      <c r="A3047" s="6"/>
      <c r="B3047" s="6"/>
      <c r="C3047" s="6"/>
      <c r="D3047" s="6"/>
      <c r="E3047" s="6"/>
      <c r="F3047" s="6"/>
      <c r="G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O3047" s="6"/>
      <c r="AP3047" s="6"/>
      <c r="BH3047" s="6"/>
      <c r="BI3047" s="6"/>
      <c r="BJ3047" s="6"/>
      <c r="BK3047" s="6"/>
      <c r="BL3047" s="6"/>
      <c r="BM3047" s="6"/>
      <c r="BN3047" s="6"/>
      <c r="BO3047" s="6"/>
      <c r="BP3047" s="6"/>
      <c r="BQ3047" s="6"/>
      <c r="BR3047" s="6"/>
      <c r="BS3047" s="6"/>
      <c r="BT3047" s="6"/>
      <c r="BU3047" s="6"/>
      <c r="BV3047" s="6"/>
      <c r="BW3047" s="6"/>
      <c r="BX3047" s="6"/>
      <c r="BY3047" s="6"/>
      <c r="BZ3047" s="6"/>
    </row>
    <row r="3048" spans="1:78" ht="21.75" customHeight="1">
      <c r="A3048" s="6"/>
      <c r="B3048" s="6"/>
      <c r="C3048" s="6"/>
      <c r="D3048" s="6"/>
      <c r="E3048" s="6"/>
      <c r="F3048" s="6"/>
      <c r="G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O3048" s="6"/>
      <c r="AP3048" s="6"/>
      <c r="BH3048" s="6"/>
      <c r="BI3048" s="6"/>
      <c r="BJ3048" s="6"/>
      <c r="BK3048" s="6"/>
      <c r="BL3048" s="6"/>
      <c r="BM3048" s="6"/>
      <c r="BN3048" s="6"/>
      <c r="BO3048" s="6"/>
      <c r="BP3048" s="6"/>
      <c r="BQ3048" s="6"/>
      <c r="BR3048" s="6"/>
      <c r="BS3048" s="6"/>
      <c r="BT3048" s="6"/>
      <c r="BU3048" s="6"/>
      <c r="BV3048" s="6"/>
      <c r="BW3048" s="6"/>
      <c r="BX3048" s="6"/>
      <c r="BY3048" s="6"/>
      <c r="BZ3048" s="6"/>
    </row>
    <row r="3049" spans="1:78" s="472" customFormat="1" ht="21.75" customHeight="1"/>
    <row r="3050" spans="1:78" ht="21.75" customHeight="1">
      <c r="A3050" s="6"/>
      <c r="B3050" s="6"/>
      <c r="C3050" s="6"/>
      <c r="D3050" s="6"/>
      <c r="E3050" s="6"/>
      <c r="F3050" s="6"/>
      <c r="G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O3050" s="6"/>
      <c r="AP3050" s="6"/>
      <c r="BH3050" s="6"/>
      <c r="BI3050" s="6"/>
      <c r="BJ3050" s="6"/>
      <c r="BK3050" s="6"/>
      <c r="BL3050" s="6"/>
      <c r="BM3050" s="6"/>
      <c r="BN3050" s="6"/>
      <c r="BO3050" s="6"/>
      <c r="BP3050" s="6"/>
      <c r="BQ3050" s="6"/>
      <c r="BR3050" s="6"/>
      <c r="BS3050" s="6"/>
      <c r="BT3050" s="6"/>
      <c r="BU3050" s="6"/>
      <c r="BV3050" s="6"/>
      <c r="BW3050" s="6"/>
      <c r="BX3050" s="6"/>
      <c r="BY3050" s="6"/>
      <c r="BZ3050" s="6"/>
    </row>
    <row r="3051" spans="1:78" ht="21.75" customHeight="1">
      <c r="A3051" s="6"/>
      <c r="B3051" s="6"/>
      <c r="C3051" s="6"/>
      <c r="D3051" s="6"/>
      <c r="E3051" s="6"/>
      <c r="F3051" s="6"/>
      <c r="G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O3051" s="6"/>
      <c r="AP3051" s="6"/>
      <c r="BH3051" s="6"/>
      <c r="BI3051" s="6"/>
      <c r="BJ3051" s="6"/>
      <c r="BK3051" s="6"/>
      <c r="BL3051" s="6"/>
      <c r="BM3051" s="6"/>
      <c r="BN3051" s="6"/>
      <c r="BO3051" s="6"/>
      <c r="BP3051" s="6"/>
      <c r="BQ3051" s="6"/>
      <c r="BR3051" s="6"/>
      <c r="BS3051" s="6"/>
      <c r="BT3051" s="6"/>
      <c r="BU3051" s="6"/>
      <c r="BV3051" s="6"/>
      <c r="BW3051" s="6"/>
      <c r="BX3051" s="6"/>
      <c r="BY3051" s="6"/>
      <c r="BZ3051" s="6"/>
    </row>
    <row r="3052" spans="1:78" s="472" customFormat="1" ht="21.75" customHeight="1"/>
    <row r="3053" spans="1:78" ht="21.75" customHeight="1">
      <c r="A3053" s="6"/>
      <c r="B3053" s="6"/>
      <c r="C3053" s="6"/>
      <c r="D3053" s="6"/>
      <c r="E3053" s="6"/>
      <c r="F3053" s="6"/>
      <c r="G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O3053" s="6"/>
      <c r="AP3053" s="6"/>
      <c r="BH3053" s="6"/>
      <c r="BI3053" s="6"/>
      <c r="BJ3053" s="6"/>
      <c r="BK3053" s="6"/>
      <c r="BL3053" s="6"/>
      <c r="BM3053" s="6"/>
      <c r="BN3053" s="6"/>
      <c r="BO3053" s="6"/>
      <c r="BP3053" s="6"/>
      <c r="BQ3053" s="6"/>
      <c r="BR3053" s="6"/>
      <c r="BS3053" s="6"/>
      <c r="BT3053" s="6"/>
      <c r="BU3053" s="6"/>
      <c r="BV3053" s="6"/>
      <c r="BW3053" s="6"/>
      <c r="BX3053" s="6"/>
      <c r="BY3053" s="6"/>
      <c r="BZ3053" s="6"/>
    </row>
    <row r="3054" spans="1:78" ht="21.75" customHeight="1">
      <c r="A3054" s="6"/>
      <c r="B3054" s="6"/>
      <c r="C3054" s="6"/>
      <c r="D3054" s="6"/>
      <c r="E3054" s="6"/>
      <c r="F3054" s="6"/>
      <c r="G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O3054" s="6"/>
      <c r="AP3054" s="6"/>
      <c r="BH3054" s="6"/>
      <c r="BI3054" s="6"/>
      <c r="BJ3054" s="6"/>
      <c r="BK3054" s="6"/>
      <c r="BL3054" s="6"/>
      <c r="BM3054" s="6"/>
      <c r="BN3054" s="6"/>
      <c r="BO3054" s="6"/>
      <c r="BP3054" s="6"/>
      <c r="BQ3054" s="6"/>
      <c r="BR3054" s="6"/>
      <c r="BS3054" s="6"/>
      <c r="BT3054" s="6"/>
      <c r="BU3054" s="6"/>
      <c r="BV3054" s="6"/>
      <c r="BW3054" s="6"/>
      <c r="BX3054" s="6"/>
      <c r="BY3054" s="6"/>
      <c r="BZ3054" s="6"/>
    </row>
    <row r="3055" spans="1:78" ht="21.75" customHeight="1">
      <c r="A3055" s="6"/>
      <c r="B3055" s="6"/>
      <c r="C3055" s="6"/>
      <c r="D3055" s="6"/>
      <c r="E3055" s="6"/>
      <c r="F3055" s="6"/>
      <c r="G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O3055" s="6"/>
      <c r="AP3055" s="6"/>
      <c r="BH3055" s="6"/>
      <c r="BI3055" s="6"/>
      <c r="BJ3055" s="6"/>
      <c r="BK3055" s="6"/>
      <c r="BL3055" s="6"/>
      <c r="BM3055" s="6"/>
      <c r="BN3055" s="6"/>
      <c r="BO3055" s="6"/>
      <c r="BP3055" s="6"/>
      <c r="BQ3055" s="6"/>
      <c r="BR3055" s="6"/>
      <c r="BS3055" s="6"/>
      <c r="BT3055" s="6"/>
      <c r="BU3055" s="6"/>
      <c r="BV3055" s="6"/>
      <c r="BW3055" s="6"/>
      <c r="BX3055" s="6"/>
      <c r="BY3055" s="6"/>
      <c r="BZ3055" s="6"/>
    </row>
    <row r="3056" spans="1:78" ht="21.75" customHeight="1">
      <c r="A3056" s="6"/>
      <c r="B3056" s="6"/>
      <c r="C3056" s="6"/>
      <c r="D3056" s="6"/>
      <c r="E3056" s="6"/>
      <c r="F3056" s="6"/>
      <c r="G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O3056" s="6"/>
      <c r="AP3056" s="6"/>
      <c r="BH3056" s="6"/>
      <c r="BI3056" s="6"/>
      <c r="BJ3056" s="6"/>
      <c r="BK3056" s="6"/>
      <c r="BL3056" s="6"/>
      <c r="BM3056" s="6"/>
      <c r="BN3056" s="6"/>
      <c r="BO3056" s="6"/>
      <c r="BP3056" s="6"/>
      <c r="BQ3056" s="6"/>
      <c r="BR3056" s="6"/>
      <c r="BS3056" s="6"/>
      <c r="BT3056" s="6"/>
      <c r="BU3056" s="6"/>
      <c r="BV3056" s="6"/>
      <c r="BW3056" s="6"/>
      <c r="BX3056" s="6"/>
      <c r="BY3056" s="6"/>
      <c r="BZ3056" s="6"/>
    </row>
    <row r="3057" spans="1:78" ht="21.75" customHeight="1">
      <c r="A3057" s="6"/>
      <c r="B3057" s="6"/>
      <c r="C3057" s="6"/>
      <c r="D3057" s="6"/>
      <c r="E3057" s="6"/>
      <c r="F3057" s="6"/>
      <c r="G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O3057" s="6"/>
      <c r="AP3057" s="6"/>
      <c r="BH3057" s="6"/>
      <c r="BI3057" s="6"/>
      <c r="BJ3057" s="6"/>
      <c r="BK3057" s="6"/>
      <c r="BL3057" s="6"/>
      <c r="BM3057" s="6"/>
      <c r="BN3057" s="6"/>
      <c r="BO3057" s="6"/>
      <c r="BP3057" s="6"/>
      <c r="BQ3057" s="6"/>
      <c r="BR3057" s="6"/>
      <c r="BS3057" s="6"/>
      <c r="BT3057" s="6"/>
      <c r="BU3057" s="6"/>
      <c r="BV3057" s="6"/>
      <c r="BW3057" s="6"/>
      <c r="BX3057" s="6"/>
      <c r="BY3057" s="6"/>
      <c r="BZ3057" s="6"/>
    </row>
    <row r="3058" spans="1:78" ht="21.75" customHeight="1">
      <c r="A3058" s="6"/>
      <c r="B3058" s="6"/>
      <c r="C3058" s="6"/>
      <c r="D3058" s="6"/>
      <c r="E3058" s="6"/>
      <c r="F3058" s="6"/>
      <c r="G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O3058" s="6"/>
      <c r="AP3058" s="6"/>
      <c r="BH3058" s="6"/>
      <c r="BI3058" s="6"/>
      <c r="BJ3058" s="6"/>
      <c r="BK3058" s="6"/>
      <c r="BL3058" s="6"/>
      <c r="BM3058" s="6"/>
      <c r="BN3058" s="6"/>
      <c r="BO3058" s="6"/>
      <c r="BP3058" s="6"/>
      <c r="BQ3058" s="6"/>
      <c r="BR3058" s="6"/>
      <c r="BS3058" s="6"/>
      <c r="BT3058" s="6"/>
      <c r="BU3058" s="6"/>
      <c r="BV3058" s="6"/>
      <c r="BW3058" s="6"/>
      <c r="BX3058" s="6"/>
      <c r="BY3058" s="6"/>
      <c r="BZ3058" s="6"/>
    </row>
    <row r="3059" spans="1:78" ht="21.75" customHeight="1">
      <c r="A3059" s="6"/>
      <c r="B3059" s="6"/>
      <c r="C3059" s="6"/>
      <c r="D3059" s="6"/>
      <c r="E3059" s="6"/>
      <c r="F3059" s="6"/>
      <c r="G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O3059" s="6"/>
      <c r="AP3059" s="6"/>
      <c r="BH3059" s="6"/>
      <c r="BI3059" s="6"/>
      <c r="BJ3059" s="6"/>
      <c r="BK3059" s="6"/>
      <c r="BL3059" s="6"/>
      <c r="BM3059" s="6"/>
      <c r="BN3059" s="6"/>
      <c r="BO3059" s="6"/>
      <c r="BP3059" s="6"/>
      <c r="BQ3059" s="6"/>
      <c r="BR3059" s="6"/>
      <c r="BS3059" s="6"/>
      <c r="BT3059" s="6"/>
      <c r="BU3059" s="6"/>
      <c r="BV3059" s="6"/>
      <c r="BW3059" s="6"/>
      <c r="BX3059" s="6"/>
      <c r="BY3059" s="6"/>
      <c r="BZ3059" s="6"/>
    </row>
    <row r="3060" spans="1:78" ht="21.75" customHeight="1">
      <c r="A3060" s="6"/>
      <c r="B3060" s="6"/>
      <c r="C3060" s="6"/>
      <c r="D3060" s="6"/>
      <c r="E3060" s="6"/>
      <c r="F3060" s="6"/>
      <c r="G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O3060" s="6"/>
      <c r="AP3060" s="6"/>
      <c r="BH3060" s="6"/>
      <c r="BI3060" s="6"/>
      <c r="BJ3060" s="6"/>
      <c r="BK3060" s="6"/>
      <c r="BL3060" s="6"/>
      <c r="BM3060" s="6"/>
      <c r="BN3060" s="6"/>
      <c r="BO3060" s="6"/>
      <c r="BP3060" s="6"/>
      <c r="BQ3060" s="6"/>
      <c r="BR3060" s="6"/>
      <c r="BS3060" s="6"/>
      <c r="BT3060" s="6"/>
      <c r="BU3060" s="6"/>
      <c r="BV3060" s="6"/>
      <c r="BW3060" s="6"/>
      <c r="BX3060" s="6"/>
      <c r="BY3060" s="6"/>
      <c r="BZ3060" s="6"/>
    </row>
    <row r="3061" spans="1:78" ht="21.75" customHeight="1">
      <c r="A3061" s="6"/>
      <c r="B3061" s="6"/>
      <c r="C3061" s="6"/>
      <c r="D3061" s="6"/>
      <c r="E3061" s="6"/>
      <c r="F3061" s="6"/>
      <c r="G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O3061" s="6"/>
      <c r="AP3061" s="6"/>
      <c r="BH3061" s="6"/>
      <c r="BI3061" s="6"/>
      <c r="BJ3061" s="6"/>
      <c r="BK3061" s="6"/>
      <c r="BL3061" s="6"/>
      <c r="BM3061" s="6"/>
      <c r="BN3061" s="6"/>
      <c r="BO3061" s="6"/>
      <c r="BP3061" s="6"/>
      <c r="BQ3061" s="6"/>
      <c r="BR3061" s="6"/>
      <c r="BS3061" s="6"/>
      <c r="BT3061" s="6"/>
      <c r="BU3061" s="6"/>
      <c r="BV3061" s="6"/>
      <c r="BW3061" s="6"/>
      <c r="BX3061" s="6"/>
      <c r="BY3061" s="6"/>
      <c r="BZ3061" s="6"/>
    </row>
    <row r="3062" spans="1:78" ht="21.75" customHeight="1">
      <c r="A3062" s="6"/>
      <c r="B3062" s="6"/>
      <c r="C3062" s="6"/>
      <c r="D3062" s="6"/>
      <c r="E3062" s="6"/>
      <c r="F3062" s="6"/>
      <c r="G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O3062" s="6"/>
      <c r="AP3062" s="6"/>
      <c r="BH3062" s="6"/>
      <c r="BI3062" s="6"/>
      <c r="BJ3062" s="6"/>
      <c r="BK3062" s="6"/>
      <c r="BL3062" s="6"/>
      <c r="BM3062" s="6"/>
      <c r="BN3062" s="6"/>
      <c r="BO3062" s="6"/>
      <c r="BP3062" s="6"/>
      <c r="BQ3062" s="6"/>
      <c r="BR3062" s="6"/>
      <c r="BS3062" s="6"/>
      <c r="BT3062" s="6"/>
      <c r="BU3062" s="6"/>
      <c r="BV3062" s="6"/>
      <c r="BW3062" s="6"/>
      <c r="BX3062" s="6"/>
      <c r="BY3062" s="6"/>
      <c r="BZ3062" s="6"/>
    </row>
    <row r="3063" spans="1:78" ht="21.75" customHeight="1">
      <c r="A3063" s="6"/>
      <c r="B3063" s="6"/>
      <c r="C3063" s="6"/>
      <c r="D3063" s="6"/>
      <c r="E3063" s="6"/>
      <c r="F3063" s="6"/>
      <c r="G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O3063" s="6"/>
      <c r="AP3063" s="6"/>
      <c r="BH3063" s="6"/>
      <c r="BI3063" s="6"/>
      <c r="BJ3063" s="6"/>
      <c r="BK3063" s="6"/>
      <c r="BL3063" s="6"/>
      <c r="BM3063" s="6"/>
      <c r="BN3063" s="6"/>
      <c r="BO3063" s="6"/>
      <c r="BP3063" s="6"/>
      <c r="BQ3063" s="6"/>
      <c r="BR3063" s="6"/>
      <c r="BS3063" s="6"/>
      <c r="BT3063" s="6"/>
      <c r="BU3063" s="6"/>
      <c r="BV3063" s="6"/>
      <c r="BW3063" s="6"/>
      <c r="BX3063" s="6"/>
      <c r="BY3063" s="6"/>
      <c r="BZ3063" s="6"/>
    </row>
    <row r="3064" spans="1:78" s="450" customFormat="1" ht="21.75" customHeight="1"/>
    <row r="3065" spans="1:78" s="448" customFormat="1" ht="21.75" customHeight="1"/>
    <row r="3066" spans="1:78" ht="21.75" customHeight="1">
      <c r="A3066" s="6"/>
      <c r="B3066" s="6"/>
      <c r="C3066" s="6"/>
      <c r="D3066" s="6"/>
      <c r="E3066" s="6"/>
      <c r="F3066" s="6"/>
      <c r="G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O3066" s="6"/>
      <c r="AP3066" s="6"/>
      <c r="BH3066" s="6"/>
      <c r="BI3066" s="6"/>
      <c r="BJ3066" s="6"/>
      <c r="BK3066" s="6"/>
      <c r="BL3066" s="6"/>
      <c r="BM3066" s="6"/>
      <c r="BN3066" s="6"/>
      <c r="BO3066" s="6"/>
      <c r="BP3066" s="6"/>
      <c r="BQ3066" s="6"/>
      <c r="BR3066" s="6"/>
      <c r="BS3066" s="6"/>
      <c r="BT3066" s="6"/>
      <c r="BU3066" s="6"/>
      <c r="BV3066" s="6"/>
      <c r="BW3066" s="6"/>
      <c r="BX3066" s="6"/>
      <c r="BY3066" s="6"/>
      <c r="BZ3066" s="6"/>
    </row>
    <row r="3067" spans="1:78" ht="21.75" customHeight="1">
      <c r="A3067" s="6"/>
      <c r="B3067" s="6"/>
      <c r="C3067" s="6"/>
      <c r="D3067" s="6"/>
      <c r="E3067" s="6"/>
      <c r="F3067" s="6"/>
      <c r="G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O3067" s="6"/>
      <c r="AP3067" s="6"/>
      <c r="BH3067" s="6"/>
      <c r="BI3067" s="6"/>
      <c r="BJ3067" s="6"/>
      <c r="BK3067" s="6"/>
      <c r="BL3067" s="6"/>
      <c r="BM3067" s="6"/>
      <c r="BN3067" s="6"/>
      <c r="BO3067" s="6"/>
      <c r="BP3067" s="6"/>
      <c r="BQ3067" s="6"/>
      <c r="BR3067" s="6"/>
      <c r="BS3067" s="6"/>
      <c r="BT3067" s="6"/>
      <c r="BU3067" s="6"/>
      <c r="BV3067" s="6"/>
      <c r="BW3067" s="6"/>
      <c r="BX3067" s="6"/>
      <c r="BY3067" s="6"/>
      <c r="BZ3067" s="6"/>
    </row>
    <row r="3068" spans="1:78" ht="21.75" customHeight="1">
      <c r="A3068" s="6"/>
      <c r="B3068" s="6"/>
      <c r="C3068" s="6"/>
      <c r="D3068" s="6"/>
      <c r="E3068" s="6"/>
      <c r="F3068" s="6"/>
      <c r="G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O3068" s="6"/>
      <c r="AP3068" s="6"/>
      <c r="BH3068" s="6"/>
      <c r="BI3068" s="6"/>
      <c r="BJ3068" s="6"/>
      <c r="BK3068" s="6"/>
      <c r="BL3068" s="6"/>
      <c r="BM3068" s="6"/>
      <c r="BN3068" s="6"/>
      <c r="BO3068" s="6"/>
      <c r="BP3068" s="6"/>
      <c r="BQ3068" s="6"/>
      <c r="BR3068" s="6"/>
      <c r="BS3068" s="6"/>
      <c r="BT3068" s="6"/>
      <c r="BU3068" s="6"/>
      <c r="BV3068" s="6"/>
      <c r="BW3068" s="6"/>
      <c r="BX3068" s="6"/>
      <c r="BY3068" s="6"/>
      <c r="BZ3068" s="6"/>
    </row>
    <row r="3069" spans="1:78" ht="21.75" customHeight="1">
      <c r="A3069" s="6"/>
      <c r="B3069" s="6"/>
      <c r="C3069" s="6"/>
      <c r="D3069" s="6"/>
      <c r="E3069" s="6"/>
      <c r="F3069" s="6"/>
      <c r="G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O3069" s="6"/>
      <c r="AP3069" s="6"/>
      <c r="BH3069" s="6"/>
      <c r="BI3069" s="6"/>
      <c r="BJ3069" s="6"/>
      <c r="BK3069" s="6"/>
      <c r="BL3069" s="6"/>
      <c r="BM3069" s="6"/>
      <c r="BN3069" s="6"/>
      <c r="BO3069" s="6"/>
      <c r="BP3069" s="6"/>
      <c r="BQ3069" s="6"/>
      <c r="BR3069" s="6"/>
      <c r="BS3069" s="6"/>
      <c r="BT3069" s="6"/>
      <c r="BU3069" s="6"/>
      <c r="BV3069" s="6"/>
      <c r="BW3069" s="6"/>
      <c r="BX3069" s="6"/>
      <c r="BY3069" s="6"/>
      <c r="BZ3069" s="6"/>
    </row>
    <row r="3070" spans="1:78" ht="21.75" customHeight="1">
      <c r="A3070" s="6"/>
      <c r="B3070" s="6"/>
      <c r="C3070" s="6"/>
      <c r="D3070" s="6"/>
      <c r="E3070" s="6"/>
      <c r="F3070" s="6"/>
      <c r="G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O3070" s="6"/>
      <c r="AP3070" s="6"/>
      <c r="BH3070" s="6"/>
      <c r="BI3070" s="6"/>
      <c r="BJ3070" s="6"/>
      <c r="BK3070" s="6"/>
      <c r="BL3070" s="6"/>
      <c r="BM3070" s="6"/>
      <c r="BN3070" s="6"/>
      <c r="BO3070" s="6"/>
      <c r="BP3070" s="6"/>
      <c r="BQ3070" s="6"/>
      <c r="BR3070" s="6"/>
      <c r="BS3070" s="6"/>
      <c r="BT3070" s="6"/>
      <c r="BU3070" s="6"/>
      <c r="BV3070" s="6"/>
      <c r="BW3070" s="6"/>
      <c r="BX3070" s="6"/>
      <c r="BY3070" s="6"/>
      <c r="BZ3070" s="6"/>
    </row>
    <row r="3071" spans="1:78" ht="21.75" customHeight="1">
      <c r="A3071" s="6"/>
      <c r="B3071" s="6"/>
      <c r="C3071" s="6"/>
      <c r="D3071" s="6"/>
      <c r="E3071" s="6"/>
      <c r="F3071" s="6"/>
      <c r="G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O3071" s="6"/>
      <c r="AP3071" s="6"/>
      <c r="BH3071" s="6"/>
      <c r="BI3071" s="6"/>
      <c r="BJ3071" s="6"/>
      <c r="BK3071" s="6"/>
      <c r="BL3071" s="6"/>
      <c r="BM3071" s="6"/>
      <c r="BN3071" s="6"/>
      <c r="BO3071" s="6"/>
      <c r="BP3071" s="6"/>
      <c r="BQ3071" s="6"/>
      <c r="BR3071" s="6"/>
      <c r="BS3071" s="6"/>
      <c r="BT3071" s="6"/>
      <c r="BU3071" s="6"/>
      <c r="BV3071" s="6"/>
      <c r="BW3071" s="6"/>
      <c r="BX3071" s="6"/>
      <c r="BY3071" s="6"/>
      <c r="BZ3071" s="6"/>
    </row>
    <row r="3072" spans="1:78" s="496" customFormat="1" ht="21.75" customHeight="1"/>
    <row r="3073" spans="1:78" ht="21.75" customHeight="1">
      <c r="A3073" s="6"/>
      <c r="B3073" s="6"/>
      <c r="C3073" s="6"/>
      <c r="D3073" s="6"/>
      <c r="E3073" s="6"/>
      <c r="F3073" s="6"/>
      <c r="G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O3073" s="6"/>
      <c r="AP3073" s="6"/>
      <c r="BH3073" s="6"/>
      <c r="BI3073" s="6"/>
      <c r="BJ3073" s="6"/>
      <c r="BK3073" s="6"/>
      <c r="BL3073" s="6"/>
      <c r="BM3073" s="6"/>
      <c r="BN3073" s="6"/>
      <c r="BO3073" s="6"/>
      <c r="BP3073" s="6"/>
      <c r="BQ3073" s="6"/>
      <c r="BR3073" s="6"/>
      <c r="BS3073" s="6"/>
      <c r="BT3073" s="6"/>
      <c r="BU3073" s="6"/>
      <c r="BV3073" s="6"/>
      <c r="BW3073" s="6"/>
      <c r="BX3073" s="6"/>
      <c r="BY3073" s="6"/>
      <c r="BZ3073" s="6"/>
    </row>
    <row r="3074" spans="1:78" ht="21.75" customHeight="1">
      <c r="A3074" s="6"/>
      <c r="B3074" s="6"/>
      <c r="C3074" s="6"/>
      <c r="D3074" s="6"/>
      <c r="E3074" s="6"/>
      <c r="F3074" s="6"/>
      <c r="G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O3074" s="6"/>
      <c r="AP3074" s="6"/>
      <c r="BH3074" s="6"/>
      <c r="BI3074" s="6"/>
      <c r="BJ3074" s="6"/>
      <c r="BK3074" s="6"/>
      <c r="BL3074" s="6"/>
      <c r="BM3074" s="6"/>
      <c r="BN3074" s="6"/>
      <c r="BO3074" s="6"/>
      <c r="BP3074" s="6"/>
      <c r="BQ3074" s="6"/>
      <c r="BR3074" s="6"/>
      <c r="BS3074" s="6"/>
      <c r="BT3074" s="6"/>
      <c r="BU3074" s="6"/>
      <c r="BV3074" s="6"/>
      <c r="BW3074" s="6"/>
      <c r="BX3074" s="6"/>
      <c r="BY3074" s="6"/>
      <c r="BZ3074" s="6"/>
    </row>
    <row r="3075" spans="1:78" ht="21.75" customHeight="1">
      <c r="A3075" s="6"/>
      <c r="B3075" s="6"/>
      <c r="C3075" s="6"/>
      <c r="D3075" s="6"/>
      <c r="E3075" s="6"/>
      <c r="F3075" s="6"/>
      <c r="G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O3075" s="6"/>
      <c r="AP3075" s="6"/>
      <c r="BH3075" s="6"/>
      <c r="BI3075" s="6"/>
      <c r="BJ3075" s="6"/>
      <c r="BK3075" s="6"/>
      <c r="BL3075" s="6"/>
      <c r="BM3075" s="6"/>
      <c r="BN3075" s="6"/>
      <c r="BO3075" s="6"/>
      <c r="BP3075" s="6"/>
      <c r="BQ3075" s="6"/>
      <c r="BR3075" s="6"/>
      <c r="BS3075" s="6"/>
      <c r="BT3075" s="6"/>
      <c r="BU3075" s="6"/>
      <c r="BV3075" s="6"/>
      <c r="BW3075" s="6"/>
      <c r="BX3075" s="6"/>
      <c r="BY3075" s="6"/>
      <c r="BZ3075" s="6"/>
    </row>
    <row r="3076" spans="1:78" ht="21.75" customHeight="1">
      <c r="A3076" s="6"/>
      <c r="B3076" s="6"/>
      <c r="C3076" s="6"/>
      <c r="D3076" s="6"/>
      <c r="E3076" s="6"/>
      <c r="F3076" s="6"/>
      <c r="G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O3076" s="6"/>
      <c r="AP3076" s="6"/>
      <c r="BH3076" s="6"/>
      <c r="BI3076" s="6"/>
      <c r="BJ3076" s="6"/>
      <c r="BK3076" s="6"/>
      <c r="BL3076" s="6"/>
      <c r="BM3076" s="6"/>
      <c r="BN3076" s="6"/>
      <c r="BO3076" s="6"/>
      <c r="BP3076" s="6"/>
      <c r="BQ3076" s="6"/>
      <c r="BR3076" s="6"/>
      <c r="BS3076" s="6"/>
      <c r="BT3076" s="6"/>
      <c r="BU3076" s="6"/>
      <c r="BV3076" s="6"/>
      <c r="BW3076" s="6"/>
      <c r="BX3076" s="6"/>
      <c r="BY3076" s="6"/>
      <c r="BZ3076" s="6"/>
    </row>
    <row r="3077" spans="1:78" ht="21.75" customHeight="1">
      <c r="A3077" s="6"/>
      <c r="B3077" s="6"/>
      <c r="C3077" s="6"/>
      <c r="D3077" s="6"/>
      <c r="E3077" s="6"/>
      <c r="F3077" s="6"/>
      <c r="G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O3077" s="6"/>
      <c r="AP3077" s="6"/>
      <c r="BH3077" s="6"/>
      <c r="BI3077" s="6"/>
      <c r="BJ3077" s="6"/>
      <c r="BK3077" s="6"/>
      <c r="BL3077" s="6"/>
      <c r="BM3077" s="6"/>
      <c r="BN3077" s="6"/>
      <c r="BO3077" s="6"/>
      <c r="BP3077" s="6"/>
      <c r="BQ3077" s="6"/>
      <c r="BR3077" s="6"/>
      <c r="BS3077" s="6"/>
      <c r="BT3077" s="6"/>
      <c r="BU3077" s="6"/>
      <c r="BV3077" s="6"/>
      <c r="BW3077" s="6"/>
      <c r="BX3077" s="6"/>
      <c r="BY3077" s="6"/>
      <c r="BZ3077" s="6"/>
    </row>
    <row r="3078" spans="1:78" ht="21.75" customHeight="1">
      <c r="A3078" s="6"/>
      <c r="B3078" s="6"/>
      <c r="C3078" s="6"/>
      <c r="D3078" s="6"/>
      <c r="E3078" s="6"/>
      <c r="F3078" s="6"/>
      <c r="G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O3078" s="6"/>
      <c r="AP3078" s="6"/>
      <c r="BH3078" s="6"/>
      <c r="BI3078" s="6"/>
      <c r="BJ3078" s="6"/>
      <c r="BK3078" s="6"/>
      <c r="BL3078" s="6"/>
      <c r="BM3078" s="6"/>
      <c r="BN3078" s="6"/>
      <c r="BO3078" s="6"/>
      <c r="BP3078" s="6"/>
      <c r="BQ3078" s="6"/>
      <c r="BR3078" s="6"/>
      <c r="BS3078" s="6"/>
      <c r="BT3078" s="6"/>
      <c r="BU3078" s="6"/>
      <c r="BV3078" s="6"/>
      <c r="BW3078" s="6"/>
      <c r="BX3078" s="6"/>
      <c r="BY3078" s="6"/>
      <c r="BZ3078" s="6"/>
    </row>
    <row r="3079" spans="1:78" ht="21.75" customHeight="1">
      <c r="A3079" s="6"/>
      <c r="B3079" s="6"/>
      <c r="C3079" s="6"/>
      <c r="D3079" s="6"/>
      <c r="E3079" s="6"/>
      <c r="F3079" s="6"/>
      <c r="G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O3079" s="6"/>
      <c r="AP3079" s="6"/>
      <c r="BH3079" s="6"/>
      <c r="BI3079" s="6"/>
      <c r="BJ3079" s="6"/>
      <c r="BK3079" s="6"/>
      <c r="BL3079" s="6"/>
      <c r="BM3079" s="6"/>
      <c r="BN3079" s="6"/>
      <c r="BO3079" s="6"/>
      <c r="BP3079" s="6"/>
      <c r="BQ3079" s="6"/>
      <c r="BR3079" s="6"/>
      <c r="BS3079" s="6"/>
      <c r="BT3079" s="6"/>
      <c r="BU3079" s="6"/>
      <c r="BV3079" s="6"/>
      <c r="BW3079" s="6"/>
      <c r="BX3079" s="6"/>
      <c r="BY3079" s="6"/>
      <c r="BZ3079" s="6"/>
    </row>
    <row r="3080" spans="1:78" ht="21.75" customHeight="1">
      <c r="A3080" s="6"/>
      <c r="B3080" s="6"/>
      <c r="C3080" s="6"/>
      <c r="D3080" s="6"/>
      <c r="E3080" s="6"/>
      <c r="F3080" s="6"/>
      <c r="G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O3080" s="6"/>
      <c r="AP3080" s="6"/>
      <c r="BH3080" s="6"/>
      <c r="BI3080" s="6"/>
      <c r="BJ3080" s="6"/>
      <c r="BK3080" s="6"/>
      <c r="BL3080" s="6"/>
      <c r="BM3080" s="6"/>
      <c r="BN3080" s="6"/>
      <c r="BO3080" s="6"/>
      <c r="BP3080" s="6"/>
      <c r="BQ3080" s="6"/>
      <c r="BR3080" s="6"/>
      <c r="BS3080" s="6"/>
      <c r="BT3080" s="6"/>
      <c r="BU3080" s="6"/>
      <c r="BV3080" s="6"/>
      <c r="BW3080" s="6"/>
      <c r="BX3080" s="6"/>
      <c r="BY3080" s="6"/>
      <c r="BZ3080" s="6"/>
    </row>
    <row r="3081" spans="1:78" s="450" customFormat="1" ht="21.75" customHeight="1"/>
    <row r="3082" spans="1:78" s="476" customFormat="1" ht="21.75" customHeight="1"/>
    <row r="3083" spans="1:78" ht="21.75" customHeight="1">
      <c r="A3083" s="6"/>
      <c r="B3083" s="6"/>
      <c r="C3083" s="6"/>
      <c r="D3083" s="6"/>
      <c r="E3083" s="6"/>
      <c r="F3083" s="6"/>
      <c r="G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O3083" s="6"/>
      <c r="AP3083" s="6"/>
      <c r="BH3083" s="6"/>
      <c r="BI3083" s="6"/>
      <c r="BJ3083" s="6"/>
      <c r="BK3083" s="6"/>
      <c r="BL3083" s="6"/>
      <c r="BM3083" s="6"/>
      <c r="BN3083" s="6"/>
      <c r="BO3083" s="6"/>
      <c r="BP3083" s="6"/>
      <c r="BQ3083" s="6"/>
      <c r="BR3083" s="6"/>
      <c r="BS3083" s="6"/>
      <c r="BT3083" s="6"/>
      <c r="BU3083" s="6"/>
      <c r="BV3083" s="6"/>
      <c r="BW3083" s="6"/>
      <c r="BX3083" s="6"/>
      <c r="BY3083" s="6"/>
      <c r="BZ3083" s="6"/>
    </row>
    <row r="3084" spans="1:78" ht="21.75" customHeight="1">
      <c r="A3084" s="6"/>
      <c r="B3084" s="6"/>
      <c r="C3084" s="6"/>
      <c r="D3084" s="6"/>
      <c r="E3084" s="6"/>
      <c r="F3084" s="6"/>
      <c r="G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O3084" s="6"/>
      <c r="AP3084" s="6"/>
      <c r="BH3084" s="6"/>
      <c r="BI3084" s="6"/>
      <c r="BJ3084" s="6"/>
      <c r="BK3084" s="6"/>
      <c r="BL3084" s="6"/>
      <c r="BM3084" s="6"/>
      <c r="BN3084" s="6"/>
      <c r="BO3084" s="6"/>
      <c r="BP3084" s="6"/>
      <c r="BQ3084" s="6"/>
      <c r="BR3084" s="6"/>
      <c r="BS3084" s="6"/>
      <c r="BT3084" s="6"/>
      <c r="BU3084" s="6"/>
      <c r="BV3084" s="6"/>
      <c r="BW3084" s="6"/>
      <c r="BX3084" s="6"/>
      <c r="BY3084" s="6"/>
      <c r="BZ3084" s="6"/>
    </row>
    <row r="3085" spans="1:78" ht="21.75" customHeight="1">
      <c r="A3085" s="6"/>
      <c r="B3085" s="6"/>
      <c r="C3085" s="6"/>
      <c r="D3085" s="6"/>
      <c r="E3085" s="6"/>
      <c r="F3085" s="6"/>
      <c r="G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O3085" s="6"/>
      <c r="AP3085" s="6"/>
      <c r="BH3085" s="6"/>
      <c r="BI3085" s="6"/>
      <c r="BJ3085" s="6"/>
      <c r="BK3085" s="6"/>
      <c r="BL3085" s="6"/>
      <c r="BM3085" s="6"/>
      <c r="BN3085" s="6"/>
      <c r="BO3085" s="6"/>
      <c r="BP3085" s="6"/>
      <c r="BQ3085" s="6"/>
      <c r="BR3085" s="6"/>
      <c r="BS3085" s="6"/>
      <c r="BT3085" s="6"/>
      <c r="BU3085" s="6"/>
      <c r="BV3085" s="6"/>
      <c r="BW3085" s="6"/>
      <c r="BX3085" s="6"/>
      <c r="BY3085" s="6"/>
      <c r="BZ3085" s="6"/>
    </row>
    <row r="3086" spans="1:78" ht="21.75" customHeight="1">
      <c r="A3086" s="6"/>
      <c r="B3086" s="6"/>
      <c r="C3086" s="6"/>
      <c r="D3086" s="6"/>
      <c r="E3086" s="6"/>
      <c r="F3086" s="6"/>
      <c r="G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O3086" s="6"/>
      <c r="AP3086" s="6"/>
      <c r="BH3086" s="6"/>
      <c r="BI3086" s="6"/>
      <c r="BJ3086" s="6"/>
      <c r="BK3086" s="6"/>
      <c r="BL3086" s="6"/>
      <c r="BM3086" s="6"/>
      <c r="BN3086" s="6"/>
      <c r="BO3086" s="6"/>
      <c r="BP3086" s="6"/>
      <c r="BQ3086" s="6"/>
      <c r="BR3086" s="6"/>
      <c r="BS3086" s="6"/>
      <c r="BT3086" s="6"/>
      <c r="BU3086" s="6"/>
      <c r="BV3086" s="6"/>
      <c r="BW3086" s="6"/>
      <c r="BX3086" s="6"/>
      <c r="BY3086" s="6"/>
      <c r="BZ3086" s="6"/>
    </row>
    <row r="3087" spans="1:78" ht="21.75" customHeight="1">
      <c r="A3087" s="6"/>
      <c r="B3087" s="6"/>
      <c r="C3087" s="6"/>
      <c r="D3087" s="6"/>
      <c r="E3087" s="6"/>
      <c r="F3087" s="6"/>
      <c r="G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O3087" s="6"/>
      <c r="AP3087" s="6"/>
      <c r="BH3087" s="6"/>
      <c r="BI3087" s="6"/>
      <c r="BJ3087" s="6"/>
      <c r="BK3087" s="6"/>
      <c r="BL3087" s="6"/>
      <c r="BM3087" s="6"/>
      <c r="BN3087" s="6"/>
      <c r="BO3087" s="6"/>
      <c r="BP3087" s="6"/>
      <c r="BQ3087" s="6"/>
      <c r="BR3087" s="6"/>
      <c r="BS3087" s="6"/>
      <c r="BT3087" s="6"/>
      <c r="BU3087" s="6"/>
      <c r="BV3087" s="6"/>
      <c r="BW3087" s="6"/>
      <c r="BX3087" s="6"/>
      <c r="BY3087" s="6"/>
      <c r="BZ3087" s="6"/>
    </row>
    <row r="3088" spans="1:78" ht="21.75" customHeight="1">
      <c r="A3088" s="6"/>
      <c r="B3088" s="6"/>
      <c r="C3088" s="6"/>
      <c r="D3088" s="6"/>
      <c r="E3088" s="6"/>
      <c r="F3088" s="6"/>
      <c r="G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O3088" s="6"/>
      <c r="AP3088" s="6"/>
      <c r="BH3088" s="6"/>
      <c r="BI3088" s="6"/>
      <c r="BJ3088" s="6"/>
      <c r="BK3088" s="6"/>
      <c r="BL3088" s="6"/>
      <c r="BM3088" s="6"/>
      <c r="BN3088" s="6"/>
      <c r="BO3088" s="6"/>
      <c r="BP3088" s="6"/>
      <c r="BQ3088" s="6"/>
      <c r="BR3088" s="6"/>
      <c r="BS3088" s="6"/>
      <c r="BT3088" s="6"/>
      <c r="BU3088" s="6"/>
      <c r="BV3088" s="6"/>
      <c r="BW3088" s="6"/>
      <c r="BX3088" s="6"/>
      <c r="BY3088" s="6"/>
      <c r="BZ3088" s="6"/>
    </row>
    <row r="3089" spans="1:78" ht="21.75" customHeight="1">
      <c r="A3089" s="6"/>
      <c r="B3089" s="6"/>
      <c r="C3089" s="6"/>
      <c r="D3089" s="6"/>
      <c r="E3089" s="6"/>
      <c r="F3089" s="6"/>
      <c r="G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O3089" s="6"/>
      <c r="AP3089" s="6"/>
      <c r="BH3089" s="6"/>
      <c r="BI3089" s="6"/>
      <c r="BJ3089" s="6"/>
      <c r="BK3089" s="6"/>
      <c r="BL3089" s="6"/>
      <c r="BM3089" s="6"/>
      <c r="BN3089" s="6"/>
      <c r="BO3089" s="6"/>
      <c r="BP3089" s="6"/>
      <c r="BQ3089" s="6"/>
      <c r="BR3089" s="6"/>
      <c r="BS3089" s="6"/>
      <c r="BT3089" s="6"/>
      <c r="BU3089" s="6"/>
      <c r="BV3089" s="6"/>
      <c r="BW3089" s="6"/>
      <c r="BX3089" s="6"/>
      <c r="BY3089" s="6"/>
      <c r="BZ3089" s="6"/>
    </row>
    <row r="3090" spans="1:78" ht="21.75" customHeight="1">
      <c r="A3090" s="6"/>
      <c r="B3090" s="6"/>
      <c r="C3090" s="6"/>
      <c r="D3090" s="6"/>
      <c r="E3090" s="6"/>
      <c r="F3090" s="6"/>
      <c r="G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O3090" s="6"/>
      <c r="AP3090" s="6"/>
      <c r="BH3090" s="6"/>
      <c r="BI3090" s="6"/>
      <c r="BJ3090" s="6"/>
      <c r="BK3090" s="6"/>
      <c r="BL3090" s="6"/>
      <c r="BM3090" s="6"/>
      <c r="BN3090" s="6"/>
      <c r="BO3090" s="6"/>
      <c r="BP3090" s="6"/>
      <c r="BQ3090" s="6"/>
      <c r="BR3090" s="6"/>
      <c r="BS3090" s="6"/>
      <c r="BT3090" s="6"/>
      <c r="BU3090" s="6"/>
      <c r="BV3090" s="6"/>
      <c r="BW3090" s="6"/>
      <c r="BX3090" s="6"/>
      <c r="BY3090" s="6"/>
      <c r="BZ3090" s="6"/>
    </row>
    <row r="3091" spans="1:78" ht="21.75" customHeight="1">
      <c r="A3091" s="6"/>
      <c r="B3091" s="6"/>
      <c r="C3091" s="6"/>
      <c r="D3091" s="6"/>
      <c r="E3091" s="6"/>
      <c r="F3091" s="6"/>
      <c r="G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O3091" s="6"/>
      <c r="AP3091" s="6"/>
      <c r="BH3091" s="6"/>
      <c r="BI3091" s="6"/>
      <c r="BJ3091" s="6"/>
      <c r="BK3091" s="6"/>
      <c r="BL3091" s="6"/>
      <c r="BM3091" s="6"/>
      <c r="BN3091" s="6"/>
      <c r="BO3091" s="6"/>
      <c r="BP3091" s="6"/>
      <c r="BQ3091" s="6"/>
      <c r="BR3091" s="6"/>
      <c r="BS3091" s="6"/>
      <c r="BT3091" s="6"/>
      <c r="BU3091" s="6"/>
      <c r="BV3091" s="6"/>
      <c r="BW3091" s="6"/>
      <c r="BX3091" s="6"/>
      <c r="BY3091" s="6"/>
      <c r="BZ3091" s="6"/>
    </row>
    <row r="3092" spans="1:78" ht="21.75" customHeight="1">
      <c r="A3092" s="6"/>
      <c r="B3092" s="6"/>
      <c r="C3092" s="6"/>
      <c r="D3092" s="6"/>
      <c r="E3092" s="6"/>
      <c r="F3092" s="6"/>
      <c r="G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O3092" s="6"/>
      <c r="AP3092" s="6"/>
      <c r="BH3092" s="6"/>
      <c r="BI3092" s="6"/>
      <c r="BJ3092" s="6"/>
      <c r="BK3092" s="6"/>
      <c r="BL3092" s="6"/>
      <c r="BM3092" s="6"/>
      <c r="BN3092" s="6"/>
      <c r="BO3092" s="6"/>
      <c r="BP3092" s="6"/>
      <c r="BQ3092" s="6"/>
      <c r="BR3092" s="6"/>
      <c r="BS3092" s="6"/>
      <c r="BT3092" s="6"/>
      <c r="BU3092" s="6"/>
      <c r="BV3092" s="6"/>
      <c r="BW3092" s="6"/>
      <c r="BX3092" s="6"/>
      <c r="BY3092" s="6"/>
      <c r="BZ3092" s="6"/>
    </row>
    <row r="3093" spans="1:78" ht="21.75" customHeight="1">
      <c r="A3093" s="6"/>
      <c r="B3093" s="6"/>
      <c r="C3093" s="6"/>
      <c r="D3093" s="6"/>
      <c r="E3093" s="6"/>
      <c r="F3093" s="6"/>
      <c r="G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O3093" s="6"/>
      <c r="AP3093" s="6"/>
      <c r="BH3093" s="6"/>
      <c r="BI3093" s="6"/>
      <c r="BJ3093" s="6"/>
      <c r="BK3093" s="6"/>
      <c r="BL3093" s="6"/>
      <c r="BM3093" s="6"/>
      <c r="BN3093" s="6"/>
      <c r="BO3093" s="6"/>
      <c r="BP3093" s="6"/>
      <c r="BQ3093" s="6"/>
      <c r="BR3093" s="6"/>
      <c r="BS3093" s="6"/>
      <c r="BT3093" s="6"/>
      <c r="BU3093" s="6"/>
      <c r="BV3093" s="6"/>
      <c r="BW3093" s="6"/>
      <c r="BX3093" s="6"/>
      <c r="BY3093" s="6"/>
      <c r="BZ3093" s="6"/>
    </row>
    <row r="3094" spans="1:78" ht="21.75" customHeight="1">
      <c r="A3094" s="6"/>
      <c r="B3094" s="6"/>
      <c r="C3094" s="6"/>
      <c r="D3094" s="6"/>
      <c r="E3094" s="6"/>
      <c r="F3094" s="6"/>
      <c r="G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O3094" s="6"/>
      <c r="AP3094" s="6"/>
      <c r="BH3094" s="6"/>
      <c r="BI3094" s="6"/>
      <c r="BJ3094" s="6"/>
      <c r="BK3094" s="6"/>
      <c r="BL3094" s="6"/>
      <c r="BM3094" s="6"/>
      <c r="BN3094" s="6"/>
      <c r="BO3094" s="6"/>
      <c r="BP3094" s="6"/>
      <c r="BQ3094" s="6"/>
      <c r="BR3094" s="6"/>
      <c r="BS3094" s="6"/>
      <c r="BT3094" s="6"/>
      <c r="BU3094" s="6"/>
      <c r="BV3094" s="6"/>
      <c r="BW3094" s="6"/>
      <c r="BX3094" s="6"/>
      <c r="BY3094" s="6"/>
      <c r="BZ3094" s="6"/>
    </row>
    <row r="3095" spans="1:78" ht="21.75" customHeight="1">
      <c r="A3095" s="6"/>
      <c r="B3095" s="6"/>
      <c r="C3095" s="6"/>
      <c r="D3095" s="6"/>
      <c r="E3095" s="6"/>
      <c r="F3095" s="6"/>
      <c r="G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O3095" s="6"/>
      <c r="AP3095" s="6"/>
      <c r="BH3095" s="6"/>
      <c r="BI3095" s="6"/>
      <c r="BJ3095" s="6"/>
      <c r="BK3095" s="6"/>
      <c r="BL3095" s="6"/>
      <c r="BM3095" s="6"/>
      <c r="BN3095" s="6"/>
      <c r="BO3095" s="6"/>
      <c r="BP3095" s="6"/>
      <c r="BQ3095" s="6"/>
      <c r="BR3095" s="6"/>
      <c r="BS3095" s="6"/>
      <c r="BT3095" s="6"/>
      <c r="BU3095" s="6"/>
      <c r="BV3095" s="6"/>
      <c r="BW3095" s="6"/>
      <c r="BX3095" s="6"/>
      <c r="BY3095" s="6"/>
      <c r="BZ3095" s="6"/>
    </row>
    <row r="3096" spans="1:78" ht="21.75" customHeight="1">
      <c r="A3096" s="6"/>
      <c r="B3096" s="6"/>
      <c r="C3096" s="6"/>
      <c r="D3096" s="6"/>
      <c r="E3096" s="6"/>
      <c r="F3096" s="6"/>
      <c r="G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O3096" s="6"/>
      <c r="AP3096" s="6"/>
      <c r="BH3096" s="6"/>
      <c r="BI3096" s="6"/>
      <c r="BJ3096" s="6"/>
      <c r="BK3096" s="6"/>
      <c r="BL3096" s="6"/>
      <c r="BM3096" s="6"/>
      <c r="BN3096" s="6"/>
      <c r="BO3096" s="6"/>
      <c r="BP3096" s="6"/>
      <c r="BQ3096" s="6"/>
      <c r="BR3096" s="6"/>
      <c r="BS3096" s="6"/>
      <c r="BT3096" s="6"/>
      <c r="BU3096" s="6"/>
      <c r="BV3096" s="6"/>
      <c r="BW3096" s="6"/>
      <c r="BX3096" s="6"/>
      <c r="BY3096" s="6"/>
      <c r="BZ3096" s="6"/>
    </row>
    <row r="3097" spans="1:78" s="496" customFormat="1" ht="21.75" customHeight="1"/>
    <row r="3098" spans="1:78" ht="21.75" customHeight="1">
      <c r="A3098" s="6"/>
      <c r="B3098" s="6"/>
      <c r="C3098" s="6"/>
      <c r="D3098" s="6"/>
      <c r="E3098" s="6"/>
      <c r="F3098" s="6"/>
      <c r="G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O3098" s="6"/>
      <c r="AP3098" s="6"/>
      <c r="BH3098" s="6"/>
      <c r="BI3098" s="6"/>
      <c r="BJ3098" s="6"/>
      <c r="BK3098" s="6"/>
      <c r="BL3098" s="6"/>
      <c r="BM3098" s="6"/>
      <c r="BN3098" s="6"/>
      <c r="BO3098" s="6"/>
      <c r="BP3098" s="6"/>
      <c r="BQ3098" s="6"/>
      <c r="BR3098" s="6"/>
      <c r="BS3098" s="6"/>
      <c r="BT3098" s="6"/>
      <c r="BU3098" s="6"/>
      <c r="BV3098" s="6"/>
      <c r="BW3098" s="6"/>
      <c r="BX3098" s="6"/>
      <c r="BY3098" s="6"/>
      <c r="BZ3098" s="6"/>
    </row>
    <row r="3099" spans="1:78" s="472" customFormat="1" ht="21.75" customHeight="1"/>
    <row r="3100" spans="1:78" s="497" customFormat="1" ht="21.75" customHeight="1"/>
    <row r="3101" spans="1:78" s="448" customFormat="1" ht="21.75" customHeight="1"/>
    <row r="3102" spans="1:78" ht="21.75" customHeight="1">
      <c r="A3102" s="6"/>
      <c r="B3102" s="6"/>
      <c r="C3102" s="6"/>
      <c r="D3102" s="6"/>
      <c r="E3102" s="6"/>
      <c r="F3102" s="6"/>
      <c r="G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O3102" s="6"/>
      <c r="AP3102" s="6"/>
      <c r="BH3102" s="6"/>
      <c r="BI3102" s="6"/>
      <c r="BJ3102" s="6"/>
      <c r="BK3102" s="6"/>
      <c r="BL3102" s="6"/>
      <c r="BM3102" s="6"/>
      <c r="BN3102" s="6"/>
      <c r="BO3102" s="6"/>
      <c r="BP3102" s="6"/>
      <c r="BQ3102" s="6"/>
      <c r="BR3102" s="6"/>
      <c r="BS3102" s="6"/>
      <c r="BT3102" s="6"/>
      <c r="BU3102" s="6"/>
      <c r="BV3102" s="6"/>
      <c r="BW3102" s="6"/>
      <c r="BX3102" s="6"/>
      <c r="BY3102" s="6"/>
      <c r="BZ3102" s="6"/>
    </row>
    <row r="3103" spans="1:78" ht="21.75" customHeight="1">
      <c r="A3103" s="6"/>
      <c r="B3103" s="6"/>
      <c r="C3103" s="6"/>
      <c r="D3103" s="6"/>
      <c r="E3103" s="6"/>
      <c r="F3103" s="6"/>
      <c r="G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O3103" s="6"/>
      <c r="AP3103" s="6"/>
      <c r="BH3103" s="6"/>
      <c r="BI3103" s="6"/>
      <c r="BJ3103" s="6"/>
      <c r="BK3103" s="6"/>
      <c r="BL3103" s="6"/>
      <c r="BM3103" s="6"/>
      <c r="BN3103" s="6"/>
      <c r="BO3103" s="6"/>
      <c r="BP3103" s="6"/>
      <c r="BQ3103" s="6"/>
      <c r="BR3103" s="6"/>
      <c r="BS3103" s="6"/>
      <c r="BT3103" s="6"/>
      <c r="BU3103" s="6"/>
      <c r="BV3103" s="6"/>
      <c r="BW3103" s="6"/>
      <c r="BX3103" s="6"/>
      <c r="BY3103" s="6"/>
      <c r="BZ3103" s="6"/>
    </row>
    <row r="3104" spans="1:78" ht="21.75" customHeight="1">
      <c r="A3104" s="6"/>
      <c r="B3104" s="6"/>
      <c r="C3104" s="6"/>
      <c r="D3104" s="6"/>
      <c r="E3104" s="6"/>
      <c r="F3104" s="6"/>
      <c r="G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O3104" s="6"/>
      <c r="AP3104" s="6"/>
      <c r="BH3104" s="6"/>
      <c r="BI3104" s="6"/>
      <c r="BJ3104" s="6"/>
      <c r="BK3104" s="6"/>
      <c r="BL3104" s="6"/>
      <c r="BM3104" s="6"/>
      <c r="BN3104" s="6"/>
      <c r="BO3104" s="6"/>
      <c r="BP3104" s="6"/>
      <c r="BQ3104" s="6"/>
      <c r="BR3104" s="6"/>
      <c r="BS3104" s="6"/>
      <c r="BT3104" s="6"/>
      <c r="BU3104" s="6"/>
      <c r="BV3104" s="6"/>
      <c r="BW3104" s="6"/>
      <c r="BX3104" s="6"/>
      <c r="BY3104" s="6"/>
      <c r="BZ3104" s="6"/>
    </row>
    <row r="3105" spans="1:78" ht="21.75" customHeight="1">
      <c r="A3105" s="6"/>
      <c r="B3105" s="6"/>
      <c r="C3105" s="6"/>
      <c r="D3105" s="6"/>
      <c r="E3105" s="6"/>
      <c r="F3105" s="6"/>
      <c r="G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O3105" s="6"/>
      <c r="AP3105" s="6"/>
      <c r="BH3105" s="6"/>
      <c r="BI3105" s="6"/>
      <c r="BJ3105" s="6"/>
      <c r="BK3105" s="6"/>
      <c r="BL3105" s="6"/>
      <c r="BM3105" s="6"/>
      <c r="BN3105" s="6"/>
      <c r="BO3105" s="6"/>
      <c r="BP3105" s="6"/>
      <c r="BQ3105" s="6"/>
      <c r="BR3105" s="6"/>
      <c r="BS3105" s="6"/>
      <c r="BT3105" s="6"/>
      <c r="BU3105" s="6"/>
      <c r="BV3105" s="6"/>
      <c r="BW3105" s="6"/>
      <c r="BX3105" s="6"/>
      <c r="BY3105" s="6"/>
      <c r="BZ3105" s="6"/>
    </row>
    <row r="3106" spans="1:78" ht="21.75" customHeight="1">
      <c r="A3106" s="6"/>
      <c r="B3106" s="6"/>
      <c r="C3106" s="6"/>
      <c r="D3106" s="6"/>
      <c r="E3106" s="6"/>
      <c r="F3106" s="6"/>
      <c r="G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O3106" s="6"/>
      <c r="AP3106" s="6"/>
      <c r="BH3106" s="6"/>
      <c r="BI3106" s="6"/>
      <c r="BJ3106" s="6"/>
      <c r="BK3106" s="6"/>
      <c r="BL3106" s="6"/>
      <c r="BM3106" s="6"/>
      <c r="BN3106" s="6"/>
      <c r="BO3106" s="6"/>
      <c r="BP3106" s="6"/>
      <c r="BQ3106" s="6"/>
      <c r="BR3106" s="6"/>
      <c r="BS3106" s="6"/>
      <c r="BT3106" s="6"/>
      <c r="BU3106" s="6"/>
      <c r="BV3106" s="6"/>
      <c r="BW3106" s="6"/>
      <c r="BX3106" s="6"/>
      <c r="BY3106" s="6"/>
      <c r="BZ3106" s="6"/>
    </row>
    <row r="3107" spans="1:78" ht="21.75" customHeight="1">
      <c r="A3107" s="6"/>
      <c r="B3107" s="6"/>
      <c r="C3107" s="6"/>
      <c r="D3107" s="6"/>
      <c r="E3107" s="6"/>
      <c r="F3107" s="6"/>
      <c r="G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O3107" s="6"/>
      <c r="AP3107" s="6"/>
      <c r="BH3107" s="6"/>
      <c r="BI3107" s="6"/>
      <c r="BJ3107" s="6"/>
      <c r="BK3107" s="6"/>
      <c r="BL3107" s="6"/>
      <c r="BM3107" s="6"/>
      <c r="BN3107" s="6"/>
      <c r="BO3107" s="6"/>
      <c r="BP3107" s="6"/>
      <c r="BQ3107" s="6"/>
      <c r="BR3107" s="6"/>
      <c r="BS3107" s="6"/>
      <c r="BT3107" s="6"/>
      <c r="BU3107" s="6"/>
      <c r="BV3107" s="6"/>
      <c r="BW3107" s="6"/>
      <c r="BX3107" s="6"/>
      <c r="BY3107" s="6"/>
      <c r="BZ3107" s="6"/>
    </row>
    <row r="3108" spans="1:78" ht="21.75" customHeight="1">
      <c r="A3108" s="6"/>
      <c r="B3108" s="6"/>
      <c r="C3108" s="6"/>
      <c r="D3108" s="6"/>
      <c r="E3108" s="6"/>
      <c r="F3108" s="6"/>
      <c r="G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O3108" s="6"/>
      <c r="AP3108" s="6"/>
      <c r="BH3108" s="6"/>
      <c r="BI3108" s="6"/>
      <c r="BJ3108" s="6"/>
      <c r="BK3108" s="6"/>
      <c r="BL3108" s="6"/>
      <c r="BM3108" s="6"/>
      <c r="BN3108" s="6"/>
      <c r="BO3108" s="6"/>
      <c r="BP3108" s="6"/>
      <c r="BQ3108" s="6"/>
      <c r="BR3108" s="6"/>
      <c r="BS3108" s="6"/>
      <c r="BT3108" s="6"/>
      <c r="BU3108" s="6"/>
      <c r="BV3108" s="6"/>
      <c r="BW3108" s="6"/>
      <c r="BX3108" s="6"/>
      <c r="BY3108" s="6"/>
      <c r="BZ3108" s="6"/>
    </row>
    <row r="3109" spans="1:78" ht="21.75" customHeight="1">
      <c r="A3109" s="6"/>
      <c r="B3109" s="6"/>
      <c r="C3109" s="6"/>
      <c r="D3109" s="6"/>
      <c r="E3109" s="6"/>
      <c r="F3109" s="6"/>
      <c r="G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O3109" s="6"/>
      <c r="AP3109" s="6"/>
      <c r="BH3109" s="6"/>
      <c r="BI3109" s="6"/>
      <c r="BJ3109" s="6"/>
      <c r="BK3109" s="6"/>
      <c r="BL3109" s="6"/>
      <c r="BM3109" s="6"/>
      <c r="BN3109" s="6"/>
      <c r="BO3109" s="6"/>
      <c r="BP3109" s="6"/>
      <c r="BQ3109" s="6"/>
      <c r="BR3109" s="6"/>
      <c r="BS3109" s="6"/>
      <c r="BT3109" s="6"/>
      <c r="BU3109" s="6"/>
      <c r="BV3109" s="6"/>
      <c r="BW3109" s="6"/>
      <c r="BX3109" s="6"/>
      <c r="BY3109" s="6"/>
      <c r="BZ3109" s="6"/>
    </row>
    <row r="3110" spans="1:78" ht="21.75" customHeight="1">
      <c r="A3110" s="6"/>
      <c r="B3110" s="6"/>
      <c r="C3110" s="6"/>
      <c r="D3110" s="6"/>
      <c r="E3110" s="6"/>
      <c r="F3110" s="6"/>
      <c r="G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O3110" s="6"/>
      <c r="AP3110" s="6"/>
      <c r="BH3110" s="6"/>
      <c r="BI3110" s="6"/>
      <c r="BJ3110" s="6"/>
      <c r="BK3110" s="6"/>
      <c r="BL3110" s="6"/>
      <c r="BM3110" s="6"/>
      <c r="BN3110" s="6"/>
      <c r="BO3110" s="6"/>
      <c r="BP3110" s="6"/>
      <c r="BQ3110" s="6"/>
      <c r="BR3110" s="6"/>
      <c r="BS3110" s="6"/>
      <c r="BT3110" s="6"/>
      <c r="BU3110" s="6"/>
      <c r="BV3110" s="6"/>
      <c r="BW3110" s="6"/>
      <c r="BX3110" s="6"/>
      <c r="BY3110" s="6"/>
      <c r="BZ3110" s="6"/>
    </row>
    <row r="3111" spans="1:78" ht="21.75" customHeight="1">
      <c r="A3111" s="6"/>
      <c r="B3111" s="6"/>
      <c r="C3111" s="6"/>
      <c r="D3111" s="6"/>
      <c r="E3111" s="6"/>
      <c r="F3111" s="6"/>
      <c r="G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O3111" s="6"/>
      <c r="AP3111" s="6"/>
      <c r="BH3111" s="6"/>
      <c r="BI3111" s="6"/>
      <c r="BJ3111" s="6"/>
      <c r="BK3111" s="6"/>
      <c r="BL3111" s="6"/>
      <c r="BM3111" s="6"/>
      <c r="BN3111" s="6"/>
      <c r="BO3111" s="6"/>
      <c r="BP3111" s="6"/>
      <c r="BQ3111" s="6"/>
      <c r="BR3111" s="6"/>
      <c r="BS3111" s="6"/>
      <c r="BT3111" s="6"/>
      <c r="BU3111" s="6"/>
      <c r="BV3111" s="6"/>
      <c r="BW3111" s="6"/>
      <c r="BX3111" s="6"/>
      <c r="BY3111" s="6"/>
      <c r="BZ3111" s="6"/>
    </row>
    <row r="3112" spans="1:78" ht="21.75" customHeight="1">
      <c r="A3112" s="6"/>
      <c r="B3112" s="6"/>
      <c r="C3112" s="6"/>
      <c r="D3112" s="6"/>
      <c r="E3112" s="6"/>
      <c r="F3112" s="6"/>
      <c r="G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O3112" s="6"/>
      <c r="AP3112" s="6"/>
      <c r="BH3112" s="6"/>
      <c r="BI3112" s="6"/>
      <c r="BJ3112" s="6"/>
      <c r="BK3112" s="6"/>
      <c r="BL3112" s="6"/>
      <c r="BM3112" s="6"/>
      <c r="BN3112" s="6"/>
      <c r="BO3112" s="6"/>
      <c r="BP3112" s="6"/>
      <c r="BQ3112" s="6"/>
      <c r="BR3112" s="6"/>
      <c r="BS3112" s="6"/>
      <c r="BT3112" s="6"/>
      <c r="BU3112" s="6"/>
      <c r="BV3112" s="6"/>
      <c r="BW3112" s="6"/>
      <c r="BX3112" s="6"/>
      <c r="BY3112" s="6"/>
      <c r="BZ3112" s="6"/>
    </row>
    <row r="3113" spans="1:78" ht="21.75" customHeight="1">
      <c r="A3113" s="6"/>
      <c r="B3113" s="6"/>
      <c r="C3113" s="6"/>
      <c r="D3113" s="6"/>
      <c r="E3113" s="6"/>
      <c r="F3113" s="6"/>
      <c r="G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O3113" s="6"/>
      <c r="AP3113" s="6"/>
      <c r="BH3113" s="6"/>
      <c r="BI3113" s="6"/>
      <c r="BJ3113" s="6"/>
      <c r="BK3113" s="6"/>
      <c r="BL3113" s="6"/>
      <c r="BM3113" s="6"/>
      <c r="BN3113" s="6"/>
      <c r="BO3113" s="6"/>
      <c r="BP3113" s="6"/>
      <c r="BQ3113" s="6"/>
      <c r="BR3113" s="6"/>
      <c r="BS3113" s="6"/>
      <c r="BT3113" s="6"/>
      <c r="BU3113" s="6"/>
      <c r="BV3113" s="6"/>
      <c r="BW3113" s="6"/>
      <c r="BX3113" s="6"/>
      <c r="BY3113" s="6"/>
      <c r="BZ3113" s="6"/>
    </row>
    <row r="3114" spans="1:78" ht="21.75" customHeight="1">
      <c r="A3114" s="6"/>
      <c r="B3114" s="6"/>
      <c r="C3114" s="6"/>
      <c r="D3114" s="6"/>
      <c r="E3114" s="6"/>
      <c r="F3114" s="6"/>
      <c r="G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O3114" s="6"/>
      <c r="AP3114" s="6"/>
      <c r="BH3114" s="6"/>
      <c r="BI3114" s="6"/>
      <c r="BJ3114" s="6"/>
      <c r="BK3114" s="6"/>
      <c r="BL3114" s="6"/>
      <c r="BM3114" s="6"/>
      <c r="BN3114" s="6"/>
      <c r="BO3114" s="6"/>
      <c r="BP3114" s="6"/>
      <c r="BQ3114" s="6"/>
      <c r="BR3114" s="6"/>
      <c r="BS3114" s="6"/>
      <c r="BT3114" s="6"/>
      <c r="BU3114" s="6"/>
      <c r="BV3114" s="6"/>
      <c r="BW3114" s="6"/>
      <c r="BX3114" s="6"/>
      <c r="BY3114" s="6"/>
      <c r="BZ3114" s="6"/>
    </row>
    <row r="3115" spans="1:78" ht="21.75" customHeight="1">
      <c r="A3115" s="6"/>
      <c r="B3115" s="6"/>
      <c r="C3115" s="6"/>
      <c r="D3115" s="6"/>
      <c r="E3115" s="6"/>
      <c r="F3115" s="6"/>
      <c r="G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O3115" s="6"/>
      <c r="AP3115" s="6"/>
      <c r="BH3115" s="6"/>
      <c r="BI3115" s="6"/>
      <c r="BJ3115" s="6"/>
      <c r="BK3115" s="6"/>
      <c r="BL3115" s="6"/>
      <c r="BM3115" s="6"/>
      <c r="BN3115" s="6"/>
      <c r="BO3115" s="6"/>
      <c r="BP3115" s="6"/>
      <c r="BQ3115" s="6"/>
      <c r="BR3115" s="6"/>
      <c r="BS3115" s="6"/>
      <c r="BT3115" s="6"/>
      <c r="BU3115" s="6"/>
      <c r="BV3115" s="6"/>
      <c r="BW3115" s="6"/>
      <c r="BX3115" s="6"/>
      <c r="BY3115" s="6"/>
      <c r="BZ3115" s="6"/>
    </row>
    <row r="3116" spans="1:78" ht="21.75" customHeight="1">
      <c r="A3116" s="6"/>
      <c r="B3116" s="6"/>
      <c r="C3116" s="6"/>
      <c r="D3116" s="6"/>
      <c r="E3116" s="6"/>
      <c r="F3116" s="6"/>
      <c r="G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O3116" s="6"/>
      <c r="AP3116" s="6"/>
      <c r="BH3116" s="6"/>
      <c r="BI3116" s="6"/>
      <c r="BJ3116" s="6"/>
      <c r="BK3116" s="6"/>
      <c r="BL3116" s="6"/>
      <c r="BM3116" s="6"/>
      <c r="BN3116" s="6"/>
      <c r="BO3116" s="6"/>
      <c r="BP3116" s="6"/>
      <c r="BQ3116" s="6"/>
      <c r="BR3116" s="6"/>
      <c r="BS3116" s="6"/>
      <c r="BT3116" s="6"/>
      <c r="BU3116" s="6"/>
      <c r="BV3116" s="6"/>
      <c r="BW3116" s="6"/>
      <c r="BX3116" s="6"/>
      <c r="BY3116" s="6"/>
      <c r="BZ3116" s="6"/>
    </row>
    <row r="3117" spans="1:78" s="450" customFormat="1" ht="21.75" customHeight="1"/>
    <row r="3118" spans="1:78" s="448" customFormat="1" ht="21.75" customHeight="1"/>
    <row r="3119" spans="1:78" s="448" customFormat="1" ht="21.75" customHeight="1"/>
    <row r="3120" spans="1:78" ht="21.75" customHeight="1">
      <c r="A3120" s="6"/>
      <c r="B3120" s="6"/>
      <c r="C3120" s="6"/>
      <c r="D3120" s="6"/>
      <c r="E3120" s="6"/>
      <c r="F3120" s="6"/>
      <c r="G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O3120" s="6"/>
      <c r="AP3120" s="6"/>
      <c r="BH3120" s="6"/>
      <c r="BI3120" s="6"/>
      <c r="BJ3120" s="6"/>
      <c r="BK3120" s="6"/>
      <c r="BL3120" s="6"/>
      <c r="BM3120" s="6"/>
      <c r="BN3120" s="6"/>
      <c r="BO3120" s="6"/>
      <c r="BP3120" s="6"/>
      <c r="BQ3120" s="6"/>
      <c r="BR3120" s="6"/>
      <c r="BS3120" s="6"/>
      <c r="BT3120" s="6"/>
      <c r="BU3120" s="6"/>
      <c r="BV3120" s="6"/>
      <c r="BW3120" s="6"/>
      <c r="BX3120" s="6"/>
      <c r="BY3120" s="6"/>
      <c r="BZ3120" s="6"/>
    </row>
    <row r="3121" spans="1:78" ht="21.75" customHeight="1">
      <c r="A3121" s="6"/>
      <c r="B3121" s="6"/>
      <c r="C3121" s="6"/>
      <c r="D3121" s="6"/>
      <c r="E3121" s="6"/>
      <c r="F3121" s="6"/>
      <c r="G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O3121" s="6"/>
      <c r="AP3121" s="6"/>
      <c r="BH3121" s="6"/>
      <c r="BI3121" s="6"/>
      <c r="BJ3121" s="6"/>
      <c r="BK3121" s="6"/>
      <c r="BL3121" s="6"/>
      <c r="BM3121" s="6"/>
      <c r="BN3121" s="6"/>
      <c r="BO3121" s="6"/>
      <c r="BP3121" s="6"/>
      <c r="BQ3121" s="6"/>
      <c r="BR3121" s="6"/>
      <c r="BS3121" s="6"/>
      <c r="BT3121" s="6"/>
      <c r="BU3121" s="6"/>
      <c r="BV3121" s="6"/>
      <c r="BW3121" s="6"/>
      <c r="BX3121" s="6"/>
      <c r="BY3121" s="6"/>
      <c r="BZ3121" s="6"/>
    </row>
    <row r="3122" spans="1:78" ht="21.75" customHeight="1">
      <c r="A3122" s="6"/>
      <c r="B3122" s="6"/>
      <c r="C3122" s="6"/>
      <c r="D3122" s="6"/>
      <c r="E3122" s="6"/>
      <c r="F3122" s="6"/>
      <c r="G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O3122" s="6"/>
      <c r="AP3122" s="6"/>
      <c r="BH3122" s="6"/>
      <c r="BI3122" s="6"/>
      <c r="BJ3122" s="6"/>
      <c r="BK3122" s="6"/>
      <c r="BL3122" s="6"/>
      <c r="BM3122" s="6"/>
      <c r="BN3122" s="6"/>
      <c r="BO3122" s="6"/>
      <c r="BP3122" s="6"/>
      <c r="BQ3122" s="6"/>
      <c r="BR3122" s="6"/>
      <c r="BS3122" s="6"/>
      <c r="BT3122" s="6"/>
      <c r="BU3122" s="6"/>
      <c r="BV3122" s="6"/>
      <c r="BW3122" s="6"/>
      <c r="BX3122" s="6"/>
      <c r="BY3122" s="6"/>
      <c r="BZ3122" s="6"/>
    </row>
    <row r="3123" spans="1:78" ht="21.75" customHeight="1">
      <c r="A3123" s="6"/>
      <c r="B3123" s="6"/>
      <c r="C3123" s="6"/>
      <c r="D3123" s="6"/>
      <c r="E3123" s="6"/>
      <c r="F3123" s="6"/>
      <c r="G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O3123" s="6"/>
      <c r="AP3123" s="6"/>
      <c r="BH3123" s="6"/>
      <c r="BI3123" s="6"/>
      <c r="BJ3123" s="6"/>
      <c r="BK3123" s="6"/>
      <c r="BL3123" s="6"/>
      <c r="BM3123" s="6"/>
      <c r="BN3123" s="6"/>
      <c r="BO3123" s="6"/>
      <c r="BP3123" s="6"/>
      <c r="BQ3123" s="6"/>
      <c r="BR3123" s="6"/>
      <c r="BS3123" s="6"/>
      <c r="BT3123" s="6"/>
      <c r="BU3123" s="6"/>
      <c r="BV3123" s="6"/>
      <c r="BW3123" s="6"/>
      <c r="BX3123" s="6"/>
      <c r="BY3123" s="6"/>
      <c r="BZ3123" s="6"/>
    </row>
    <row r="3124" spans="1:78" ht="21.75" customHeight="1">
      <c r="A3124" s="6"/>
      <c r="B3124" s="6"/>
      <c r="C3124" s="6"/>
      <c r="D3124" s="6"/>
      <c r="E3124" s="6"/>
      <c r="F3124" s="6"/>
      <c r="G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O3124" s="6"/>
      <c r="AP3124" s="6"/>
      <c r="BH3124" s="6"/>
      <c r="BI3124" s="6"/>
      <c r="BJ3124" s="6"/>
      <c r="BK3124" s="6"/>
      <c r="BL3124" s="6"/>
      <c r="BM3124" s="6"/>
      <c r="BN3124" s="6"/>
      <c r="BO3124" s="6"/>
      <c r="BP3124" s="6"/>
      <c r="BQ3124" s="6"/>
      <c r="BR3124" s="6"/>
      <c r="BS3124" s="6"/>
      <c r="BT3124" s="6"/>
      <c r="BU3124" s="6"/>
      <c r="BV3124" s="6"/>
      <c r="BW3124" s="6"/>
      <c r="BX3124" s="6"/>
      <c r="BY3124" s="6"/>
      <c r="BZ3124" s="6"/>
    </row>
    <row r="3125" spans="1:78" ht="21.75" customHeight="1">
      <c r="A3125" s="6"/>
      <c r="B3125" s="6"/>
      <c r="C3125" s="6"/>
      <c r="D3125" s="6"/>
      <c r="E3125" s="6"/>
      <c r="F3125" s="6"/>
      <c r="G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O3125" s="6"/>
      <c r="AP3125" s="6"/>
      <c r="BH3125" s="6"/>
      <c r="BI3125" s="6"/>
      <c r="BJ3125" s="6"/>
      <c r="BK3125" s="6"/>
      <c r="BL3125" s="6"/>
      <c r="BM3125" s="6"/>
      <c r="BN3125" s="6"/>
      <c r="BO3125" s="6"/>
      <c r="BP3125" s="6"/>
      <c r="BQ3125" s="6"/>
      <c r="BR3125" s="6"/>
      <c r="BS3125" s="6"/>
      <c r="BT3125" s="6"/>
      <c r="BU3125" s="6"/>
      <c r="BV3125" s="6"/>
      <c r="BW3125" s="6"/>
      <c r="BX3125" s="6"/>
      <c r="BY3125" s="6"/>
      <c r="BZ3125" s="6"/>
    </row>
    <row r="3126" spans="1:78" s="450" customFormat="1" ht="21.75" customHeight="1"/>
    <row r="3127" spans="1:78" s="448" customFormat="1" ht="21.75" customHeight="1"/>
    <row r="3128" spans="1:78" ht="21.75" customHeight="1">
      <c r="A3128" s="6"/>
      <c r="B3128" s="6"/>
      <c r="C3128" s="6"/>
      <c r="D3128" s="6"/>
      <c r="E3128" s="6"/>
      <c r="F3128" s="6"/>
      <c r="G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O3128" s="6"/>
      <c r="AP3128" s="6"/>
      <c r="BH3128" s="6"/>
      <c r="BI3128" s="6"/>
      <c r="BJ3128" s="6"/>
      <c r="BK3128" s="6"/>
      <c r="BL3128" s="6"/>
      <c r="BM3128" s="6"/>
      <c r="BN3128" s="6"/>
      <c r="BO3128" s="6"/>
      <c r="BP3128" s="6"/>
      <c r="BQ3128" s="6"/>
      <c r="BR3128" s="6"/>
      <c r="BS3128" s="6"/>
      <c r="BT3128" s="6"/>
      <c r="BU3128" s="6"/>
      <c r="BV3128" s="6"/>
      <c r="BW3128" s="6"/>
      <c r="BX3128" s="6"/>
      <c r="BY3128" s="6"/>
      <c r="BZ3128" s="6"/>
    </row>
    <row r="3129" spans="1:78" ht="21.75" customHeight="1">
      <c r="A3129" s="6"/>
      <c r="B3129" s="6"/>
      <c r="C3129" s="6"/>
      <c r="D3129" s="6"/>
      <c r="E3129" s="6"/>
      <c r="F3129" s="6"/>
      <c r="G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O3129" s="6"/>
      <c r="AP3129" s="6"/>
      <c r="BH3129" s="6"/>
      <c r="BI3129" s="6"/>
      <c r="BJ3129" s="6"/>
      <c r="BK3129" s="6"/>
      <c r="BL3129" s="6"/>
      <c r="BM3129" s="6"/>
      <c r="BN3129" s="6"/>
      <c r="BO3129" s="6"/>
      <c r="BP3129" s="6"/>
      <c r="BQ3129" s="6"/>
      <c r="BR3129" s="6"/>
      <c r="BS3129" s="6"/>
      <c r="BT3129" s="6"/>
      <c r="BU3129" s="6"/>
      <c r="BV3129" s="6"/>
      <c r="BW3129" s="6"/>
      <c r="BX3129" s="6"/>
      <c r="BY3129" s="6"/>
      <c r="BZ3129" s="6"/>
    </row>
    <row r="3130" spans="1:78" ht="21.75" customHeight="1">
      <c r="A3130" s="6"/>
      <c r="B3130" s="6"/>
      <c r="C3130" s="6"/>
      <c r="D3130" s="6"/>
      <c r="E3130" s="6"/>
      <c r="F3130" s="6"/>
      <c r="G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O3130" s="6"/>
      <c r="AP3130" s="6"/>
      <c r="BH3130" s="6"/>
      <c r="BI3130" s="6"/>
      <c r="BJ3130" s="6"/>
      <c r="BK3130" s="6"/>
      <c r="BL3130" s="6"/>
      <c r="BM3130" s="6"/>
      <c r="BN3130" s="6"/>
      <c r="BO3130" s="6"/>
      <c r="BP3130" s="6"/>
      <c r="BQ3130" s="6"/>
      <c r="BR3130" s="6"/>
      <c r="BS3130" s="6"/>
      <c r="BT3130" s="6"/>
      <c r="BU3130" s="6"/>
      <c r="BV3130" s="6"/>
      <c r="BW3130" s="6"/>
      <c r="BX3130" s="6"/>
      <c r="BY3130" s="6"/>
      <c r="BZ3130" s="6"/>
    </row>
    <row r="3131" spans="1:78" s="496" customFormat="1" ht="21.75" customHeight="1"/>
    <row r="3132" spans="1:78" ht="21.75" customHeight="1">
      <c r="A3132" s="6"/>
      <c r="B3132" s="6"/>
      <c r="C3132" s="6"/>
      <c r="D3132" s="6"/>
      <c r="E3132" s="6"/>
      <c r="F3132" s="6"/>
      <c r="G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O3132" s="6"/>
      <c r="AP3132" s="6"/>
      <c r="BH3132" s="6"/>
      <c r="BI3132" s="6"/>
      <c r="BJ3132" s="6"/>
      <c r="BK3132" s="6"/>
      <c r="BL3132" s="6"/>
      <c r="BM3132" s="6"/>
      <c r="BN3132" s="6"/>
      <c r="BO3132" s="6"/>
      <c r="BP3132" s="6"/>
      <c r="BQ3132" s="6"/>
      <c r="BR3132" s="6"/>
      <c r="BS3132" s="6"/>
      <c r="BT3132" s="6"/>
      <c r="BU3132" s="6"/>
      <c r="BV3132" s="6"/>
      <c r="BW3132" s="6"/>
      <c r="BX3132" s="6"/>
      <c r="BY3132" s="6"/>
      <c r="BZ3132" s="6"/>
    </row>
    <row r="3133" spans="1:78" ht="21.75" customHeight="1">
      <c r="A3133" s="6"/>
      <c r="B3133" s="6"/>
      <c r="C3133" s="6"/>
      <c r="D3133" s="6"/>
      <c r="E3133" s="6"/>
      <c r="F3133" s="6"/>
      <c r="G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O3133" s="6"/>
      <c r="AP3133" s="6"/>
      <c r="BH3133" s="6"/>
      <c r="BI3133" s="6"/>
      <c r="BJ3133" s="6"/>
      <c r="BK3133" s="6"/>
      <c r="BL3133" s="6"/>
      <c r="BM3133" s="6"/>
      <c r="BN3133" s="6"/>
      <c r="BO3133" s="6"/>
      <c r="BP3133" s="6"/>
      <c r="BQ3133" s="6"/>
      <c r="BR3133" s="6"/>
      <c r="BS3133" s="6"/>
      <c r="BT3133" s="6"/>
      <c r="BU3133" s="6"/>
      <c r="BV3133" s="6"/>
      <c r="BW3133" s="6"/>
      <c r="BX3133" s="6"/>
      <c r="BY3133" s="6"/>
      <c r="BZ3133" s="6"/>
    </row>
    <row r="3134" spans="1:78" ht="21.75" customHeight="1">
      <c r="A3134" s="6"/>
      <c r="B3134" s="6"/>
      <c r="C3134" s="6"/>
      <c r="D3134" s="6"/>
      <c r="E3134" s="6"/>
      <c r="F3134" s="6"/>
      <c r="G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O3134" s="6"/>
      <c r="AP3134" s="6"/>
      <c r="BH3134" s="6"/>
      <c r="BI3134" s="6"/>
      <c r="BJ3134" s="6"/>
      <c r="BK3134" s="6"/>
      <c r="BL3134" s="6"/>
      <c r="BM3134" s="6"/>
      <c r="BN3134" s="6"/>
      <c r="BO3134" s="6"/>
      <c r="BP3134" s="6"/>
      <c r="BQ3134" s="6"/>
      <c r="BR3134" s="6"/>
      <c r="BS3134" s="6"/>
      <c r="BT3134" s="6"/>
      <c r="BU3134" s="6"/>
      <c r="BV3134" s="6"/>
      <c r="BW3134" s="6"/>
      <c r="BX3134" s="6"/>
      <c r="BY3134" s="6"/>
      <c r="BZ3134" s="6"/>
    </row>
    <row r="3135" spans="1:78" ht="21.75" customHeight="1">
      <c r="A3135" s="6"/>
      <c r="B3135" s="6"/>
      <c r="C3135" s="6"/>
      <c r="D3135" s="6"/>
      <c r="E3135" s="6"/>
      <c r="F3135" s="6"/>
      <c r="G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O3135" s="6"/>
      <c r="AP3135" s="6"/>
      <c r="BH3135" s="6"/>
      <c r="BI3135" s="6"/>
      <c r="BJ3135" s="6"/>
      <c r="BK3135" s="6"/>
      <c r="BL3135" s="6"/>
      <c r="BM3135" s="6"/>
      <c r="BN3135" s="6"/>
      <c r="BO3135" s="6"/>
      <c r="BP3135" s="6"/>
      <c r="BQ3135" s="6"/>
      <c r="BR3135" s="6"/>
      <c r="BS3135" s="6"/>
      <c r="BT3135" s="6"/>
      <c r="BU3135" s="6"/>
      <c r="BV3135" s="6"/>
      <c r="BW3135" s="6"/>
      <c r="BX3135" s="6"/>
      <c r="BY3135" s="6"/>
      <c r="BZ3135" s="6"/>
    </row>
    <row r="3136" spans="1:78" ht="21.75" customHeight="1">
      <c r="A3136" s="6"/>
      <c r="B3136" s="6"/>
      <c r="C3136" s="6"/>
      <c r="D3136" s="6"/>
      <c r="E3136" s="6"/>
      <c r="F3136" s="6"/>
      <c r="G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O3136" s="6"/>
      <c r="AP3136" s="6"/>
      <c r="BH3136" s="6"/>
      <c r="BI3136" s="6"/>
      <c r="BJ3136" s="6"/>
      <c r="BK3136" s="6"/>
      <c r="BL3136" s="6"/>
      <c r="BM3136" s="6"/>
      <c r="BN3136" s="6"/>
      <c r="BO3136" s="6"/>
      <c r="BP3136" s="6"/>
      <c r="BQ3136" s="6"/>
      <c r="BR3136" s="6"/>
      <c r="BS3136" s="6"/>
      <c r="BT3136" s="6"/>
      <c r="BU3136" s="6"/>
      <c r="BV3136" s="6"/>
      <c r="BW3136" s="6"/>
      <c r="BX3136" s="6"/>
      <c r="BY3136" s="6"/>
      <c r="BZ3136" s="6"/>
    </row>
    <row r="3137" spans="1:78" ht="21.75" customHeight="1">
      <c r="A3137" s="6"/>
      <c r="B3137" s="6"/>
      <c r="C3137" s="6"/>
      <c r="D3137" s="6"/>
      <c r="E3137" s="6"/>
      <c r="F3137" s="6"/>
      <c r="G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O3137" s="6"/>
      <c r="AP3137" s="6"/>
      <c r="BH3137" s="6"/>
      <c r="BI3137" s="6"/>
      <c r="BJ3137" s="6"/>
      <c r="BK3137" s="6"/>
      <c r="BL3137" s="6"/>
      <c r="BM3137" s="6"/>
      <c r="BN3137" s="6"/>
      <c r="BO3137" s="6"/>
      <c r="BP3137" s="6"/>
      <c r="BQ3137" s="6"/>
      <c r="BR3137" s="6"/>
      <c r="BS3137" s="6"/>
      <c r="BT3137" s="6"/>
      <c r="BU3137" s="6"/>
      <c r="BV3137" s="6"/>
      <c r="BW3137" s="6"/>
      <c r="BX3137" s="6"/>
      <c r="BY3137" s="6"/>
      <c r="BZ3137" s="6"/>
    </row>
    <row r="3138" spans="1:78" ht="21.75" customHeight="1">
      <c r="A3138" s="6"/>
      <c r="B3138" s="6"/>
      <c r="C3138" s="6"/>
      <c r="D3138" s="6"/>
      <c r="E3138" s="6"/>
      <c r="F3138" s="6"/>
      <c r="G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O3138" s="6"/>
      <c r="AP3138" s="6"/>
      <c r="BH3138" s="6"/>
      <c r="BI3138" s="6"/>
      <c r="BJ3138" s="6"/>
      <c r="BK3138" s="6"/>
      <c r="BL3138" s="6"/>
      <c r="BM3138" s="6"/>
      <c r="BN3138" s="6"/>
      <c r="BO3138" s="6"/>
      <c r="BP3138" s="6"/>
      <c r="BQ3138" s="6"/>
      <c r="BR3138" s="6"/>
      <c r="BS3138" s="6"/>
      <c r="BT3138" s="6"/>
      <c r="BU3138" s="6"/>
      <c r="BV3138" s="6"/>
      <c r="BW3138" s="6"/>
      <c r="BX3138" s="6"/>
      <c r="BY3138" s="6"/>
      <c r="BZ3138" s="6"/>
    </row>
    <row r="3139" spans="1:78" ht="21.75" customHeight="1">
      <c r="A3139" s="6"/>
      <c r="B3139" s="6"/>
      <c r="C3139" s="6"/>
      <c r="D3139" s="6"/>
      <c r="E3139" s="6"/>
      <c r="F3139" s="6"/>
      <c r="G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O3139" s="6"/>
      <c r="AP3139" s="6"/>
      <c r="BH3139" s="6"/>
      <c r="BI3139" s="6"/>
      <c r="BJ3139" s="6"/>
      <c r="BK3139" s="6"/>
      <c r="BL3139" s="6"/>
      <c r="BM3139" s="6"/>
      <c r="BN3139" s="6"/>
      <c r="BO3139" s="6"/>
      <c r="BP3139" s="6"/>
      <c r="BQ3139" s="6"/>
      <c r="BR3139" s="6"/>
      <c r="BS3139" s="6"/>
      <c r="BT3139" s="6"/>
      <c r="BU3139" s="6"/>
      <c r="BV3139" s="6"/>
      <c r="BW3139" s="6"/>
      <c r="BX3139" s="6"/>
      <c r="BY3139" s="6"/>
      <c r="BZ3139" s="6"/>
    </row>
    <row r="3140" spans="1:78" ht="21.75" customHeight="1">
      <c r="A3140" s="6"/>
      <c r="B3140" s="6"/>
      <c r="C3140" s="6"/>
      <c r="D3140" s="6"/>
      <c r="E3140" s="6"/>
      <c r="F3140" s="6"/>
      <c r="G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O3140" s="6"/>
      <c r="AP3140" s="6"/>
      <c r="BH3140" s="6"/>
      <c r="BI3140" s="6"/>
      <c r="BJ3140" s="6"/>
      <c r="BK3140" s="6"/>
      <c r="BL3140" s="6"/>
      <c r="BM3140" s="6"/>
      <c r="BN3140" s="6"/>
      <c r="BO3140" s="6"/>
      <c r="BP3140" s="6"/>
      <c r="BQ3140" s="6"/>
      <c r="BR3140" s="6"/>
      <c r="BS3140" s="6"/>
      <c r="BT3140" s="6"/>
      <c r="BU3140" s="6"/>
      <c r="BV3140" s="6"/>
      <c r="BW3140" s="6"/>
      <c r="BX3140" s="6"/>
      <c r="BY3140" s="6"/>
      <c r="BZ3140" s="6"/>
    </row>
    <row r="3141" spans="1:78" ht="21.75" customHeight="1">
      <c r="A3141" s="6"/>
      <c r="B3141" s="6"/>
      <c r="C3141" s="6"/>
      <c r="D3141" s="6"/>
      <c r="E3141" s="6"/>
      <c r="F3141" s="6"/>
      <c r="G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O3141" s="6"/>
      <c r="AP3141" s="6"/>
      <c r="BH3141" s="6"/>
      <c r="BI3141" s="6"/>
      <c r="BJ3141" s="6"/>
      <c r="BK3141" s="6"/>
      <c r="BL3141" s="6"/>
      <c r="BM3141" s="6"/>
      <c r="BN3141" s="6"/>
      <c r="BO3141" s="6"/>
      <c r="BP3141" s="6"/>
      <c r="BQ3141" s="6"/>
      <c r="BR3141" s="6"/>
      <c r="BS3141" s="6"/>
      <c r="BT3141" s="6"/>
      <c r="BU3141" s="6"/>
      <c r="BV3141" s="6"/>
      <c r="BW3141" s="6"/>
      <c r="BX3141" s="6"/>
      <c r="BY3141" s="6"/>
      <c r="BZ3141" s="6"/>
    </row>
    <row r="3142" spans="1:78" ht="21.75" customHeight="1">
      <c r="A3142" s="6"/>
      <c r="B3142" s="6"/>
      <c r="C3142" s="6"/>
      <c r="D3142" s="6"/>
      <c r="E3142" s="6"/>
      <c r="F3142" s="6"/>
      <c r="G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O3142" s="6"/>
      <c r="AP3142" s="6"/>
      <c r="BH3142" s="6"/>
      <c r="BI3142" s="6"/>
      <c r="BJ3142" s="6"/>
      <c r="BK3142" s="6"/>
      <c r="BL3142" s="6"/>
      <c r="BM3142" s="6"/>
      <c r="BN3142" s="6"/>
      <c r="BO3142" s="6"/>
      <c r="BP3142" s="6"/>
      <c r="BQ3142" s="6"/>
      <c r="BR3142" s="6"/>
      <c r="BS3142" s="6"/>
      <c r="BT3142" s="6"/>
      <c r="BU3142" s="6"/>
      <c r="BV3142" s="6"/>
      <c r="BW3142" s="6"/>
      <c r="BX3142" s="6"/>
      <c r="BY3142" s="6"/>
      <c r="BZ3142" s="6"/>
    </row>
    <row r="3143" spans="1:78" ht="21.75" customHeight="1">
      <c r="A3143" s="6"/>
      <c r="B3143" s="6"/>
      <c r="C3143" s="6"/>
      <c r="D3143" s="6"/>
      <c r="E3143" s="6"/>
      <c r="F3143" s="6"/>
      <c r="G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O3143" s="6"/>
      <c r="AP3143" s="6"/>
      <c r="BH3143" s="6"/>
      <c r="BI3143" s="6"/>
      <c r="BJ3143" s="6"/>
      <c r="BK3143" s="6"/>
      <c r="BL3143" s="6"/>
      <c r="BM3143" s="6"/>
      <c r="BN3143" s="6"/>
      <c r="BO3143" s="6"/>
      <c r="BP3143" s="6"/>
      <c r="BQ3143" s="6"/>
      <c r="BR3143" s="6"/>
      <c r="BS3143" s="6"/>
      <c r="BT3143" s="6"/>
      <c r="BU3143" s="6"/>
      <c r="BV3143" s="6"/>
      <c r="BW3143" s="6"/>
      <c r="BX3143" s="6"/>
      <c r="BY3143" s="6"/>
      <c r="BZ3143" s="6"/>
    </row>
    <row r="3144" spans="1:78" s="454" customFormat="1" ht="21.75" customHeight="1"/>
    <row r="3145" spans="1:78" s="454" customFormat="1" ht="21.75" customHeight="1"/>
    <row r="3146" spans="1:78" s="450" customFormat="1" ht="21.75" customHeight="1"/>
    <row r="3147" spans="1:78" ht="21.75" customHeight="1">
      <c r="A3147" s="6"/>
      <c r="B3147" s="6"/>
      <c r="C3147" s="6"/>
      <c r="D3147" s="6"/>
      <c r="E3147" s="6"/>
      <c r="F3147" s="6"/>
      <c r="G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O3147" s="6"/>
      <c r="AP3147" s="6"/>
      <c r="BH3147" s="6"/>
      <c r="BI3147" s="6"/>
      <c r="BJ3147" s="6"/>
      <c r="BK3147" s="6"/>
      <c r="BL3147" s="6"/>
      <c r="BM3147" s="6"/>
      <c r="BN3147" s="6"/>
      <c r="BO3147" s="6"/>
      <c r="BP3147" s="6"/>
      <c r="BQ3147" s="6"/>
      <c r="BR3147" s="6"/>
      <c r="BS3147" s="6"/>
      <c r="BT3147" s="6"/>
      <c r="BU3147" s="6"/>
      <c r="BV3147" s="6"/>
      <c r="BW3147" s="6"/>
      <c r="BX3147" s="6"/>
      <c r="BY3147" s="6"/>
      <c r="BZ3147" s="6"/>
    </row>
    <row r="3148" spans="1:78" ht="21.75" customHeight="1">
      <c r="A3148" s="6"/>
      <c r="B3148" s="6"/>
      <c r="C3148" s="6"/>
      <c r="D3148" s="6"/>
      <c r="E3148" s="6"/>
      <c r="F3148" s="6"/>
      <c r="G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O3148" s="6"/>
      <c r="AP3148" s="6"/>
      <c r="BH3148" s="6"/>
      <c r="BI3148" s="6"/>
      <c r="BJ3148" s="6"/>
      <c r="BK3148" s="6"/>
      <c r="BL3148" s="6"/>
      <c r="BM3148" s="6"/>
      <c r="BN3148" s="6"/>
      <c r="BO3148" s="6"/>
      <c r="BP3148" s="6"/>
      <c r="BQ3148" s="6"/>
      <c r="BR3148" s="6"/>
      <c r="BS3148" s="6"/>
      <c r="BT3148" s="6"/>
      <c r="BU3148" s="6"/>
      <c r="BV3148" s="6"/>
      <c r="BW3148" s="6"/>
      <c r="BX3148" s="6"/>
      <c r="BY3148" s="6"/>
      <c r="BZ3148" s="6"/>
    </row>
    <row r="3149" spans="1:78" s="450" customFormat="1" ht="21.75" customHeight="1"/>
    <row r="3150" spans="1:78" s="448" customFormat="1" ht="21.75" customHeight="1"/>
    <row r="3151" spans="1:78" ht="21.75" customHeight="1">
      <c r="A3151" s="6"/>
      <c r="B3151" s="6"/>
      <c r="C3151" s="6"/>
      <c r="D3151" s="6"/>
      <c r="E3151" s="6"/>
      <c r="F3151" s="6"/>
      <c r="G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O3151" s="6"/>
      <c r="AP3151" s="6"/>
      <c r="BH3151" s="6"/>
      <c r="BI3151" s="6"/>
      <c r="BJ3151" s="6"/>
      <c r="BK3151" s="6"/>
      <c r="BL3151" s="6"/>
      <c r="BM3151" s="6"/>
      <c r="BN3151" s="6"/>
      <c r="BO3151" s="6"/>
      <c r="BP3151" s="6"/>
      <c r="BQ3151" s="6"/>
      <c r="BR3151" s="6"/>
      <c r="BS3151" s="6"/>
      <c r="BT3151" s="6"/>
      <c r="BU3151" s="6"/>
      <c r="BV3151" s="6"/>
      <c r="BW3151" s="6"/>
      <c r="BX3151" s="6"/>
      <c r="BY3151" s="6"/>
      <c r="BZ3151" s="6"/>
    </row>
    <row r="3152" spans="1:78" ht="21.75" customHeight="1">
      <c r="A3152" s="6"/>
      <c r="B3152" s="6"/>
      <c r="C3152" s="6"/>
      <c r="D3152" s="6"/>
      <c r="E3152" s="6"/>
      <c r="F3152" s="6"/>
      <c r="G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O3152" s="6"/>
      <c r="AP3152" s="6"/>
      <c r="BH3152" s="6"/>
      <c r="BI3152" s="6"/>
      <c r="BJ3152" s="6"/>
      <c r="BK3152" s="6"/>
      <c r="BL3152" s="6"/>
      <c r="BM3152" s="6"/>
      <c r="BN3152" s="6"/>
      <c r="BO3152" s="6"/>
      <c r="BP3152" s="6"/>
      <c r="BQ3152" s="6"/>
      <c r="BR3152" s="6"/>
      <c r="BS3152" s="6"/>
      <c r="BT3152" s="6"/>
      <c r="BU3152" s="6"/>
      <c r="BV3152" s="6"/>
      <c r="BW3152" s="6"/>
      <c r="BX3152" s="6"/>
      <c r="BY3152" s="6"/>
      <c r="BZ3152" s="6"/>
    </row>
    <row r="3153" spans="1:78" ht="21.75" customHeight="1">
      <c r="A3153" s="6"/>
      <c r="B3153" s="6"/>
      <c r="C3153" s="6"/>
      <c r="D3153" s="6"/>
      <c r="E3153" s="6"/>
      <c r="F3153" s="6"/>
      <c r="G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O3153" s="6"/>
      <c r="AP3153" s="6"/>
      <c r="BH3153" s="6"/>
      <c r="BI3153" s="6"/>
      <c r="BJ3153" s="6"/>
      <c r="BK3153" s="6"/>
      <c r="BL3153" s="6"/>
      <c r="BM3153" s="6"/>
      <c r="BN3153" s="6"/>
      <c r="BO3153" s="6"/>
      <c r="BP3153" s="6"/>
      <c r="BQ3153" s="6"/>
      <c r="BR3153" s="6"/>
      <c r="BS3153" s="6"/>
      <c r="BT3153" s="6"/>
      <c r="BU3153" s="6"/>
      <c r="BV3153" s="6"/>
      <c r="BW3153" s="6"/>
      <c r="BX3153" s="6"/>
      <c r="BY3153" s="6"/>
      <c r="BZ3153" s="6"/>
    </row>
    <row r="3154" spans="1:78" ht="21.75" customHeight="1">
      <c r="A3154" s="6"/>
      <c r="B3154" s="6"/>
      <c r="C3154" s="6"/>
      <c r="D3154" s="6"/>
      <c r="E3154" s="6"/>
      <c r="F3154" s="6"/>
      <c r="G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O3154" s="6"/>
      <c r="AP3154" s="6"/>
      <c r="BH3154" s="6"/>
      <c r="BI3154" s="6"/>
      <c r="BJ3154" s="6"/>
      <c r="BK3154" s="6"/>
      <c r="BL3154" s="6"/>
      <c r="BM3154" s="6"/>
      <c r="BN3154" s="6"/>
      <c r="BO3154" s="6"/>
      <c r="BP3154" s="6"/>
      <c r="BQ3154" s="6"/>
      <c r="BR3154" s="6"/>
      <c r="BS3154" s="6"/>
      <c r="BT3154" s="6"/>
      <c r="BU3154" s="6"/>
      <c r="BV3154" s="6"/>
      <c r="BW3154" s="6"/>
      <c r="BX3154" s="6"/>
      <c r="BY3154" s="6"/>
      <c r="BZ3154" s="6"/>
    </row>
    <row r="3155" spans="1:78" ht="21.75" customHeight="1">
      <c r="A3155" s="6"/>
      <c r="B3155" s="6"/>
      <c r="C3155" s="6"/>
      <c r="D3155" s="6"/>
      <c r="E3155" s="6"/>
      <c r="F3155" s="6"/>
      <c r="G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O3155" s="6"/>
      <c r="AP3155" s="6"/>
      <c r="BH3155" s="6"/>
      <c r="BI3155" s="6"/>
      <c r="BJ3155" s="6"/>
      <c r="BK3155" s="6"/>
      <c r="BL3155" s="6"/>
      <c r="BM3155" s="6"/>
      <c r="BN3155" s="6"/>
      <c r="BO3155" s="6"/>
      <c r="BP3155" s="6"/>
      <c r="BQ3155" s="6"/>
      <c r="BR3155" s="6"/>
      <c r="BS3155" s="6"/>
      <c r="BT3155" s="6"/>
      <c r="BU3155" s="6"/>
      <c r="BV3155" s="6"/>
      <c r="BW3155" s="6"/>
      <c r="BX3155" s="6"/>
      <c r="BY3155" s="6"/>
      <c r="BZ3155" s="6"/>
    </row>
    <row r="3156" spans="1:78" s="588" customFormat="1" ht="21.75" customHeight="1"/>
    <row r="3157" spans="1:78" s="454" customFormat="1" ht="21.75" customHeight="1"/>
    <row r="3158" spans="1:78" s="454" customFormat="1" ht="21.75" customHeight="1"/>
    <row r="3159" spans="1:78" s="454" customFormat="1" ht="21.75" customHeight="1"/>
    <row r="3160" spans="1:78" s="454" customFormat="1" ht="21.75" customHeight="1"/>
    <row r="3161" spans="1:78" s="454" customFormat="1" ht="21.75" customHeight="1"/>
    <row r="3162" spans="1:78" s="454" customFormat="1" ht="21.75" customHeight="1"/>
    <row r="3163" spans="1:78" s="454" customFormat="1" ht="21.75" customHeight="1"/>
    <row r="3164" spans="1:78" s="454" customFormat="1" ht="21.75" customHeight="1"/>
    <row r="3165" spans="1:78" s="454" customFormat="1" ht="21.75" customHeight="1"/>
    <row r="3166" spans="1:78" s="454" customFormat="1" ht="21.75" customHeight="1"/>
    <row r="3167" spans="1:78" s="450" customFormat="1" ht="21.75" customHeight="1"/>
    <row r="3168" spans="1:78" s="448" customFormat="1" ht="21.75" customHeight="1"/>
    <row r="3169" spans="1:78" s="448" customFormat="1" ht="21.75" customHeight="1"/>
    <row r="3170" spans="1:78" ht="21.75" customHeight="1">
      <c r="A3170" s="6"/>
      <c r="B3170" s="6"/>
      <c r="C3170" s="6"/>
      <c r="D3170" s="6"/>
      <c r="E3170" s="6"/>
      <c r="F3170" s="6"/>
      <c r="G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O3170" s="6"/>
      <c r="AP3170" s="6"/>
      <c r="BH3170" s="6"/>
      <c r="BI3170" s="6"/>
      <c r="BJ3170" s="6"/>
      <c r="BK3170" s="6"/>
      <c r="BL3170" s="6"/>
      <c r="BM3170" s="6"/>
      <c r="BN3170" s="6"/>
      <c r="BO3170" s="6"/>
      <c r="BP3170" s="6"/>
      <c r="BQ3170" s="6"/>
      <c r="BR3170" s="6"/>
      <c r="BS3170" s="6"/>
      <c r="BT3170" s="6"/>
      <c r="BU3170" s="6"/>
      <c r="BV3170" s="6"/>
      <c r="BW3170" s="6"/>
      <c r="BX3170" s="6"/>
      <c r="BY3170" s="6"/>
      <c r="BZ3170" s="6"/>
    </row>
    <row r="3171" spans="1:78" ht="21.75" customHeight="1">
      <c r="A3171" s="6"/>
      <c r="B3171" s="6"/>
      <c r="C3171" s="6"/>
      <c r="D3171" s="6"/>
      <c r="E3171" s="6"/>
      <c r="F3171" s="6"/>
      <c r="G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O3171" s="6"/>
      <c r="AP3171" s="6"/>
      <c r="BH3171" s="6"/>
      <c r="BI3171" s="6"/>
      <c r="BJ3171" s="6"/>
      <c r="BK3171" s="6"/>
      <c r="BL3171" s="6"/>
      <c r="BM3171" s="6"/>
      <c r="BN3171" s="6"/>
      <c r="BO3171" s="6"/>
      <c r="BP3171" s="6"/>
      <c r="BQ3171" s="6"/>
      <c r="BR3171" s="6"/>
      <c r="BS3171" s="6"/>
      <c r="BT3171" s="6"/>
      <c r="BU3171" s="6"/>
      <c r="BV3171" s="6"/>
      <c r="BW3171" s="6"/>
      <c r="BX3171" s="6"/>
      <c r="BY3171" s="6"/>
      <c r="BZ3171" s="6"/>
    </row>
    <row r="3172" spans="1:78" ht="21.75" customHeight="1">
      <c r="A3172" s="6"/>
      <c r="B3172" s="6"/>
      <c r="C3172" s="6"/>
      <c r="D3172" s="6"/>
      <c r="E3172" s="6"/>
      <c r="F3172" s="6"/>
      <c r="G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O3172" s="6"/>
      <c r="AP3172" s="6"/>
      <c r="BH3172" s="6"/>
      <c r="BI3172" s="6"/>
      <c r="BJ3172" s="6"/>
      <c r="BK3172" s="6"/>
      <c r="BL3172" s="6"/>
      <c r="BM3172" s="6"/>
      <c r="BN3172" s="6"/>
      <c r="BO3172" s="6"/>
      <c r="BP3172" s="6"/>
      <c r="BQ3172" s="6"/>
      <c r="BR3172" s="6"/>
      <c r="BS3172" s="6"/>
      <c r="BT3172" s="6"/>
      <c r="BU3172" s="6"/>
      <c r="BV3172" s="6"/>
      <c r="BW3172" s="6"/>
      <c r="BX3172" s="6"/>
      <c r="BY3172" s="6"/>
      <c r="BZ3172" s="6"/>
    </row>
    <row r="3173" spans="1:78" ht="21.75" customHeight="1">
      <c r="A3173" s="6"/>
      <c r="B3173" s="6"/>
      <c r="C3173" s="6"/>
      <c r="D3173" s="6"/>
      <c r="E3173" s="6"/>
      <c r="F3173" s="6"/>
      <c r="G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O3173" s="6"/>
      <c r="AP3173" s="6"/>
      <c r="BH3173" s="6"/>
      <c r="BI3173" s="6"/>
      <c r="BJ3173" s="6"/>
      <c r="BK3173" s="6"/>
      <c r="BL3173" s="6"/>
      <c r="BM3173" s="6"/>
      <c r="BN3173" s="6"/>
      <c r="BO3173" s="6"/>
      <c r="BP3173" s="6"/>
      <c r="BQ3173" s="6"/>
      <c r="BR3173" s="6"/>
      <c r="BS3173" s="6"/>
      <c r="BT3173" s="6"/>
      <c r="BU3173" s="6"/>
      <c r="BV3173" s="6"/>
      <c r="BW3173" s="6"/>
      <c r="BX3173" s="6"/>
      <c r="BY3173" s="6"/>
      <c r="BZ3173" s="6"/>
    </row>
    <row r="3174" spans="1:78" s="472" customFormat="1" ht="21.75" customHeight="1"/>
    <row r="3175" spans="1:78" ht="21.75" customHeight="1">
      <c r="A3175" s="6"/>
      <c r="B3175" s="6"/>
      <c r="C3175" s="6"/>
      <c r="D3175" s="6"/>
      <c r="E3175" s="6"/>
      <c r="F3175" s="6"/>
      <c r="G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O3175" s="6"/>
      <c r="AP3175" s="6"/>
      <c r="BH3175" s="6"/>
      <c r="BI3175" s="6"/>
      <c r="BJ3175" s="6"/>
      <c r="BK3175" s="6"/>
      <c r="BL3175" s="6"/>
      <c r="BM3175" s="6"/>
      <c r="BN3175" s="6"/>
      <c r="BO3175" s="6"/>
      <c r="BP3175" s="6"/>
      <c r="BQ3175" s="6"/>
      <c r="BR3175" s="6"/>
      <c r="BS3175" s="6"/>
      <c r="BT3175" s="6"/>
      <c r="BU3175" s="6"/>
      <c r="BV3175" s="6"/>
      <c r="BW3175" s="6"/>
      <c r="BX3175" s="6"/>
      <c r="BY3175" s="6"/>
      <c r="BZ3175" s="6"/>
    </row>
    <row r="3176" spans="1:78" ht="21.75" customHeight="1">
      <c r="A3176" s="6"/>
      <c r="B3176" s="6"/>
      <c r="C3176" s="6"/>
      <c r="D3176" s="6"/>
      <c r="E3176" s="6"/>
      <c r="F3176" s="6"/>
      <c r="G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O3176" s="6"/>
      <c r="AP3176" s="6"/>
      <c r="BH3176" s="6"/>
      <c r="BI3176" s="6"/>
      <c r="BJ3176" s="6"/>
      <c r="BK3176" s="6"/>
      <c r="BL3176" s="6"/>
      <c r="BM3176" s="6"/>
      <c r="BN3176" s="6"/>
      <c r="BO3176" s="6"/>
      <c r="BP3176" s="6"/>
      <c r="BQ3176" s="6"/>
      <c r="BR3176" s="6"/>
      <c r="BS3176" s="6"/>
      <c r="BT3176" s="6"/>
      <c r="BU3176" s="6"/>
      <c r="BV3176" s="6"/>
      <c r="BW3176" s="6"/>
      <c r="BX3176" s="6"/>
      <c r="BY3176" s="6"/>
      <c r="BZ3176" s="6"/>
    </row>
    <row r="3177" spans="1:78" ht="21.75" customHeight="1">
      <c r="A3177" s="6"/>
      <c r="B3177" s="6"/>
      <c r="C3177" s="6"/>
      <c r="D3177" s="6"/>
      <c r="E3177" s="6"/>
      <c r="F3177" s="6"/>
      <c r="G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O3177" s="6"/>
      <c r="AP3177" s="6"/>
      <c r="BH3177" s="6"/>
      <c r="BI3177" s="6"/>
      <c r="BJ3177" s="6"/>
      <c r="BK3177" s="6"/>
      <c r="BL3177" s="6"/>
      <c r="BM3177" s="6"/>
      <c r="BN3177" s="6"/>
      <c r="BO3177" s="6"/>
      <c r="BP3177" s="6"/>
      <c r="BQ3177" s="6"/>
      <c r="BR3177" s="6"/>
      <c r="BS3177" s="6"/>
      <c r="BT3177" s="6"/>
      <c r="BU3177" s="6"/>
      <c r="BV3177" s="6"/>
      <c r="BW3177" s="6"/>
      <c r="BX3177" s="6"/>
      <c r="BY3177" s="6"/>
      <c r="BZ3177" s="6"/>
    </row>
    <row r="3178" spans="1:78" ht="21.75" customHeight="1">
      <c r="A3178" s="6"/>
      <c r="B3178" s="6"/>
      <c r="C3178" s="6"/>
      <c r="D3178" s="6"/>
      <c r="E3178" s="6"/>
      <c r="F3178" s="6"/>
      <c r="G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O3178" s="6"/>
      <c r="AP3178" s="6"/>
      <c r="BH3178" s="6"/>
      <c r="BI3178" s="6"/>
      <c r="BJ3178" s="6"/>
      <c r="BK3178" s="6"/>
      <c r="BL3178" s="6"/>
      <c r="BM3178" s="6"/>
      <c r="BN3178" s="6"/>
      <c r="BO3178" s="6"/>
      <c r="BP3178" s="6"/>
      <c r="BQ3178" s="6"/>
      <c r="BR3178" s="6"/>
      <c r="BS3178" s="6"/>
      <c r="BT3178" s="6"/>
      <c r="BU3178" s="6"/>
      <c r="BV3178" s="6"/>
      <c r="BW3178" s="6"/>
      <c r="BX3178" s="6"/>
      <c r="BY3178" s="6"/>
      <c r="BZ3178" s="6"/>
    </row>
    <row r="3179" spans="1:78" ht="21.75" customHeight="1">
      <c r="A3179" s="6"/>
      <c r="B3179" s="6"/>
      <c r="C3179" s="6"/>
      <c r="D3179" s="6"/>
      <c r="E3179" s="6"/>
      <c r="F3179" s="6"/>
      <c r="G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O3179" s="6"/>
      <c r="AP3179" s="6"/>
      <c r="BH3179" s="6"/>
      <c r="BI3179" s="6"/>
      <c r="BJ3179" s="6"/>
      <c r="BK3179" s="6"/>
      <c r="BL3179" s="6"/>
      <c r="BM3179" s="6"/>
      <c r="BN3179" s="6"/>
      <c r="BO3179" s="6"/>
      <c r="BP3179" s="6"/>
      <c r="BQ3179" s="6"/>
      <c r="BR3179" s="6"/>
      <c r="BS3179" s="6"/>
      <c r="BT3179" s="6"/>
      <c r="BU3179" s="6"/>
      <c r="BV3179" s="6"/>
      <c r="BW3179" s="6"/>
      <c r="BX3179" s="6"/>
      <c r="BY3179" s="6"/>
      <c r="BZ3179" s="6"/>
    </row>
    <row r="3180" spans="1:78" ht="21.75" customHeight="1">
      <c r="A3180" s="6"/>
      <c r="B3180" s="6"/>
      <c r="C3180" s="6"/>
      <c r="D3180" s="6"/>
      <c r="E3180" s="6"/>
      <c r="F3180" s="6"/>
      <c r="G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O3180" s="6"/>
      <c r="AP3180" s="6"/>
      <c r="BH3180" s="6"/>
      <c r="BI3180" s="6"/>
      <c r="BJ3180" s="6"/>
      <c r="BK3180" s="6"/>
      <c r="BL3180" s="6"/>
      <c r="BM3180" s="6"/>
      <c r="BN3180" s="6"/>
      <c r="BO3180" s="6"/>
      <c r="BP3180" s="6"/>
      <c r="BQ3180" s="6"/>
      <c r="BR3180" s="6"/>
      <c r="BS3180" s="6"/>
      <c r="BT3180" s="6"/>
      <c r="BU3180" s="6"/>
      <c r="BV3180" s="6"/>
      <c r="BW3180" s="6"/>
      <c r="BX3180" s="6"/>
      <c r="BY3180" s="6"/>
      <c r="BZ3180" s="6"/>
    </row>
    <row r="3181" spans="1:78" ht="21.75" customHeight="1">
      <c r="A3181" s="6"/>
      <c r="B3181" s="6"/>
      <c r="C3181" s="6"/>
      <c r="D3181" s="6"/>
      <c r="E3181" s="6"/>
      <c r="F3181" s="6"/>
      <c r="G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O3181" s="6"/>
      <c r="AP3181" s="6"/>
      <c r="BH3181" s="6"/>
      <c r="BI3181" s="6"/>
      <c r="BJ3181" s="6"/>
      <c r="BK3181" s="6"/>
      <c r="BL3181" s="6"/>
      <c r="BM3181" s="6"/>
      <c r="BN3181" s="6"/>
      <c r="BO3181" s="6"/>
      <c r="BP3181" s="6"/>
      <c r="BQ3181" s="6"/>
      <c r="BR3181" s="6"/>
      <c r="BS3181" s="6"/>
      <c r="BT3181" s="6"/>
      <c r="BU3181" s="6"/>
      <c r="BV3181" s="6"/>
      <c r="BW3181" s="6"/>
      <c r="BX3181" s="6"/>
      <c r="BY3181" s="6"/>
      <c r="BZ3181" s="6"/>
    </row>
    <row r="3182" spans="1:78" ht="21.75" customHeight="1">
      <c r="A3182" s="6"/>
      <c r="B3182" s="6"/>
      <c r="C3182" s="6"/>
      <c r="D3182" s="6"/>
      <c r="E3182" s="6"/>
      <c r="F3182" s="6"/>
      <c r="G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O3182" s="6"/>
      <c r="AP3182" s="6"/>
      <c r="BH3182" s="6"/>
      <c r="BI3182" s="6"/>
      <c r="BJ3182" s="6"/>
      <c r="BK3182" s="6"/>
      <c r="BL3182" s="6"/>
      <c r="BM3182" s="6"/>
      <c r="BN3182" s="6"/>
      <c r="BO3182" s="6"/>
      <c r="BP3182" s="6"/>
      <c r="BQ3182" s="6"/>
      <c r="BR3182" s="6"/>
      <c r="BS3182" s="6"/>
      <c r="BT3182" s="6"/>
      <c r="BU3182" s="6"/>
      <c r="BV3182" s="6"/>
      <c r="BW3182" s="6"/>
      <c r="BX3182" s="6"/>
      <c r="BY3182" s="6"/>
      <c r="BZ3182" s="6"/>
    </row>
    <row r="3183" spans="1:78" ht="21.75" customHeight="1">
      <c r="A3183" s="6"/>
      <c r="B3183" s="6"/>
      <c r="C3183" s="6"/>
      <c r="D3183" s="6"/>
      <c r="E3183" s="6"/>
      <c r="F3183" s="6"/>
      <c r="G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O3183" s="6"/>
      <c r="AP3183" s="6"/>
      <c r="BH3183" s="6"/>
      <c r="BI3183" s="6"/>
      <c r="BJ3183" s="6"/>
      <c r="BK3183" s="6"/>
      <c r="BL3183" s="6"/>
      <c r="BM3183" s="6"/>
      <c r="BN3183" s="6"/>
      <c r="BO3183" s="6"/>
      <c r="BP3183" s="6"/>
      <c r="BQ3183" s="6"/>
      <c r="BR3183" s="6"/>
      <c r="BS3183" s="6"/>
      <c r="BT3183" s="6"/>
      <c r="BU3183" s="6"/>
      <c r="BV3183" s="6"/>
      <c r="BW3183" s="6"/>
      <c r="BX3183" s="6"/>
      <c r="BY3183" s="6"/>
      <c r="BZ3183" s="6"/>
    </row>
    <row r="3184" spans="1:78" ht="21.75" customHeight="1">
      <c r="A3184" s="6"/>
      <c r="B3184" s="6"/>
      <c r="C3184" s="6"/>
      <c r="D3184" s="6"/>
      <c r="E3184" s="6"/>
      <c r="F3184" s="6"/>
      <c r="G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O3184" s="6"/>
      <c r="AP3184" s="6"/>
      <c r="BH3184" s="6"/>
      <c r="BI3184" s="6"/>
      <c r="BJ3184" s="6"/>
      <c r="BK3184" s="6"/>
      <c r="BL3184" s="6"/>
      <c r="BM3184" s="6"/>
      <c r="BN3184" s="6"/>
      <c r="BO3184" s="6"/>
      <c r="BP3184" s="6"/>
      <c r="BQ3184" s="6"/>
      <c r="BR3184" s="6"/>
      <c r="BS3184" s="6"/>
      <c r="BT3184" s="6"/>
      <c r="BU3184" s="6"/>
      <c r="BV3184" s="6"/>
      <c r="BW3184" s="6"/>
      <c r="BX3184" s="6"/>
      <c r="BY3184" s="6"/>
      <c r="BZ3184" s="6"/>
    </row>
    <row r="3185" spans="1:78" ht="21.75" customHeight="1">
      <c r="A3185" s="6"/>
      <c r="B3185" s="6"/>
      <c r="C3185" s="6"/>
      <c r="D3185" s="6"/>
      <c r="E3185" s="6"/>
      <c r="F3185" s="6"/>
      <c r="G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O3185" s="6"/>
      <c r="AP3185" s="6"/>
      <c r="BH3185" s="6"/>
      <c r="BI3185" s="6"/>
      <c r="BJ3185" s="6"/>
      <c r="BK3185" s="6"/>
      <c r="BL3185" s="6"/>
      <c r="BM3185" s="6"/>
      <c r="BN3185" s="6"/>
      <c r="BO3185" s="6"/>
      <c r="BP3185" s="6"/>
      <c r="BQ3185" s="6"/>
      <c r="BR3185" s="6"/>
      <c r="BS3185" s="6"/>
      <c r="BT3185" s="6"/>
      <c r="BU3185" s="6"/>
      <c r="BV3185" s="6"/>
      <c r="BW3185" s="6"/>
      <c r="BX3185" s="6"/>
      <c r="BY3185" s="6"/>
      <c r="BZ3185" s="6"/>
    </row>
    <row r="3186" spans="1:78" ht="21.75" customHeight="1">
      <c r="A3186" s="6"/>
      <c r="B3186" s="6"/>
      <c r="C3186" s="6"/>
      <c r="D3186" s="6"/>
      <c r="E3186" s="6"/>
      <c r="F3186" s="6"/>
      <c r="G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O3186" s="6"/>
      <c r="AP3186" s="6"/>
      <c r="BH3186" s="6"/>
      <c r="BI3186" s="6"/>
      <c r="BJ3186" s="6"/>
      <c r="BK3186" s="6"/>
      <c r="BL3186" s="6"/>
      <c r="BM3186" s="6"/>
      <c r="BN3186" s="6"/>
      <c r="BO3186" s="6"/>
      <c r="BP3186" s="6"/>
      <c r="BQ3186" s="6"/>
      <c r="BR3186" s="6"/>
      <c r="BS3186" s="6"/>
      <c r="BT3186" s="6"/>
      <c r="BU3186" s="6"/>
      <c r="BV3186" s="6"/>
      <c r="BW3186" s="6"/>
      <c r="BX3186" s="6"/>
      <c r="BY3186" s="6"/>
      <c r="BZ3186" s="6"/>
    </row>
    <row r="3187" spans="1:78" s="450" customFormat="1" ht="21.75" customHeight="1"/>
    <row r="3188" spans="1:78" s="448" customFormat="1" ht="21.75" customHeight="1"/>
    <row r="3189" spans="1:78" ht="21.75" customHeight="1">
      <c r="A3189" s="6"/>
      <c r="B3189" s="6"/>
      <c r="C3189" s="6"/>
      <c r="D3189" s="6"/>
      <c r="E3189" s="6"/>
      <c r="F3189" s="6"/>
      <c r="G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O3189" s="6"/>
      <c r="AP3189" s="6"/>
      <c r="BH3189" s="6"/>
      <c r="BI3189" s="6"/>
      <c r="BJ3189" s="6"/>
      <c r="BK3189" s="6"/>
      <c r="BL3189" s="6"/>
      <c r="BM3189" s="6"/>
      <c r="BN3189" s="6"/>
      <c r="BO3189" s="6"/>
      <c r="BP3189" s="6"/>
      <c r="BQ3189" s="6"/>
      <c r="BR3189" s="6"/>
      <c r="BS3189" s="6"/>
      <c r="BT3189" s="6"/>
      <c r="BU3189" s="6"/>
      <c r="BV3189" s="6"/>
      <c r="BW3189" s="6"/>
      <c r="BX3189" s="6"/>
      <c r="BY3189" s="6"/>
      <c r="BZ3189" s="6"/>
    </row>
    <row r="3190" spans="1:78" ht="21.75" customHeight="1">
      <c r="A3190" s="6"/>
      <c r="B3190" s="6"/>
      <c r="C3190" s="6"/>
      <c r="D3190" s="6"/>
      <c r="E3190" s="6"/>
      <c r="F3190" s="6"/>
      <c r="G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O3190" s="6"/>
      <c r="AP3190" s="6"/>
      <c r="BH3190" s="6"/>
      <c r="BI3190" s="6"/>
      <c r="BJ3190" s="6"/>
      <c r="BK3190" s="6"/>
      <c r="BL3190" s="6"/>
      <c r="BM3190" s="6"/>
      <c r="BN3190" s="6"/>
      <c r="BO3190" s="6"/>
      <c r="BP3190" s="6"/>
      <c r="BQ3190" s="6"/>
      <c r="BR3190" s="6"/>
      <c r="BS3190" s="6"/>
      <c r="BT3190" s="6"/>
      <c r="BU3190" s="6"/>
      <c r="BV3190" s="6"/>
      <c r="BW3190" s="6"/>
      <c r="BX3190" s="6"/>
      <c r="BY3190" s="6"/>
      <c r="BZ3190" s="6"/>
    </row>
    <row r="3191" spans="1:78" ht="21.75" customHeight="1">
      <c r="A3191" s="6"/>
      <c r="B3191" s="6"/>
      <c r="C3191" s="6"/>
      <c r="D3191" s="6"/>
      <c r="E3191" s="6"/>
      <c r="F3191" s="6"/>
      <c r="G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O3191" s="6"/>
      <c r="AP3191" s="6"/>
      <c r="BH3191" s="6"/>
      <c r="BI3191" s="6"/>
      <c r="BJ3191" s="6"/>
      <c r="BK3191" s="6"/>
      <c r="BL3191" s="6"/>
      <c r="BM3191" s="6"/>
      <c r="BN3191" s="6"/>
      <c r="BO3191" s="6"/>
      <c r="BP3191" s="6"/>
      <c r="BQ3191" s="6"/>
      <c r="BR3191" s="6"/>
      <c r="BS3191" s="6"/>
      <c r="BT3191" s="6"/>
      <c r="BU3191" s="6"/>
      <c r="BV3191" s="6"/>
      <c r="BW3191" s="6"/>
      <c r="BX3191" s="6"/>
      <c r="BY3191" s="6"/>
      <c r="BZ3191" s="6"/>
    </row>
    <row r="3192" spans="1:78" ht="21.75" customHeight="1">
      <c r="A3192" s="6"/>
      <c r="B3192" s="6"/>
      <c r="C3192" s="6"/>
      <c r="D3192" s="6"/>
      <c r="E3192" s="6"/>
      <c r="F3192" s="6"/>
      <c r="G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O3192" s="6"/>
      <c r="AP3192" s="6"/>
      <c r="BH3192" s="6"/>
      <c r="BI3192" s="6"/>
      <c r="BJ3192" s="6"/>
      <c r="BK3192" s="6"/>
      <c r="BL3192" s="6"/>
      <c r="BM3192" s="6"/>
      <c r="BN3192" s="6"/>
      <c r="BO3192" s="6"/>
      <c r="BP3192" s="6"/>
      <c r="BQ3192" s="6"/>
      <c r="BR3192" s="6"/>
      <c r="BS3192" s="6"/>
      <c r="BT3192" s="6"/>
      <c r="BU3192" s="6"/>
      <c r="BV3192" s="6"/>
      <c r="BW3192" s="6"/>
      <c r="BX3192" s="6"/>
      <c r="BY3192" s="6"/>
      <c r="BZ3192" s="6"/>
    </row>
    <row r="3193" spans="1:78" ht="21.75" customHeight="1">
      <c r="A3193" s="6"/>
      <c r="B3193" s="6"/>
      <c r="C3193" s="6"/>
      <c r="D3193" s="6"/>
      <c r="E3193" s="6"/>
      <c r="F3193" s="6"/>
      <c r="G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O3193" s="6"/>
      <c r="AP3193" s="6"/>
      <c r="BH3193" s="6"/>
      <c r="BI3193" s="6"/>
      <c r="BJ3193" s="6"/>
      <c r="BK3193" s="6"/>
      <c r="BL3193" s="6"/>
      <c r="BM3193" s="6"/>
      <c r="BN3193" s="6"/>
      <c r="BO3193" s="6"/>
      <c r="BP3193" s="6"/>
      <c r="BQ3193" s="6"/>
      <c r="BR3193" s="6"/>
      <c r="BS3193" s="6"/>
      <c r="BT3193" s="6"/>
      <c r="BU3193" s="6"/>
      <c r="BV3193" s="6"/>
      <c r="BW3193" s="6"/>
      <c r="BX3193" s="6"/>
      <c r="BY3193" s="6"/>
      <c r="BZ3193" s="6"/>
    </row>
    <row r="3194" spans="1:78" ht="21.75" customHeight="1">
      <c r="A3194" s="6"/>
      <c r="B3194" s="6"/>
      <c r="C3194" s="6"/>
      <c r="D3194" s="6"/>
      <c r="E3194" s="6"/>
      <c r="F3194" s="6"/>
      <c r="G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O3194" s="6"/>
      <c r="AP3194" s="6"/>
      <c r="BH3194" s="6"/>
      <c r="BI3194" s="6"/>
      <c r="BJ3194" s="6"/>
      <c r="BK3194" s="6"/>
      <c r="BL3194" s="6"/>
      <c r="BM3194" s="6"/>
      <c r="BN3194" s="6"/>
      <c r="BO3194" s="6"/>
      <c r="BP3194" s="6"/>
      <c r="BQ3194" s="6"/>
      <c r="BR3194" s="6"/>
      <c r="BS3194" s="6"/>
      <c r="BT3194" s="6"/>
      <c r="BU3194" s="6"/>
      <c r="BV3194" s="6"/>
      <c r="BW3194" s="6"/>
      <c r="BX3194" s="6"/>
      <c r="BY3194" s="6"/>
      <c r="BZ3194" s="6"/>
    </row>
    <row r="3195" spans="1:78" ht="21.75" customHeight="1">
      <c r="A3195" s="6"/>
      <c r="B3195" s="6"/>
      <c r="C3195" s="6"/>
      <c r="D3195" s="6"/>
      <c r="E3195" s="6"/>
      <c r="F3195" s="6"/>
      <c r="G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O3195" s="6"/>
      <c r="AP3195" s="6"/>
      <c r="BH3195" s="6"/>
      <c r="BI3195" s="6"/>
      <c r="BJ3195" s="6"/>
      <c r="BK3195" s="6"/>
      <c r="BL3195" s="6"/>
      <c r="BM3195" s="6"/>
      <c r="BN3195" s="6"/>
      <c r="BO3195" s="6"/>
      <c r="BP3195" s="6"/>
      <c r="BQ3195" s="6"/>
      <c r="BR3195" s="6"/>
      <c r="BS3195" s="6"/>
      <c r="BT3195" s="6"/>
      <c r="BU3195" s="6"/>
      <c r="BV3195" s="6"/>
      <c r="BW3195" s="6"/>
      <c r="BX3195" s="6"/>
      <c r="BY3195" s="6"/>
      <c r="BZ3195" s="6"/>
    </row>
    <row r="3196" spans="1:78" ht="21.75" customHeight="1">
      <c r="A3196" s="6"/>
      <c r="B3196" s="6"/>
      <c r="C3196" s="6"/>
      <c r="D3196" s="6"/>
      <c r="E3196" s="6"/>
      <c r="F3196" s="6"/>
      <c r="G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O3196" s="6"/>
      <c r="AP3196" s="6"/>
      <c r="BH3196" s="6"/>
      <c r="BI3196" s="6"/>
      <c r="BJ3196" s="6"/>
      <c r="BK3196" s="6"/>
      <c r="BL3196" s="6"/>
      <c r="BM3196" s="6"/>
      <c r="BN3196" s="6"/>
      <c r="BO3196" s="6"/>
      <c r="BP3196" s="6"/>
      <c r="BQ3196" s="6"/>
      <c r="BR3196" s="6"/>
      <c r="BS3196" s="6"/>
      <c r="BT3196" s="6"/>
      <c r="BU3196" s="6"/>
      <c r="BV3196" s="6"/>
      <c r="BW3196" s="6"/>
      <c r="BX3196" s="6"/>
      <c r="BY3196" s="6"/>
      <c r="BZ3196" s="6"/>
    </row>
    <row r="3197" spans="1:78" ht="21.75" customHeight="1">
      <c r="A3197" s="6"/>
      <c r="B3197" s="6"/>
      <c r="C3197" s="6"/>
      <c r="D3197" s="6"/>
      <c r="E3197" s="6"/>
      <c r="F3197" s="6"/>
      <c r="G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O3197" s="6"/>
      <c r="AP3197" s="6"/>
      <c r="BH3197" s="6"/>
      <c r="BI3197" s="6"/>
      <c r="BJ3197" s="6"/>
      <c r="BK3197" s="6"/>
      <c r="BL3197" s="6"/>
      <c r="BM3197" s="6"/>
      <c r="BN3197" s="6"/>
      <c r="BO3197" s="6"/>
      <c r="BP3197" s="6"/>
      <c r="BQ3197" s="6"/>
      <c r="BR3197" s="6"/>
      <c r="BS3197" s="6"/>
      <c r="BT3197" s="6"/>
      <c r="BU3197" s="6"/>
      <c r="BV3197" s="6"/>
      <c r="BW3197" s="6"/>
      <c r="BX3197" s="6"/>
      <c r="BY3197" s="6"/>
      <c r="BZ3197" s="6"/>
    </row>
    <row r="3198" spans="1:78" ht="21.75" customHeight="1">
      <c r="A3198" s="6"/>
      <c r="B3198" s="6"/>
      <c r="C3198" s="6"/>
      <c r="D3198" s="6"/>
      <c r="E3198" s="6"/>
      <c r="F3198" s="6"/>
      <c r="G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O3198" s="6"/>
      <c r="AP3198" s="6"/>
      <c r="BH3198" s="6"/>
      <c r="BI3198" s="6"/>
      <c r="BJ3198" s="6"/>
      <c r="BK3198" s="6"/>
      <c r="BL3198" s="6"/>
      <c r="BM3198" s="6"/>
      <c r="BN3198" s="6"/>
      <c r="BO3198" s="6"/>
      <c r="BP3198" s="6"/>
      <c r="BQ3198" s="6"/>
      <c r="BR3198" s="6"/>
      <c r="BS3198" s="6"/>
      <c r="BT3198" s="6"/>
      <c r="BU3198" s="6"/>
      <c r="BV3198" s="6"/>
      <c r="BW3198" s="6"/>
      <c r="BX3198" s="6"/>
      <c r="BY3198" s="6"/>
      <c r="BZ3198" s="6"/>
    </row>
    <row r="3199" spans="1:78" ht="21.75" customHeight="1">
      <c r="A3199" s="6"/>
      <c r="B3199" s="6"/>
      <c r="C3199" s="6"/>
      <c r="D3199" s="6"/>
      <c r="E3199" s="6"/>
      <c r="F3199" s="6"/>
      <c r="G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O3199" s="6"/>
      <c r="AP3199" s="6"/>
      <c r="BH3199" s="6"/>
      <c r="BI3199" s="6"/>
      <c r="BJ3199" s="6"/>
      <c r="BK3199" s="6"/>
      <c r="BL3199" s="6"/>
      <c r="BM3199" s="6"/>
      <c r="BN3199" s="6"/>
      <c r="BO3199" s="6"/>
      <c r="BP3199" s="6"/>
      <c r="BQ3199" s="6"/>
      <c r="BR3199" s="6"/>
      <c r="BS3199" s="6"/>
      <c r="BT3199" s="6"/>
      <c r="BU3199" s="6"/>
      <c r="BV3199" s="6"/>
      <c r="BW3199" s="6"/>
      <c r="BX3199" s="6"/>
      <c r="BY3199" s="6"/>
      <c r="BZ3199" s="6"/>
    </row>
    <row r="3200" spans="1:78" ht="21.75" customHeight="1">
      <c r="A3200" s="6"/>
      <c r="B3200" s="6"/>
      <c r="C3200" s="6"/>
      <c r="D3200" s="6"/>
      <c r="E3200" s="6"/>
      <c r="F3200" s="6"/>
      <c r="G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O3200" s="6"/>
      <c r="AP3200" s="6"/>
      <c r="BH3200" s="6"/>
      <c r="BI3200" s="6"/>
      <c r="BJ3200" s="6"/>
      <c r="BK3200" s="6"/>
      <c r="BL3200" s="6"/>
      <c r="BM3200" s="6"/>
      <c r="BN3200" s="6"/>
      <c r="BO3200" s="6"/>
      <c r="BP3200" s="6"/>
      <c r="BQ3200" s="6"/>
      <c r="BR3200" s="6"/>
      <c r="BS3200" s="6"/>
      <c r="BT3200" s="6"/>
      <c r="BU3200" s="6"/>
      <c r="BV3200" s="6"/>
      <c r="BW3200" s="6"/>
      <c r="BX3200" s="6"/>
      <c r="BY3200" s="6"/>
      <c r="BZ3200" s="6"/>
    </row>
    <row r="3201" spans="1:78" ht="21.75" customHeight="1">
      <c r="A3201" s="6"/>
      <c r="B3201" s="6"/>
      <c r="C3201" s="6"/>
      <c r="D3201" s="6"/>
      <c r="E3201" s="6"/>
      <c r="F3201" s="6"/>
      <c r="G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O3201" s="6"/>
      <c r="AP3201" s="6"/>
      <c r="BH3201" s="6"/>
      <c r="BI3201" s="6"/>
      <c r="BJ3201" s="6"/>
      <c r="BK3201" s="6"/>
      <c r="BL3201" s="6"/>
      <c r="BM3201" s="6"/>
      <c r="BN3201" s="6"/>
      <c r="BO3201" s="6"/>
      <c r="BP3201" s="6"/>
      <c r="BQ3201" s="6"/>
      <c r="BR3201" s="6"/>
      <c r="BS3201" s="6"/>
      <c r="BT3201" s="6"/>
      <c r="BU3201" s="6"/>
      <c r="BV3201" s="6"/>
      <c r="BW3201" s="6"/>
      <c r="BX3201" s="6"/>
      <c r="BY3201" s="6"/>
      <c r="BZ3201" s="6"/>
    </row>
    <row r="3202" spans="1:78" ht="21.75" customHeight="1">
      <c r="A3202" s="6"/>
      <c r="B3202" s="6"/>
      <c r="C3202" s="6"/>
      <c r="D3202" s="6"/>
      <c r="E3202" s="6"/>
      <c r="F3202" s="6"/>
      <c r="G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O3202" s="6"/>
      <c r="AP3202" s="6"/>
      <c r="BH3202" s="6"/>
      <c r="BI3202" s="6"/>
      <c r="BJ3202" s="6"/>
      <c r="BK3202" s="6"/>
      <c r="BL3202" s="6"/>
      <c r="BM3202" s="6"/>
      <c r="BN3202" s="6"/>
      <c r="BO3202" s="6"/>
      <c r="BP3202" s="6"/>
      <c r="BQ3202" s="6"/>
      <c r="BR3202" s="6"/>
      <c r="BS3202" s="6"/>
      <c r="BT3202" s="6"/>
      <c r="BU3202" s="6"/>
      <c r="BV3202" s="6"/>
      <c r="BW3202" s="6"/>
      <c r="BX3202" s="6"/>
      <c r="BY3202" s="6"/>
      <c r="BZ3202" s="6"/>
    </row>
    <row r="3203" spans="1:78" ht="21.75" customHeight="1">
      <c r="A3203" s="6"/>
      <c r="B3203" s="6"/>
      <c r="C3203" s="6"/>
      <c r="D3203" s="6"/>
      <c r="E3203" s="6"/>
      <c r="F3203" s="6"/>
      <c r="G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O3203" s="6"/>
      <c r="AP3203" s="6"/>
      <c r="BH3203" s="6"/>
      <c r="BI3203" s="6"/>
      <c r="BJ3203" s="6"/>
      <c r="BK3203" s="6"/>
      <c r="BL3203" s="6"/>
      <c r="BM3203" s="6"/>
      <c r="BN3203" s="6"/>
      <c r="BO3203" s="6"/>
      <c r="BP3203" s="6"/>
      <c r="BQ3203" s="6"/>
      <c r="BR3203" s="6"/>
      <c r="BS3203" s="6"/>
      <c r="BT3203" s="6"/>
      <c r="BU3203" s="6"/>
      <c r="BV3203" s="6"/>
      <c r="BW3203" s="6"/>
      <c r="BX3203" s="6"/>
      <c r="BY3203" s="6"/>
      <c r="BZ3203" s="6"/>
    </row>
    <row r="3204" spans="1:78" ht="21.75" customHeight="1">
      <c r="A3204" s="6"/>
      <c r="B3204" s="6"/>
      <c r="C3204" s="6"/>
      <c r="D3204" s="6"/>
      <c r="E3204" s="6"/>
      <c r="F3204" s="6"/>
      <c r="G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O3204" s="6"/>
      <c r="AP3204" s="6"/>
      <c r="BH3204" s="6"/>
      <c r="BI3204" s="6"/>
      <c r="BJ3204" s="6"/>
      <c r="BK3204" s="6"/>
      <c r="BL3204" s="6"/>
      <c r="BM3204" s="6"/>
      <c r="BN3204" s="6"/>
      <c r="BO3204" s="6"/>
      <c r="BP3204" s="6"/>
      <c r="BQ3204" s="6"/>
      <c r="BR3204" s="6"/>
      <c r="BS3204" s="6"/>
      <c r="BT3204" s="6"/>
      <c r="BU3204" s="6"/>
      <c r="BV3204" s="6"/>
      <c r="BW3204" s="6"/>
      <c r="BX3204" s="6"/>
      <c r="BY3204" s="6"/>
      <c r="BZ3204" s="6"/>
    </row>
    <row r="3205" spans="1:78" ht="21.75" customHeight="1">
      <c r="A3205" s="6"/>
      <c r="B3205" s="6"/>
      <c r="C3205" s="6"/>
      <c r="D3205" s="6"/>
      <c r="E3205" s="6"/>
      <c r="F3205" s="6"/>
      <c r="G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O3205" s="6"/>
      <c r="AP3205" s="6"/>
      <c r="BH3205" s="6"/>
      <c r="BI3205" s="6"/>
      <c r="BJ3205" s="6"/>
      <c r="BK3205" s="6"/>
      <c r="BL3205" s="6"/>
      <c r="BM3205" s="6"/>
      <c r="BN3205" s="6"/>
      <c r="BO3205" s="6"/>
      <c r="BP3205" s="6"/>
      <c r="BQ3205" s="6"/>
      <c r="BR3205" s="6"/>
      <c r="BS3205" s="6"/>
      <c r="BT3205" s="6"/>
      <c r="BU3205" s="6"/>
      <c r="BV3205" s="6"/>
      <c r="BW3205" s="6"/>
      <c r="BX3205" s="6"/>
      <c r="BY3205" s="6"/>
      <c r="BZ3205" s="6"/>
    </row>
    <row r="3206" spans="1:78" s="450" customFormat="1" ht="21.75" customHeight="1"/>
    <row r="3207" spans="1:78" s="448" customFormat="1" ht="21.75" customHeight="1"/>
    <row r="3208" spans="1:78" s="496" customFormat="1" ht="21.75" customHeight="1"/>
    <row r="3209" spans="1:78" ht="21.75" customHeight="1">
      <c r="A3209" s="6"/>
      <c r="B3209" s="6"/>
      <c r="C3209" s="6"/>
      <c r="D3209" s="6"/>
      <c r="E3209" s="6"/>
      <c r="F3209" s="6"/>
      <c r="G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O3209" s="6"/>
      <c r="AP3209" s="6"/>
      <c r="BH3209" s="6"/>
      <c r="BI3209" s="6"/>
      <c r="BJ3209" s="6"/>
      <c r="BK3209" s="6"/>
      <c r="BL3209" s="6"/>
      <c r="BM3209" s="6"/>
      <c r="BN3209" s="6"/>
      <c r="BO3209" s="6"/>
      <c r="BP3209" s="6"/>
      <c r="BQ3209" s="6"/>
      <c r="BR3209" s="6"/>
      <c r="BS3209" s="6"/>
      <c r="BT3209" s="6"/>
      <c r="BU3209" s="6"/>
      <c r="BV3209" s="6"/>
      <c r="BW3209" s="6"/>
      <c r="BX3209" s="6"/>
      <c r="BY3209" s="6"/>
      <c r="BZ3209" s="6"/>
    </row>
    <row r="3210" spans="1:78" ht="21.75" customHeight="1">
      <c r="A3210" s="6"/>
      <c r="B3210" s="6"/>
      <c r="C3210" s="6"/>
      <c r="D3210" s="6"/>
      <c r="E3210" s="6"/>
      <c r="F3210" s="6"/>
      <c r="G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O3210" s="6"/>
      <c r="AP3210" s="6"/>
      <c r="BH3210" s="6"/>
      <c r="BI3210" s="6"/>
      <c r="BJ3210" s="6"/>
      <c r="BK3210" s="6"/>
      <c r="BL3210" s="6"/>
      <c r="BM3210" s="6"/>
      <c r="BN3210" s="6"/>
      <c r="BO3210" s="6"/>
      <c r="BP3210" s="6"/>
      <c r="BQ3210" s="6"/>
      <c r="BR3210" s="6"/>
      <c r="BS3210" s="6"/>
      <c r="BT3210" s="6"/>
      <c r="BU3210" s="6"/>
      <c r="BV3210" s="6"/>
      <c r="BW3210" s="6"/>
      <c r="BX3210" s="6"/>
      <c r="BY3210" s="6"/>
      <c r="BZ3210" s="6"/>
    </row>
    <row r="3211" spans="1:78" s="472" customFormat="1" ht="21.75" customHeight="1"/>
    <row r="3212" spans="1:78" ht="21.75" customHeight="1">
      <c r="A3212" s="6"/>
      <c r="B3212" s="6"/>
      <c r="C3212" s="6"/>
      <c r="D3212" s="6"/>
      <c r="E3212" s="6"/>
      <c r="F3212" s="6"/>
      <c r="G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O3212" s="6"/>
      <c r="AP3212" s="6"/>
      <c r="BH3212" s="6"/>
      <c r="BI3212" s="6"/>
      <c r="BJ3212" s="6"/>
      <c r="BK3212" s="6"/>
      <c r="BL3212" s="6"/>
      <c r="BM3212" s="6"/>
      <c r="BN3212" s="6"/>
      <c r="BO3212" s="6"/>
      <c r="BP3212" s="6"/>
      <c r="BQ3212" s="6"/>
      <c r="BR3212" s="6"/>
      <c r="BS3212" s="6"/>
      <c r="BT3212" s="6"/>
      <c r="BU3212" s="6"/>
      <c r="BV3212" s="6"/>
      <c r="BW3212" s="6"/>
      <c r="BX3212" s="6"/>
      <c r="BY3212" s="6"/>
      <c r="BZ3212" s="6"/>
    </row>
    <row r="3213" spans="1:78" ht="21.75" customHeight="1">
      <c r="A3213" s="6"/>
      <c r="B3213" s="6"/>
      <c r="C3213" s="6"/>
      <c r="D3213" s="6"/>
      <c r="E3213" s="6"/>
      <c r="F3213" s="6"/>
      <c r="G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O3213" s="6"/>
      <c r="AP3213" s="6"/>
      <c r="BH3213" s="6"/>
      <c r="BI3213" s="6"/>
      <c r="BJ3213" s="6"/>
      <c r="BK3213" s="6"/>
      <c r="BL3213" s="6"/>
      <c r="BM3213" s="6"/>
      <c r="BN3213" s="6"/>
      <c r="BO3213" s="6"/>
      <c r="BP3213" s="6"/>
      <c r="BQ3213" s="6"/>
      <c r="BR3213" s="6"/>
      <c r="BS3213" s="6"/>
      <c r="BT3213" s="6"/>
      <c r="BU3213" s="6"/>
      <c r="BV3213" s="6"/>
      <c r="BW3213" s="6"/>
      <c r="BX3213" s="6"/>
      <c r="BY3213" s="6"/>
      <c r="BZ3213" s="6"/>
    </row>
    <row r="3214" spans="1:78" ht="21.75" customHeight="1">
      <c r="A3214" s="6"/>
      <c r="B3214" s="6"/>
      <c r="C3214" s="6"/>
      <c r="D3214" s="6"/>
      <c r="E3214" s="6"/>
      <c r="F3214" s="6"/>
      <c r="G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O3214" s="6"/>
      <c r="AP3214" s="6"/>
      <c r="BH3214" s="6"/>
      <c r="BI3214" s="6"/>
      <c r="BJ3214" s="6"/>
      <c r="BK3214" s="6"/>
      <c r="BL3214" s="6"/>
      <c r="BM3214" s="6"/>
      <c r="BN3214" s="6"/>
      <c r="BO3214" s="6"/>
      <c r="BP3214" s="6"/>
      <c r="BQ3214" s="6"/>
      <c r="BR3214" s="6"/>
      <c r="BS3214" s="6"/>
      <c r="BT3214" s="6"/>
      <c r="BU3214" s="6"/>
      <c r="BV3214" s="6"/>
      <c r="BW3214" s="6"/>
      <c r="BX3214" s="6"/>
      <c r="BY3214" s="6"/>
      <c r="BZ3214" s="6"/>
    </row>
    <row r="3215" spans="1:78" ht="21.75" customHeight="1">
      <c r="A3215" s="6"/>
      <c r="B3215" s="6"/>
      <c r="C3215" s="6"/>
      <c r="D3215" s="6"/>
      <c r="E3215" s="6"/>
      <c r="F3215" s="6"/>
      <c r="G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O3215" s="6"/>
      <c r="AP3215" s="6"/>
      <c r="BH3215" s="6"/>
      <c r="BI3215" s="6"/>
      <c r="BJ3215" s="6"/>
      <c r="BK3215" s="6"/>
      <c r="BL3215" s="6"/>
      <c r="BM3215" s="6"/>
      <c r="BN3215" s="6"/>
      <c r="BO3215" s="6"/>
      <c r="BP3215" s="6"/>
      <c r="BQ3215" s="6"/>
      <c r="BR3215" s="6"/>
      <c r="BS3215" s="6"/>
      <c r="BT3215" s="6"/>
      <c r="BU3215" s="6"/>
      <c r="BV3215" s="6"/>
      <c r="BW3215" s="6"/>
      <c r="BX3215" s="6"/>
      <c r="BY3215" s="6"/>
      <c r="BZ3215" s="6"/>
    </row>
    <row r="3216" spans="1:78" ht="21.75" customHeight="1">
      <c r="A3216" s="6"/>
      <c r="B3216" s="6"/>
      <c r="C3216" s="6"/>
      <c r="D3216" s="6"/>
      <c r="E3216" s="6"/>
      <c r="F3216" s="6"/>
      <c r="G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O3216" s="6"/>
      <c r="AP3216" s="6"/>
      <c r="BH3216" s="6"/>
      <c r="BI3216" s="6"/>
      <c r="BJ3216" s="6"/>
      <c r="BK3216" s="6"/>
      <c r="BL3216" s="6"/>
      <c r="BM3216" s="6"/>
      <c r="BN3216" s="6"/>
      <c r="BO3216" s="6"/>
      <c r="BP3216" s="6"/>
      <c r="BQ3216" s="6"/>
      <c r="BR3216" s="6"/>
      <c r="BS3216" s="6"/>
      <c r="BT3216" s="6"/>
      <c r="BU3216" s="6"/>
      <c r="BV3216" s="6"/>
      <c r="BW3216" s="6"/>
      <c r="BX3216" s="6"/>
      <c r="BY3216" s="6"/>
      <c r="BZ3216" s="6"/>
    </row>
    <row r="3217" spans="1:78" ht="21.75" customHeight="1">
      <c r="A3217" s="6"/>
      <c r="B3217" s="6"/>
      <c r="C3217" s="6"/>
      <c r="D3217" s="6"/>
      <c r="E3217" s="6"/>
      <c r="F3217" s="6"/>
      <c r="G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O3217" s="6"/>
      <c r="AP3217" s="6"/>
      <c r="BH3217" s="6"/>
      <c r="BI3217" s="6"/>
      <c r="BJ3217" s="6"/>
      <c r="BK3217" s="6"/>
      <c r="BL3217" s="6"/>
      <c r="BM3217" s="6"/>
      <c r="BN3217" s="6"/>
      <c r="BO3217" s="6"/>
      <c r="BP3217" s="6"/>
      <c r="BQ3217" s="6"/>
      <c r="BR3217" s="6"/>
      <c r="BS3217" s="6"/>
      <c r="BT3217" s="6"/>
      <c r="BU3217" s="6"/>
      <c r="BV3217" s="6"/>
      <c r="BW3217" s="6"/>
      <c r="BX3217" s="6"/>
      <c r="BY3217" s="6"/>
      <c r="BZ3217" s="6"/>
    </row>
    <row r="3218" spans="1:78" ht="21.75" customHeight="1">
      <c r="A3218" s="6"/>
      <c r="B3218" s="6"/>
      <c r="C3218" s="6"/>
      <c r="D3218" s="6"/>
      <c r="E3218" s="6"/>
      <c r="F3218" s="6"/>
      <c r="G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O3218" s="6"/>
      <c r="AP3218" s="6"/>
      <c r="BH3218" s="6"/>
      <c r="BI3218" s="6"/>
      <c r="BJ3218" s="6"/>
      <c r="BK3218" s="6"/>
      <c r="BL3218" s="6"/>
      <c r="BM3218" s="6"/>
      <c r="BN3218" s="6"/>
      <c r="BO3218" s="6"/>
      <c r="BP3218" s="6"/>
      <c r="BQ3218" s="6"/>
      <c r="BR3218" s="6"/>
      <c r="BS3218" s="6"/>
      <c r="BT3218" s="6"/>
      <c r="BU3218" s="6"/>
      <c r="BV3218" s="6"/>
      <c r="BW3218" s="6"/>
      <c r="BX3218" s="6"/>
      <c r="BY3218" s="6"/>
      <c r="BZ3218" s="6"/>
    </row>
    <row r="3219" spans="1:78" ht="21.75" customHeight="1">
      <c r="A3219" s="6"/>
      <c r="B3219" s="6"/>
      <c r="C3219" s="6"/>
      <c r="D3219" s="6"/>
      <c r="E3219" s="6"/>
      <c r="F3219" s="6"/>
      <c r="G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O3219" s="6"/>
      <c r="AP3219" s="6"/>
      <c r="BH3219" s="6"/>
      <c r="BI3219" s="6"/>
      <c r="BJ3219" s="6"/>
      <c r="BK3219" s="6"/>
      <c r="BL3219" s="6"/>
      <c r="BM3219" s="6"/>
      <c r="BN3219" s="6"/>
      <c r="BO3219" s="6"/>
      <c r="BP3219" s="6"/>
      <c r="BQ3219" s="6"/>
      <c r="BR3219" s="6"/>
      <c r="BS3219" s="6"/>
      <c r="BT3219" s="6"/>
      <c r="BU3219" s="6"/>
      <c r="BV3219" s="6"/>
      <c r="BW3219" s="6"/>
      <c r="BX3219" s="6"/>
      <c r="BY3219" s="6"/>
      <c r="BZ3219" s="6"/>
    </row>
    <row r="3220" spans="1:78" ht="21.75" customHeight="1">
      <c r="A3220" s="6"/>
      <c r="B3220" s="6"/>
      <c r="C3220" s="6"/>
      <c r="D3220" s="6"/>
      <c r="E3220" s="6"/>
      <c r="F3220" s="6"/>
      <c r="G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O3220" s="6"/>
      <c r="AP3220" s="6"/>
      <c r="BH3220" s="6"/>
      <c r="BI3220" s="6"/>
      <c r="BJ3220" s="6"/>
      <c r="BK3220" s="6"/>
      <c r="BL3220" s="6"/>
      <c r="BM3220" s="6"/>
      <c r="BN3220" s="6"/>
      <c r="BO3220" s="6"/>
      <c r="BP3220" s="6"/>
      <c r="BQ3220" s="6"/>
      <c r="BR3220" s="6"/>
      <c r="BS3220" s="6"/>
      <c r="BT3220" s="6"/>
      <c r="BU3220" s="6"/>
      <c r="BV3220" s="6"/>
      <c r="BW3220" s="6"/>
      <c r="BX3220" s="6"/>
      <c r="BY3220" s="6"/>
      <c r="BZ3220" s="6"/>
    </row>
    <row r="3221" spans="1:78" s="478" customFormat="1" ht="21.75" customHeight="1"/>
    <row r="3222" spans="1:78" s="448" customFormat="1" ht="21.75" customHeight="1"/>
    <row r="3223" spans="1:78" ht="21.75" customHeight="1">
      <c r="A3223" s="6"/>
      <c r="B3223" s="6"/>
      <c r="C3223" s="6"/>
      <c r="D3223" s="6"/>
      <c r="E3223" s="6"/>
      <c r="F3223" s="6"/>
      <c r="G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O3223" s="6"/>
      <c r="AP3223" s="6"/>
      <c r="BH3223" s="6"/>
      <c r="BI3223" s="6"/>
      <c r="BJ3223" s="6"/>
      <c r="BK3223" s="6"/>
      <c r="BL3223" s="6"/>
      <c r="BM3223" s="6"/>
      <c r="BN3223" s="6"/>
      <c r="BO3223" s="6"/>
      <c r="BP3223" s="6"/>
      <c r="BQ3223" s="6"/>
      <c r="BR3223" s="6"/>
      <c r="BS3223" s="6"/>
      <c r="BT3223" s="6"/>
      <c r="BU3223" s="6"/>
      <c r="BV3223" s="6"/>
      <c r="BW3223" s="6"/>
      <c r="BX3223" s="6"/>
      <c r="BY3223" s="6"/>
      <c r="BZ3223" s="6"/>
    </row>
    <row r="3224" spans="1:78" ht="21.75" customHeight="1">
      <c r="A3224" s="6"/>
      <c r="B3224" s="6"/>
      <c r="C3224" s="6"/>
      <c r="D3224" s="6"/>
      <c r="E3224" s="6"/>
      <c r="F3224" s="6"/>
      <c r="G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O3224" s="6"/>
      <c r="AP3224" s="6"/>
      <c r="BH3224" s="6"/>
      <c r="BI3224" s="6"/>
      <c r="BJ3224" s="6"/>
      <c r="BK3224" s="6"/>
      <c r="BL3224" s="6"/>
      <c r="BM3224" s="6"/>
      <c r="BN3224" s="6"/>
      <c r="BO3224" s="6"/>
      <c r="BP3224" s="6"/>
      <c r="BQ3224" s="6"/>
      <c r="BR3224" s="6"/>
      <c r="BS3224" s="6"/>
      <c r="BT3224" s="6"/>
      <c r="BU3224" s="6"/>
      <c r="BV3224" s="6"/>
      <c r="BW3224" s="6"/>
      <c r="BX3224" s="6"/>
      <c r="BY3224" s="6"/>
      <c r="BZ3224" s="6"/>
    </row>
    <row r="3225" spans="1:78" ht="21.75" customHeight="1">
      <c r="A3225" s="6"/>
      <c r="B3225" s="6"/>
      <c r="C3225" s="6"/>
      <c r="D3225" s="6"/>
      <c r="E3225" s="6"/>
      <c r="F3225" s="6"/>
      <c r="G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O3225" s="6"/>
      <c r="AP3225" s="6"/>
      <c r="BH3225" s="6"/>
      <c r="BI3225" s="6"/>
      <c r="BJ3225" s="6"/>
      <c r="BK3225" s="6"/>
      <c r="BL3225" s="6"/>
      <c r="BM3225" s="6"/>
      <c r="BN3225" s="6"/>
      <c r="BO3225" s="6"/>
      <c r="BP3225" s="6"/>
      <c r="BQ3225" s="6"/>
      <c r="BR3225" s="6"/>
      <c r="BS3225" s="6"/>
      <c r="BT3225" s="6"/>
      <c r="BU3225" s="6"/>
      <c r="BV3225" s="6"/>
      <c r="BW3225" s="6"/>
      <c r="BX3225" s="6"/>
      <c r="BY3225" s="6"/>
      <c r="BZ3225" s="6"/>
    </row>
    <row r="3226" spans="1:78" ht="21.75" customHeight="1">
      <c r="A3226" s="6"/>
      <c r="B3226" s="6"/>
      <c r="C3226" s="6"/>
      <c r="D3226" s="6"/>
      <c r="E3226" s="6"/>
      <c r="F3226" s="6"/>
      <c r="G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O3226" s="6"/>
      <c r="AP3226" s="6"/>
      <c r="BH3226" s="6"/>
      <c r="BI3226" s="6"/>
      <c r="BJ3226" s="6"/>
      <c r="BK3226" s="6"/>
      <c r="BL3226" s="6"/>
      <c r="BM3226" s="6"/>
      <c r="BN3226" s="6"/>
      <c r="BO3226" s="6"/>
      <c r="BP3226" s="6"/>
      <c r="BQ3226" s="6"/>
      <c r="BR3226" s="6"/>
      <c r="BS3226" s="6"/>
      <c r="BT3226" s="6"/>
      <c r="BU3226" s="6"/>
      <c r="BV3226" s="6"/>
      <c r="BW3226" s="6"/>
      <c r="BX3226" s="6"/>
      <c r="BY3226" s="6"/>
      <c r="BZ3226" s="6"/>
    </row>
    <row r="3227" spans="1:78" ht="21.75" customHeight="1">
      <c r="A3227" s="6"/>
      <c r="B3227" s="6"/>
      <c r="C3227" s="6"/>
      <c r="D3227" s="6"/>
      <c r="E3227" s="6"/>
      <c r="F3227" s="6"/>
      <c r="G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O3227" s="6"/>
      <c r="AP3227" s="6"/>
      <c r="BH3227" s="6"/>
      <c r="BI3227" s="6"/>
      <c r="BJ3227" s="6"/>
      <c r="BK3227" s="6"/>
      <c r="BL3227" s="6"/>
      <c r="BM3227" s="6"/>
      <c r="BN3227" s="6"/>
      <c r="BO3227" s="6"/>
      <c r="BP3227" s="6"/>
      <c r="BQ3227" s="6"/>
      <c r="BR3227" s="6"/>
      <c r="BS3227" s="6"/>
      <c r="BT3227" s="6"/>
      <c r="BU3227" s="6"/>
      <c r="BV3227" s="6"/>
      <c r="BW3227" s="6"/>
      <c r="BX3227" s="6"/>
      <c r="BY3227" s="6"/>
      <c r="BZ3227" s="6"/>
    </row>
    <row r="3228" spans="1:78" ht="21.75" customHeight="1">
      <c r="A3228" s="6"/>
      <c r="B3228" s="6"/>
      <c r="C3228" s="6"/>
      <c r="D3228" s="6"/>
      <c r="E3228" s="6"/>
      <c r="F3228" s="6"/>
      <c r="G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O3228" s="6"/>
      <c r="AP3228" s="6"/>
      <c r="BH3228" s="6"/>
      <c r="BI3228" s="6"/>
      <c r="BJ3228" s="6"/>
      <c r="BK3228" s="6"/>
      <c r="BL3228" s="6"/>
      <c r="BM3228" s="6"/>
      <c r="BN3228" s="6"/>
      <c r="BO3228" s="6"/>
      <c r="BP3228" s="6"/>
      <c r="BQ3228" s="6"/>
      <c r="BR3228" s="6"/>
      <c r="BS3228" s="6"/>
      <c r="BT3228" s="6"/>
      <c r="BU3228" s="6"/>
      <c r="BV3228" s="6"/>
      <c r="BW3228" s="6"/>
      <c r="BX3228" s="6"/>
      <c r="BY3228" s="6"/>
      <c r="BZ3228" s="6"/>
    </row>
    <row r="3229" spans="1:78" ht="21.75" customHeight="1">
      <c r="A3229" s="6"/>
      <c r="B3229" s="6"/>
      <c r="C3229" s="6"/>
      <c r="D3229" s="6"/>
      <c r="E3229" s="6"/>
      <c r="F3229" s="6"/>
      <c r="G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O3229" s="6"/>
      <c r="AP3229" s="6"/>
      <c r="BH3229" s="6"/>
      <c r="BI3229" s="6"/>
      <c r="BJ3229" s="6"/>
      <c r="BK3229" s="6"/>
      <c r="BL3229" s="6"/>
      <c r="BM3229" s="6"/>
      <c r="BN3229" s="6"/>
      <c r="BO3229" s="6"/>
      <c r="BP3229" s="6"/>
      <c r="BQ3229" s="6"/>
      <c r="BR3229" s="6"/>
      <c r="BS3229" s="6"/>
      <c r="BT3229" s="6"/>
      <c r="BU3229" s="6"/>
      <c r="BV3229" s="6"/>
      <c r="BW3229" s="6"/>
      <c r="BX3229" s="6"/>
      <c r="BY3229" s="6"/>
      <c r="BZ3229" s="6"/>
    </row>
    <row r="3230" spans="1:78" ht="21.75" customHeight="1">
      <c r="A3230" s="6"/>
      <c r="B3230" s="6"/>
      <c r="C3230" s="6"/>
      <c r="D3230" s="6"/>
      <c r="E3230" s="6"/>
      <c r="F3230" s="6"/>
      <c r="G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O3230" s="6"/>
      <c r="AP3230" s="6"/>
      <c r="BH3230" s="6"/>
      <c r="BI3230" s="6"/>
      <c r="BJ3230" s="6"/>
      <c r="BK3230" s="6"/>
      <c r="BL3230" s="6"/>
      <c r="BM3230" s="6"/>
      <c r="BN3230" s="6"/>
      <c r="BO3230" s="6"/>
      <c r="BP3230" s="6"/>
      <c r="BQ3230" s="6"/>
      <c r="BR3230" s="6"/>
      <c r="BS3230" s="6"/>
      <c r="BT3230" s="6"/>
      <c r="BU3230" s="6"/>
      <c r="BV3230" s="6"/>
      <c r="BW3230" s="6"/>
      <c r="BX3230" s="6"/>
      <c r="BY3230" s="6"/>
      <c r="BZ3230" s="6"/>
    </row>
    <row r="3231" spans="1:78" ht="21.75" customHeight="1">
      <c r="A3231" s="6"/>
      <c r="B3231" s="6"/>
      <c r="C3231" s="6"/>
      <c r="D3231" s="6"/>
      <c r="E3231" s="6"/>
      <c r="F3231" s="6"/>
      <c r="G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O3231" s="6"/>
      <c r="AP3231" s="6"/>
      <c r="BH3231" s="6"/>
      <c r="BI3231" s="6"/>
      <c r="BJ3231" s="6"/>
      <c r="BK3231" s="6"/>
      <c r="BL3231" s="6"/>
      <c r="BM3231" s="6"/>
      <c r="BN3231" s="6"/>
      <c r="BO3231" s="6"/>
      <c r="BP3231" s="6"/>
      <c r="BQ3231" s="6"/>
      <c r="BR3231" s="6"/>
      <c r="BS3231" s="6"/>
      <c r="BT3231" s="6"/>
      <c r="BU3231" s="6"/>
      <c r="BV3231" s="6"/>
      <c r="BW3231" s="6"/>
      <c r="BX3231" s="6"/>
      <c r="BY3231" s="6"/>
      <c r="BZ3231" s="6"/>
    </row>
    <row r="3232" spans="1:78" ht="21.75" customHeight="1">
      <c r="A3232" s="6"/>
      <c r="B3232" s="6"/>
      <c r="C3232" s="6"/>
      <c r="D3232" s="6"/>
      <c r="E3232" s="6"/>
      <c r="F3232" s="6"/>
      <c r="G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O3232" s="6"/>
      <c r="AP3232" s="6"/>
      <c r="BH3232" s="6"/>
      <c r="BI3232" s="6"/>
      <c r="BJ3232" s="6"/>
      <c r="BK3232" s="6"/>
      <c r="BL3232" s="6"/>
      <c r="BM3232" s="6"/>
      <c r="BN3232" s="6"/>
      <c r="BO3232" s="6"/>
      <c r="BP3232" s="6"/>
      <c r="BQ3232" s="6"/>
      <c r="BR3232" s="6"/>
      <c r="BS3232" s="6"/>
      <c r="BT3232" s="6"/>
      <c r="BU3232" s="6"/>
      <c r="BV3232" s="6"/>
      <c r="BW3232" s="6"/>
      <c r="BX3232" s="6"/>
      <c r="BY3232" s="6"/>
      <c r="BZ3232" s="6"/>
    </row>
    <row r="3233" spans="1:78" ht="21.75" customHeight="1">
      <c r="A3233" s="6"/>
      <c r="B3233" s="6"/>
      <c r="C3233" s="6"/>
      <c r="D3233" s="6"/>
      <c r="E3233" s="6"/>
      <c r="F3233" s="6"/>
      <c r="G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O3233" s="6"/>
      <c r="AP3233" s="6"/>
      <c r="BH3233" s="6"/>
      <c r="BI3233" s="6"/>
      <c r="BJ3233" s="6"/>
      <c r="BK3233" s="6"/>
      <c r="BL3233" s="6"/>
      <c r="BM3233" s="6"/>
      <c r="BN3233" s="6"/>
      <c r="BO3233" s="6"/>
      <c r="BP3233" s="6"/>
      <c r="BQ3233" s="6"/>
      <c r="BR3233" s="6"/>
      <c r="BS3233" s="6"/>
      <c r="BT3233" s="6"/>
      <c r="BU3233" s="6"/>
      <c r="BV3233" s="6"/>
      <c r="BW3233" s="6"/>
      <c r="BX3233" s="6"/>
      <c r="BY3233" s="6"/>
      <c r="BZ3233" s="6"/>
    </row>
    <row r="3234" spans="1:78" ht="21.75" customHeight="1">
      <c r="A3234" s="6"/>
      <c r="B3234" s="6"/>
      <c r="C3234" s="6"/>
      <c r="D3234" s="6"/>
      <c r="E3234" s="6"/>
      <c r="F3234" s="6"/>
      <c r="G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O3234" s="6"/>
      <c r="AP3234" s="6"/>
      <c r="BH3234" s="6"/>
      <c r="BI3234" s="6"/>
      <c r="BJ3234" s="6"/>
      <c r="BK3234" s="6"/>
      <c r="BL3234" s="6"/>
      <c r="BM3234" s="6"/>
      <c r="BN3234" s="6"/>
      <c r="BO3234" s="6"/>
      <c r="BP3234" s="6"/>
      <c r="BQ3234" s="6"/>
      <c r="BR3234" s="6"/>
      <c r="BS3234" s="6"/>
      <c r="BT3234" s="6"/>
      <c r="BU3234" s="6"/>
      <c r="BV3234" s="6"/>
      <c r="BW3234" s="6"/>
      <c r="BX3234" s="6"/>
      <c r="BY3234" s="6"/>
      <c r="BZ3234" s="6"/>
    </row>
    <row r="3235" spans="1:78" ht="21.75" customHeight="1">
      <c r="A3235" s="6"/>
      <c r="B3235" s="6"/>
      <c r="C3235" s="6"/>
      <c r="D3235" s="6"/>
      <c r="E3235" s="6"/>
      <c r="F3235" s="6"/>
      <c r="G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O3235" s="6"/>
      <c r="AP3235" s="6"/>
      <c r="BH3235" s="6"/>
      <c r="BI3235" s="6"/>
      <c r="BJ3235" s="6"/>
      <c r="BK3235" s="6"/>
      <c r="BL3235" s="6"/>
      <c r="BM3235" s="6"/>
      <c r="BN3235" s="6"/>
      <c r="BO3235" s="6"/>
      <c r="BP3235" s="6"/>
      <c r="BQ3235" s="6"/>
      <c r="BR3235" s="6"/>
      <c r="BS3235" s="6"/>
      <c r="BT3235" s="6"/>
      <c r="BU3235" s="6"/>
      <c r="BV3235" s="6"/>
      <c r="BW3235" s="6"/>
      <c r="BX3235" s="6"/>
      <c r="BY3235" s="6"/>
      <c r="BZ3235" s="6"/>
    </row>
    <row r="3236" spans="1:78" s="450" customFormat="1" ht="21.75" customHeight="1"/>
    <row r="3237" spans="1:78" s="448" customFormat="1" ht="21.75" customHeight="1"/>
    <row r="3238" spans="1:78" ht="21.75" customHeight="1">
      <c r="A3238" s="6"/>
      <c r="B3238" s="6"/>
      <c r="C3238" s="6"/>
      <c r="D3238" s="6"/>
      <c r="E3238" s="6"/>
      <c r="F3238" s="6"/>
      <c r="G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O3238" s="6"/>
      <c r="AP3238" s="6"/>
      <c r="BH3238" s="6"/>
      <c r="BI3238" s="6"/>
      <c r="BJ3238" s="6"/>
      <c r="BK3238" s="6"/>
      <c r="BL3238" s="6"/>
      <c r="BM3238" s="6"/>
      <c r="BN3238" s="6"/>
      <c r="BO3238" s="6"/>
      <c r="BP3238" s="6"/>
      <c r="BQ3238" s="6"/>
      <c r="BR3238" s="6"/>
      <c r="BS3238" s="6"/>
      <c r="BT3238" s="6"/>
      <c r="BU3238" s="6"/>
      <c r="BV3238" s="6"/>
      <c r="BW3238" s="6"/>
      <c r="BX3238" s="6"/>
      <c r="BY3238" s="6"/>
      <c r="BZ3238" s="6"/>
    </row>
    <row r="3239" spans="1:78" ht="21.75" customHeight="1">
      <c r="A3239" s="6"/>
      <c r="B3239" s="6"/>
      <c r="C3239" s="6"/>
      <c r="D3239" s="6"/>
      <c r="E3239" s="6"/>
      <c r="F3239" s="6"/>
      <c r="G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O3239" s="6"/>
      <c r="AP3239" s="6"/>
      <c r="BH3239" s="6"/>
      <c r="BI3239" s="6"/>
      <c r="BJ3239" s="6"/>
      <c r="BK3239" s="6"/>
      <c r="BL3239" s="6"/>
      <c r="BM3239" s="6"/>
      <c r="BN3239" s="6"/>
      <c r="BO3239" s="6"/>
      <c r="BP3239" s="6"/>
      <c r="BQ3239" s="6"/>
      <c r="BR3239" s="6"/>
      <c r="BS3239" s="6"/>
      <c r="BT3239" s="6"/>
      <c r="BU3239" s="6"/>
      <c r="BV3239" s="6"/>
      <c r="BW3239" s="6"/>
      <c r="BX3239" s="6"/>
      <c r="BY3239" s="6"/>
      <c r="BZ3239" s="6"/>
    </row>
    <row r="3240" spans="1:78" ht="21.75" customHeight="1">
      <c r="A3240" s="6"/>
      <c r="B3240" s="6"/>
      <c r="C3240" s="6"/>
      <c r="D3240" s="6"/>
      <c r="E3240" s="6"/>
      <c r="F3240" s="6"/>
      <c r="G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O3240" s="6"/>
      <c r="AP3240" s="6"/>
      <c r="BH3240" s="6"/>
      <c r="BI3240" s="6"/>
      <c r="BJ3240" s="6"/>
      <c r="BK3240" s="6"/>
      <c r="BL3240" s="6"/>
      <c r="BM3240" s="6"/>
      <c r="BN3240" s="6"/>
      <c r="BO3240" s="6"/>
      <c r="BP3240" s="6"/>
      <c r="BQ3240" s="6"/>
      <c r="BR3240" s="6"/>
      <c r="BS3240" s="6"/>
      <c r="BT3240" s="6"/>
      <c r="BU3240" s="6"/>
      <c r="BV3240" s="6"/>
      <c r="BW3240" s="6"/>
      <c r="BX3240" s="6"/>
      <c r="BY3240" s="6"/>
      <c r="BZ3240" s="6"/>
    </row>
    <row r="3241" spans="1:78" ht="21.75" customHeight="1">
      <c r="A3241" s="6"/>
      <c r="B3241" s="6"/>
      <c r="C3241" s="6"/>
      <c r="D3241" s="6"/>
      <c r="E3241" s="6"/>
      <c r="F3241" s="6"/>
      <c r="G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O3241" s="6"/>
      <c r="AP3241" s="6"/>
      <c r="BH3241" s="6"/>
      <c r="BI3241" s="6"/>
      <c r="BJ3241" s="6"/>
      <c r="BK3241" s="6"/>
      <c r="BL3241" s="6"/>
      <c r="BM3241" s="6"/>
      <c r="BN3241" s="6"/>
      <c r="BO3241" s="6"/>
      <c r="BP3241" s="6"/>
      <c r="BQ3241" s="6"/>
      <c r="BR3241" s="6"/>
      <c r="BS3241" s="6"/>
      <c r="BT3241" s="6"/>
      <c r="BU3241" s="6"/>
      <c r="BV3241" s="6"/>
      <c r="BW3241" s="6"/>
      <c r="BX3241" s="6"/>
      <c r="BY3241" s="6"/>
      <c r="BZ3241" s="6"/>
    </row>
    <row r="3242" spans="1:78" ht="21.75" customHeight="1">
      <c r="A3242" s="6"/>
      <c r="B3242" s="6"/>
      <c r="C3242" s="6"/>
      <c r="D3242" s="6"/>
      <c r="E3242" s="6"/>
      <c r="F3242" s="6"/>
      <c r="G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O3242" s="6"/>
      <c r="AP3242" s="6"/>
      <c r="BH3242" s="6"/>
      <c r="BI3242" s="6"/>
      <c r="BJ3242" s="6"/>
      <c r="BK3242" s="6"/>
      <c r="BL3242" s="6"/>
      <c r="BM3242" s="6"/>
      <c r="BN3242" s="6"/>
      <c r="BO3242" s="6"/>
      <c r="BP3242" s="6"/>
      <c r="BQ3242" s="6"/>
      <c r="BR3242" s="6"/>
      <c r="BS3242" s="6"/>
      <c r="BT3242" s="6"/>
      <c r="BU3242" s="6"/>
      <c r="BV3242" s="6"/>
      <c r="BW3242" s="6"/>
      <c r="BX3242" s="6"/>
      <c r="BY3242" s="6"/>
      <c r="BZ3242" s="6"/>
    </row>
    <row r="3243" spans="1:78" ht="21.75" customHeight="1">
      <c r="A3243" s="6"/>
      <c r="B3243" s="6"/>
      <c r="C3243" s="6"/>
      <c r="D3243" s="6"/>
      <c r="E3243" s="6"/>
      <c r="F3243" s="6"/>
      <c r="G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O3243" s="6"/>
      <c r="AP3243" s="6"/>
      <c r="BH3243" s="6"/>
      <c r="BI3243" s="6"/>
      <c r="BJ3243" s="6"/>
      <c r="BK3243" s="6"/>
      <c r="BL3243" s="6"/>
      <c r="BM3243" s="6"/>
      <c r="BN3243" s="6"/>
      <c r="BO3243" s="6"/>
      <c r="BP3243" s="6"/>
      <c r="BQ3243" s="6"/>
      <c r="BR3243" s="6"/>
      <c r="BS3243" s="6"/>
      <c r="BT3243" s="6"/>
      <c r="BU3243" s="6"/>
      <c r="BV3243" s="6"/>
      <c r="BW3243" s="6"/>
      <c r="BX3243" s="6"/>
      <c r="BY3243" s="6"/>
      <c r="BZ3243" s="6"/>
    </row>
    <row r="3244" spans="1:78" ht="21.75" customHeight="1">
      <c r="A3244" s="6"/>
      <c r="B3244" s="6"/>
      <c r="C3244" s="6"/>
      <c r="D3244" s="6"/>
      <c r="E3244" s="6"/>
      <c r="F3244" s="6"/>
      <c r="G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O3244" s="6"/>
      <c r="AP3244" s="6"/>
      <c r="BH3244" s="6"/>
      <c r="BI3244" s="6"/>
      <c r="BJ3244" s="6"/>
      <c r="BK3244" s="6"/>
      <c r="BL3244" s="6"/>
      <c r="BM3244" s="6"/>
      <c r="BN3244" s="6"/>
      <c r="BO3244" s="6"/>
      <c r="BP3244" s="6"/>
      <c r="BQ3244" s="6"/>
      <c r="BR3244" s="6"/>
      <c r="BS3244" s="6"/>
      <c r="BT3244" s="6"/>
      <c r="BU3244" s="6"/>
      <c r="BV3244" s="6"/>
      <c r="BW3244" s="6"/>
      <c r="BX3244" s="6"/>
      <c r="BY3244" s="6"/>
      <c r="BZ3244" s="6"/>
    </row>
    <row r="3245" spans="1:78" ht="21.75" customHeight="1">
      <c r="A3245" s="6"/>
      <c r="B3245" s="6"/>
      <c r="C3245" s="6"/>
      <c r="D3245" s="6"/>
      <c r="E3245" s="6"/>
      <c r="F3245" s="6"/>
      <c r="G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O3245" s="6"/>
      <c r="AP3245" s="6"/>
      <c r="BH3245" s="6"/>
      <c r="BI3245" s="6"/>
      <c r="BJ3245" s="6"/>
      <c r="BK3245" s="6"/>
      <c r="BL3245" s="6"/>
      <c r="BM3245" s="6"/>
      <c r="BN3245" s="6"/>
      <c r="BO3245" s="6"/>
      <c r="BP3245" s="6"/>
      <c r="BQ3245" s="6"/>
      <c r="BR3245" s="6"/>
      <c r="BS3245" s="6"/>
      <c r="BT3245" s="6"/>
      <c r="BU3245" s="6"/>
      <c r="BV3245" s="6"/>
      <c r="BW3245" s="6"/>
      <c r="BX3245" s="6"/>
      <c r="BY3245" s="6"/>
      <c r="BZ3245" s="6"/>
    </row>
    <row r="3246" spans="1:78" ht="21.75" customHeight="1">
      <c r="A3246" s="6"/>
      <c r="B3246" s="6"/>
      <c r="C3246" s="6"/>
      <c r="D3246" s="6"/>
      <c r="E3246" s="6"/>
      <c r="F3246" s="6"/>
      <c r="G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O3246" s="6"/>
      <c r="AP3246" s="6"/>
      <c r="BH3246" s="6"/>
      <c r="BI3246" s="6"/>
      <c r="BJ3246" s="6"/>
      <c r="BK3246" s="6"/>
      <c r="BL3246" s="6"/>
      <c r="BM3246" s="6"/>
      <c r="BN3246" s="6"/>
      <c r="BO3246" s="6"/>
      <c r="BP3246" s="6"/>
      <c r="BQ3246" s="6"/>
      <c r="BR3246" s="6"/>
      <c r="BS3246" s="6"/>
      <c r="BT3246" s="6"/>
      <c r="BU3246" s="6"/>
      <c r="BV3246" s="6"/>
      <c r="BW3246" s="6"/>
      <c r="BX3246" s="6"/>
      <c r="BY3246" s="6"/>
      <c r="BZ3246" s="6"/>
    </row>
    <row r="3247" spans="1:78" ht="21.75" customHeight="1">
      <c r="A3247" s="6"/>
      <c r="B3247" s="6"/>
      <c r="C3247" s="6"/>
      <c r="D3247" s="6"/>
      <c r="E3247" s="6"/>
      <c r="F3247" s="6"/>
      <c r="G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O3247" s="6"/>
      <c r="AP3247" s="6"/>
      <c r="BH3247" s="6"/>
      <c r="BI3247" s="6"/>
      <c r="BJ3247" s="6"/>
      <c r="BK3247" s="6"/>
      <c r="BL3247" s="6"/>
      <c r="BM3247" s="6"/>
      <c r="BN3247" s="6"/>
      <c r="BO3247" s="6"/>
      <c r="BP3247" s="6"/>
      <c r="BQ3247" s="6"/>
      <c r="BR3247" s="6"/>
      <c r="BS3247" s="6"/>
      <c r="BT3247" s="6"/>
      <c r="BU3247" s="6"/>
      <c r="BV3247" s="6"/>
      <c r="BW3247" s="6"/>
      <c r="BX3247" s="6"/>
      <c r="BY3247" s="6"/>
      <c r="BZ3247" s="6"/>
    </row>
    <row r="3248" spans="1:78" ht="21.75" customHeight="1">
      <c r="A3248" s="6"/>
      <c r="B3248" s="6"/>
      <c r="C3248" s="6"/>
      <c r="D3248" s="6"/>
      <c r="E3248" s="6"/>
      <c r="F3248" s="6"/>
      <c r="G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O3248" s="6"/>
      <c r="AP3248" s="6"/>
      <c r="BH3248" s="6"/>
      <c r="BI3248" s="6"/>
      <c r="BJ3248" s="6"/>
      <c r="BK3248" s="6"/>
      <c r="BL3248" s="6"/>
      <c r="BM3248" s="6"/>
      <c r="BN3248" s="6"/>
      <c r="BO3248" s="6"/>
      <c r="BP3248" s="6"/>
      <c r="BQ3248" s="6"/>
      <c r="BR3248" s="6"/>
      <c r="BS3248" s="6"/>
      <c r="BT3248" s="6"/>
      <c r="BU3248" s="6"/>
      <c r="BV3248" s="6"/>
      <c r="BW3248" s="6"/>
      <c r="BX3248" s="6"/>
      <c r="BY3248" s="6"/>
      <c r="BZ3248" s="6"/>
    </row>
    <row r="3249" spans="1:78" ht="21.75" customHeight="1">
      <c r="A3249" s="6"/>
      <c r="B3249" s="6"/>
      <c r="C3249" s="6"/>
      <c r="D3249" s="6"/>
      <c r="E3249" s="6"/>
      <c r="F3249" s="6"/>
      <c r="G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O3249" s="6"/>
      <c r="AP3249" s="6"/>
      <c r="BH3249" s="6"/>
      <c r="BI3249" s="6"/>
      <c r="BJ3249" s="6"/>
      <c r="BK3249" s="6"/>
      <c r="BL3249" s="6"/>
      <c r="BM3249" s="6"/>
      <c r="BN3249" s="6"/>
      <c r="BO3249" s="6"/>
      <c r="BP3249" s="6"/>
      <c r="BQ3249" s="6"/>
      <c r="BR3249" s="6"/>
      <c r="BS3249" s="6"/>
      <c r="BT3249" s="6"/>
      <c r="BU3249" s="6"/>
      <c r="BV3249" s="6"/>
      <c r="BW3249" s="6"/>
      <c r="BX3249" s="6"/>
      <c r="BY3249" s="6"/>
      <c r="BZ3249" s="6"/>
    </row>
    <row r="3250" spans="1:78" ht="21.75" customHeight="1">
      <c r="A3250" s="6"/>
      <c r="B3250" s="6"/>
      <c r="C3250" s="6"/>
      <c r="D3250" s="6"/>
      <c r="E3250" s="6"/>
      <c r="F3250" s="6"/>
      <c r="G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O3250" s="6"/>
      <c r="AP3250" s="6"/>
      <c r="BH3250" s="6"/>
      <c r="BI3250" s="6"/>
      <c r="BJ3250" s="6"/>
      <c r="BK3250" s="6"/>
      <c r="BL3250" s="6"/>
      <c r="BM3250" s="6"/>
      <c r="BN3250" s="6"/>
      <c r="BO3250" s="6"/>
      <c r="BP3250" s="6"/>
      <c r="BQ3250" s="6"/>
      <c r="BR3250" s="6"/>
      <c r="BS3250" s="6"/>
      <c r="BT3250" s="6"/>
      <c r="BU3250" s="6"/>
      <c r="BV3250" s="6"/>
      <c r="BW3250" s="6"/>
      <c r="BX3250" s="6"/>
      <c r="BY3250" s="6"/>
      <c r="BZ3250" s="6"/>
    </row>
    <row r="3251" spans="1:78" ht="21.75" customHeight="1">
      <c r="A3251" s="6"/>
      <c r="B3251" s="6"/>
      <c r="C3251" s="6"/>
      <c r="D3251" s="6"/>
      <c r="E3251" s="6"/>
      <c r="F3251" s="6"/>
      <c r="G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O3251" s="6"/>
      <c r="AP3251" s="6"/>
      <c r="BH3251" s="6"/>
      <c r="BI3251" s="6"/>
      <c r="BJ3251" s="6"/>
      <c r="BK3251" s="6"/>
      <c r="BL3251" s="6"/>
      <c r="BM3251" s="6"/>
      <c r="BN3251" s="6"/>
      <c r="BO3251" s="6"/>
      <c r="BP3251" s="6"/>
      <c r="BQ3251" s="6"/>
      <c r="BR3251" s="6"/>
      <c r="BS3251" s="6"/>
      <c r="BT3251" s="6"/>
      <c r="BU3251" s="6"/>
      <c r="BV3251" s="6"/>
      <c r="BW3251" s="6"/>
      <c r="BX3251" s="6"/>
      <c r="BY3251" s="6"/>
      <c r="BZ3251" s="6"/>
    </row>
    <row r="3252" spans="1:78" ht="21.75" customHeight="1">
      <c r="A3252" s="6"/>
      <c r="B3252" s="6"/>
      <c r="C3252" s="6"/>
      <c r="D3252" s="6"/>
      <c r="E3252" s="6"/>
      <c r="F3252" s="6"/>
      <c r="G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O3252" s="6"/>
      <c r="AP3252" s="6"/>
      <c r="BH3252" s="6"/>
      <c r="BI3252" s="6"/>
      <c r="BJ3252" s="6"/>
      <c r="BK3252" s="6"/>
      <c r="BL3252" s="6"/>
      <c r="BM3252" s="6"/>
      <c r="BN3252" s="6"/>
      <c r="BO3252" s="6"/>
      <c r="BP3252" s="6"/>
      <c r="BQ3252" s="6"/>
      <c r="BR3252" s="6"/>
      <c r="BS3252" s="6"/>
      <c r="BT3252" s="6"/>
      <c r="BU3252" s="6"/>
      <c r="BV3252" s="6"/>
      <c r="BW3252" s="6"/>
      <c r="BX3252" s="6"/>
      <c r="BY3252" s="6"/>
      <c r="BZ3252" s="6"/>
    </row>
    <row r="3253" spans="1:78" ht="21.75" customHeight="1">
      <c r="A3253" s="6"/>
      <c r="B3253" s="6"/>
      <c r="C3253" s="6"/>
      <c r="D3253" s="6"/>
      <c r="E3253" s="6"/>
      <c r="F3253" s="6"/>
      <c r="G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O3253" s="6"/>
      <c r="AP3253" s="6"/>
      <c r="BH3253" s="6"/>
      <c r="BI3253" s="6"/>
      <c r="BJ3253" s="6"/>
      <c r="BK3253" s="6"/>
      <c r="BL3253" s="6"/>
      <c r="BM3253" s="6"/>
      <c r="BN3253" s="6"/>
      <c r="BO3253" s="6"/>
      <c r="BP3253" s="6"/>
      <c r="BQ3253" s="6"/>
      <c r="BR3253" s="6"/>
      <c r="BS3253" s="6"/>
      <c r="BT3253" s="6"/>
      <c r="BU3253" s="6"/>
      <c r="BV3253" s="6"/>
      <c r="BW3253" s="6"/>
      <c r="BX3253" s="6"/>
      <c r="BY3253" s="6"/>
      <c r="BZ3253" s="6"/>
    </row>
    <row r="3254" spans="1:78" s="450" customFormat="1" ht="21.75" customHeight="1"/>
    <row r="3255" spans="1:78" s="448" customFormat="1" ht="21.75" customHeight="1"/>
    <row r="3256" spans="1:78" ht="21.75" customHeight="1">
      <c r="A3256" s="6"/>
      <c r="B3256" s="6"/>
      <c r="C3256" s="6"/>
      <c r="D3256" s="6"/>
      <c r="E3256" s="6"/>
      <c r="F3256" s="6"/>
      <c r="G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O3256" s="6"/>
      <c r="AP3256" s="6"/>
      <c r="BH3256" s="6"/>
      <c r="BI3256" s="6"/>
      <c r="BJ3256" s="6"/>
      <c r="BK3256" s="6"/>
      <c r="BL3256" s="6"/>
      <c r="BM3256" s="6"/>
      <c r="BN3256" s="6"/>
      <c r="BO3256" s="6"/>
      <c r="BP3256" s="6"/>
      <c r="BQ3256" s="6"/>
      <c r="BR3256" s="6"/>
      <c r="BS3256" s="6"/>
      <c r="BT3256" s="6"/>
      <c r="BU3256" s="6"/>
      <c r="BV3256" s="6"/>
      <c r="BW3256" s="6"/>
      <c r="BX3256" s="6"/>
      <c r="BY3256" s="6"/>
      <c r="BZ3256" s="6"/>
    </row>
    <row r="3257" spans="1:78" ht="21.75" customHeight="1">
      <c r="A3257" s="6"/>
      <c r="B3257" s="6"/>
      <c r="C3257" s="6"/>
      <c r="D3257" s="6"/>
      <c r="E3257" s="6"/>
      <c r="F3257" s="6"/>
      <c r="G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O3257" s="6"/>
      <c r="AP3257" s="6"/>
      <c r="BH3257" s="6"/>
      <c r="BI3257" s="6"/>
      <c r="BJ3257" s="6"/>
      <c r="BK3257" s="6"/>
      <c r="BL3257" s="6"/>
      <c r="BM3257" s="6"/>
      <c r="BN3257" s="6"/>
      <c r="BO3257" s="6"/>
      <c r="BP3257" s="6"/>
      <c r="BQ3257" s="6"/>
      <c r="BR3257" s="6"/>
      <c r="BS3257" s="6"/>
      <c r="BT3257" s="6"/>
      <c r="BU3257" s="6"/>
      <c r="BV3257" s="6"/>
      <c r="BW3257" s="6"/>
      <c r="BX3257" s="6"/>
      <c r="BY3257" s="6"/>
      <c r="BZ3257" s="6"/>
    </row>
    <row r="3258" spans="1:78" ht="21.75" customHeight="1">
      <c r="A3258" s="6"/>
      <c r="B3258" s="6"/>
      <c r="C3258" s="6"/>
      <c r="D3258" s="6"/>
      <c r="E3258" s="6"/>
      <c r="F3258" s="6"/>
      <c r="G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O3258" s="6"/>
      <c r="AP3258" s="6"/>
      <c r="BH3258" s="6"/>
      <c r="BI3258" s="6"/>
      <c r="BJ3258" s="6"/>
      <c r="BK3258" s="6"/>
      <c r="BL3258" s="6"/>
      <c r="BM3258" s="6"/>
      <c r="BN3258" s="6"/>
      <c r="BO3258" s="6"/>
      <c r="BP3258" s="6"/>
      <c r="BQ3258" s="6"/>
      <c r="BR3258" s="6"/>
      <c r="BS3258" s="6"/>
      <c r="BT3258" s="6"/>
      <c r="BU3258" s="6"/>
      <c r="BV3258" s="6"/>
      <c r="BW3258" s="6"/>
      <c r="BX3258" s="6"/>
      <c r="BY3258" s="6"/>
      <c r="BZ3258" s="6"/>
    </row>
    <row r="3259" spans="1:78" ht="21.75" customHeight="1">
      <c r="A3259" s="6"/>
      <c r="B3259" s="6"/>
      <c r="C3259" s="6"/>
      <c r="D3259" s="6"/>
      <c r="E3259" s="6"/>
      <c r="F3259" s="6"/>
      <c r="G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O3259" s="6"/>
      <c r="AP3259" s="6"/>
      <c r="BH3259" s="6"/>
      <c r="BI3259" s="6"/>
      <c r="BJ3259" s="6"/>
      <c r="BK3259" s="6"/>
      <c r="BL3259" s="6"/>
      <c r="BM3259" s="6"/>
      <c r="BN3259" s="6"/>
      <c r="BO3259" s="6"/>
      <c r="BP3259" s="6"/>
      <c r="BQ3259" s="6"/>
      <c r="BR3259" s="6"/>
      <c r="BS3259" s="6"/>
      <c r="BT3259" s="6"/>
      <c r="BU3259" s="6"/>
      <c r="BV3259" s="6"/>
      <c r="BW3259" s="6"/>
      <c r="BX3259" s="6"/>
      <c r="BY3259" s="6"/>
      <c r="BZ3259" s="6"/>
    </row>
    <row r="3260" spans="1:78" ht="21.75" customHeight="1">
      <c r="A3260" s="6"/>
      <c r="B3260" s="6"/>
      <c r="C3260" s="6"/>
      <c r="D3260" s="6"/>
      <c r="E3260" s="6"/>
      <c r="F3260" s="6"/>
      <c r="G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O3260" s="6"/>
      <c r="AP3260" s="6"/>
      <c r="BH3260" s="6"/>
      <c r="BI3260" s="6"/>
      <c r="BJ3260" s="6"/>
      <c r="BK3260" s="6"/>
      <c r="BL3260" s="6"/>
      <c r="BM3260" s="6"/>
      <c r="BN3260" s="6"/>
      <c r="BO3260" s="6"/>
      <c r="BP3260" s="6"/>
      <c r="BQ3260" s="6"/>
      <c r="BR3260" s="6"/>
      <c r="BS3260" s="6"/>
      <c r="BT3260" s="6"/>
      <c r="BU3260" s="6"/>
      <c r="BV3260" s="6"/>
      <c r="BW3260" s="6"/>
      <c r="BX3260" s="6"/>
      <c r="BY3260" s="6"/>
      <c r="BZ3260" s="6"/>
    </row>
    <row r="3261" spans="1:78" ht="21.75" customHeight="1">
      <c r="A3261" s="6"/>
      <c r="B3261" s="6"/>
      <c r="C3261" s="6"/>
      <c r="D3261" s="6"/>
      <c r="E3261" s="6"/>
      <c r="F3261" s="6"/>
      <c r="G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O3261" s="6"/>
      <c r="AP3261" s="6"/>
      <c r="BH3261" s="6"/>
      <c r="BI3261" s="6"/>
      <c r="BJ3261" s="6"/>
      <c r="BK3261" s="6"/>
      <c r="BL3261" s="6"/>
      <c r="BM3261" s="6"/>
      <c r="BN3261" s="6"/>
      <c r="BO3261" s="6"/>
      <c r="BP3261" s="6"/>
      <c r="BQ3261" s="6"/>
      <c r="BR3261" s="6"/>
      <c r="BS3261" s="6"/>
      <c r="BT3261" s="6"/>
      <c r="BU3261" s="6"/>
      <c r="BV3261" s="6"/>
      <c r="BW3261" s="6"/>
      <c r="BX3261" s="6"/>
      <c r="BY3261" s="6"/>
      <c r="BZ3261" s="6"/>
    </row>
    <row r="3262" spans="1:78" ht="21.75" customHeight="1">
      <c r="A3262" s="6"/>
      <c r="B3262" s="6"/>
      <c r="C3262" s="6"/>
      <c r="D3262" s="6"/>
      <c r="E3262" s="6"/>
      <c r="F3262" s="6"/>
      <c r="G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O3262" s="6"/>
      <c r="AP3262" s="6"/>
      <c r="BH3262" s="6"/>
      <c r="BI3262" s="6"/>
      <c r="BJ3262" s="6"/>
      <c r="BK3262" s="6"/>
      <c r="BL3262" s="6"/>
      <c r="BM3262" s="6"/>
      <c r="BN3262" s="6"/>
      <c r="BO3262" s="6"/>
      <c r="BP3262" s="6"/>
      <c r="BQ3262" s="6"/>
      <c r="BR3262" s="6"/>
      <c r="BS3262" s="6"/>
      <c r="BT3262" s="6"/>
      <c r="BU3262" s="6"/>
      <c r="BV3262" s="6"/>
      <c r="BW3262" s="6"/>
      <c r="BX3262" s="6"/>
      <c r="BY3262" s="6"/>
      <c r="BZ3262" s="6"/>
    </row>
    <row r="3263" spans="1:78" ht="21.75" customHeight="1">
      <c r="A3263" s="6"/>
      <c r="B3263" s="6"/>
      <c r="C3263" s="6"/>
      <c r="D3263" s="6"/>
      <c r="E3263" s="6"/>
      <c r="F3263" s="6"/>
      <c r="G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O3263" s="6"/>
      <c r="AP3263" s="6"/>
      <c r="BH3263" s="6"/>
      <c r="BI3263" s="6"/>
      <c r="BJ3263" s="6"/>
      <c r="BK3263" s="6"/>
      <c r="BL3263" s="6"/>
      <c r="BM3263" s="6"/>
      <c r="BN3263" s="6"/>
      <c r="BO3263" s="6"/>
      <c r="BP3263" s="6"/>
      <c r="BQ3263" s="6"/>
      <c r="BR3263" s="6"/>
      <c r="BS3263" s="6"/>
      <c r="BT3263" s="6"/>
      <c r="BU3263" s="6"/>
      <c r="BV3263" s="6"/>
      <c r="BW3263" s="6"/>
      <c r="BX3263" s="6"/>
      <c r="BY3263" s="6"/>
      <c r="BZ3263" s="6"/>
    </row>
    <row r="3264" spans="1:78" ht="21.75" customHeight="1">
      <c r="A3264" s="6"/>
      <c r="B3264" s="6"/>
      <c r="C3264" s="6"/>
      <c r="D3264" s="6"/>
      <c r="E3264" s="6"/>
      <c r="F3264" s="6"/>
      <c r="G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O3264" s="6"/>
      <c r="AP3264" s="6"/>
      <c r="BH3264" s="6"/>
      <c r="BI3264" s="6"/>
      <c r="BJ3264" s="6"/>
      <c r="BK3264" s="6"/>
      <c r="BL3264" s="6"/>
      <c r="BM3264" s="6"/>
      <c r="BN3264" s="6"/>
      <c r="BO3264" s="6"/>
      <c r="BP3264" s="6"/>
      <c r="BQ3264" s="6"/>
      <c r="BR3264" s="6"/>
      <c r="BS3264" s="6"/>
      <c r="BT3264" s="6"/>
      <c r="BU3264" s="6"/>
      <c r="BV3264" s="6"/>
      <c r="BW3264" s="6"/>
      <c r="BX3264" s="6"/>
      <c r="BY3264" s="6"/>
      <c r="BZ3264" s="6"/>
    </row>
    <row r="3265" spans="1:78" ht="21.75" customHeight="1">
      <c r="A3265" s="6"/>
      <c r="B3265" s="6"/>
      <c r="C3265" s="6"/>
      <c r="D3265" s="6"/>
      <c r="E3265" s="6"/>
      <c r="F3265" s="6"/>
      <c r="G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O3265" s="6"/>
      <c r="AP3265" s="6"/>
      <c r="BH3265" s="6"/>
      <c r="BI3265" s="6"/>
      <c r="BJ3265" s="6"/>
      <c r="BK3265" s="6"/>
      <c r="BL3265" s="6"/>
      <c r="BM3265" s="6"/>
      <c r="BN3265" s="6"/>
      <c r="BO3265" s="6"/>
      <c r="BP3265" s="6"/>
      <c r="BQ3265" s="6"/>
      <c r="BR3265" s="6"/>
      <c r="BS3265" s="6"/>
      <c r="BT3265" s="6"/>
      <c r="BU3265" s="6"/>
      <c r="BV3265" s="6"/>
      <c r="BW3265" s="6"/>
      <c r="BX3265" s="6"/>
      <c r="BY3265" s="6"/>
      <c r="BZ3265" s="6"/>
    </row>
    <row r="3266" spans="1:78" ht="21.75" customHeight="1">
      <c r="A3266" s="6"/>
      <c r="B3266" s="6"/>
      <c r="C3266" s="6"/>
      <c r="D3266" s="6"/>
      <c r="E3266" s="6"/>
      <c r="F3266" s="6"/>
      <c r="G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O3266" s="6"/>
      <c r="AP3266" s="6"/>
      <c r="BH3266" s="6"/>
      <c r="BI3266" s="6"/>
      <c r="BJ3266" s="6"/>
      <c r="BK3266" s="6"/>
      <c r="BL3266" s="6"/>
      <c r="BM3266" s="6"/>
      <c r="BN3266" s="6"/>
      <c r="BO3266" s="6"/>
      <c r="BP3266" s="6"/>
      <c r="BQ3266" s="6"/>
      <c r="BR3266" s="6"/>
      <c r="BS3266" s="6"/>
      <c r="BT3266" s="6"/>
      <c r="BU3266" s="6"/>
      <c r="BV3266" s="6"/>
      <c r="BW3266" s="6"/>
      <c r="BX3266" s="6"/>
      <c r="BY3266" s="6"/>
      <c r="BZ3266" s="6"/>
    </row>
    <row r="3267" spans="1:78" s="450" customFormat="1" ht="21.75" customHeight="1"/>
    <row r="3268" spans="1:78" s="448" customFormat="1" ht="21.75" customHeight="1"/>
    <row r="3269" spans="1:78" ht="21.75" customHeight="1">
      <c r="A3269" s="6"/>
      <c r="B3269" s="6"/>
      <c r="C3269" s="6"/>
      <c r="D3269" s="6"/>
      <c r="E3269" s="6"/>
      <c r="F3269" s="6"/>
      <c r="G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O3269" s="6"/>
      <c r="AP3269" s="6"/>
      <c r="BH3269" s="6"/>
      <c r="BI3269" s="6"/>
      <c r="BJ3269" s="6"/>
      <c r="BK3269" s="6"/>
      <c r="BL3269" s="6"/>
      <c r="BM3269" s="6"/>
      <c r="BN3269" s="6"/>
      <c r="BO3269" s="6"/>
      <c r="BP3269" s="6"/>
      <c r="BQ3269" s="6"/>
      <c r="BR3269" s="6"/>
      <c r="BS3269" s="6"/>
      <c r="BT3269" s="6"/>
      <c r="BU3269" s="6"/>
      <c r="BV3269" s="6"/>
      <c r="BW3269" s="6"/>
      <c r="BX3269" s="6"/>
      <c r="BY3269" s="6"/>
      <c r="BZ3269" s="6"/>
    </row>
    <row r="3270" spans="1:78" ht="21.75" customHeight="1">
      <c r="A3270" s="6"/>
      <c r="B3270" s="6"/>
      <c r="C3270" s="6"/>
      <c r="D3270" s="6"/>
      <c r="E3270" s="6"/>
      <c r="F3270" s="6"/>
      <c r="G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O3270" s="6"/>
      <c r="AP3270" s="6"/>
      <c r="BH3270" s="6"/>
      <c r="BI3270" s="6"/>
      <c r="BJ3270" s="6"/>
      <c r="BK3270" s="6"/>
      <c r="BL3270" s="6"/>
      <c r="BM3270" s="6"/>
      <c r="BN3270" s="6"/>
      <c r="BO3270" s="6"/>
      <c r="BP3270" s="6"/>
      <c r="BQ3270" s="6"/>
      <c r="BR3270" s="6"/>
      <c r="BS3270" s="6"/>
      <c r="BT3270" s="6"/>
      <c r="BU3270" s="6"/>
      <c r="BV3270" s="6"/>
      <c r="BW3270" s="6"/>
      <c r="BX3270" s="6"/>
      <c r="BY3270" s="6"/>
      <c r="BZ3270" s="6"/>
    </row>
    <row r="3271" spans="1:78" ht="21.75" customHeight="1">
      <c r="A3271" s="6"/>
      <c r="B3271" s="6"/>
      <c r="C3271" s="6"/>
      <c r="D3271" s="6"/>
      <c r="E3271" s="6"/>
      <c r="F3271" s="6"/>
      <c r="G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O3271" s="6"/>
      <c r="AP3271" s="6"/>
      <c r="BH3271" s="6"/>
      <c r="BI3271" s="6"/>
      <c r="BJ3271" s="6"/>
      <c r="BK3271" s="6"/>
      <c r="BL3271" s="6"/>
      <c r="BM3271" s="6"/>
      <c r="BN3271" s="6"/>
      <c r="BO3271" s="6"/>
      <c r="BP3271" s="6"/>
      <c r="BQ3271" s="6"/>
      <c r="BR3271" s="6"/>
      <c r="BS3271" s="6"/>
      <c r="BT3271" s="6"/>
      <c r="BU3271" s="6"/>
      <c r="BV3271" s="6"/>
      <c r="BW3271" s="6"/>
      <c r="BX3271" s="6"/>
      <c r="BY3271" s="6"/>
      <c r="BZ3271" s="6"/>
    </row>
    <row r="3272" spans="1:78" ht="21.75" customHeight="1">
      <c r="A3272" s="6"/>
      <c r="B3272" s="6"/>
      <c r="C3272" s="6"/>
      <c r="D3272" s="6"/>
      <c r="E3272" s="6"/>
      <c r="F3272" s="6"/>
      <c r="G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O3272" s="6"/>
      <c r="AP3272" s="6"/>
      <c r="BH3272" s="6"/>
      <c r="BI3272" s="6"/>
      <c r="BJ3272" s="6"/>
      <c r="BK3272" s="6"/>
      <c r="BL3272" s="6"/>
      <c r="BM3272" s="6"/>
      <c r="BN3272" s="6"/>
      <c r="BO3272" s="6"/>
      <c r="BP3272" s="6"/>
      <c r="BQ3272" s="6"/>
      <c r="BR3272" s="6"/>
      <c r="BS3272" s="6"/>
      <c r="BT3272" s="6"/>
      <c r="BU3272" s="6"/>
      <c r="BV3272" s="6"/>
      <c r="BW3272" s="6"/>
      <c r="BX3272" s="6"/>
      <c r="BY3272" s="6"/>
      <c r="BZ3272" s="6"/>
    </row>
    <row r="3273" spans="1:78" ht="21.75" customHeight="1">
      <c r="A3273" s="6"/>
      <c r="B3273" s="6"/>
      <c r="C3273" s="6"/>
      <c r="D3273" s="6"/>
      <c r="E3273" s="6"/>
      <c r="F3273" s="6"/>
      <c r="G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O3273" s="6"/>
      <c r="AP3273" s="6"/>
      <c r="BH3273" s="6"/>
      <c r="BI3273" s="6"/>
      <c r="BJ3273" s="6"/>
      <c r="BK3273" s="6"/>
      <c r="BL3273" s="6"/>
      <c r="BM3273" s="6"/>
      <c r="BN3273" s="6"/>
      <c r="BO3273" s="6"/>
      <c r="BP3273" s="6"/>
      <c r="BQ3273" s="6"/>
      <c r="BR3273" s="6"/>
      <c r="BS3273" s="6"/>
      <c r="BT3273" s="6"/>
      <c r="BU3273" s="6"/>
      <c r="BV3273" s="6"/>
      <c r="BW3273" s="6"/>
      <c r="BX3273" s="6"/>
      <c r="BY3273" s="6"/>
      <c r="BZ3273" s="6"/>
    </row>
    <row r="3274" spans="1:78" ht="21.75" customHeight="1">
      <c r="A3274" s="6"/>
      <c r="B3274" s="6"/>
      <c r="C3274" s="6"/>
      <c r="D3274" s="6"/>
      <c r="E3274" s="6"/>
      <c r="F3274" s="6"/>
      <c r="G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O3274" s="6"/>
      <c r="AP3274" s="6"/>
      <c r="BH3274" s="6"/>
      <c r="BI3274" s="6"/>
      <c r="BJ3274" s="6"/>
      <c r="BK3274" s="6"/>
      <c r="BL3274" s="6"/>
      <c r="BM3274" s="6"/>
      <c r="BN3274" s="6"/>
      <c r="BO3274" s="6"/>
      <c r="BP3274" s="6"/>
      <c r="BQ3274" s="6"/>
      <c r="BR3274" s="6"/>
      <c r="BS3274" s="6"/>
      <c r="BT3274" s="6"/>
      <c r="BU3274" s="6"/>
      <c r="BV3274" s="6"/>
      <c r="BW3274" s="6"/>
      <c r="BX3274" s="6"/>
      <c r="BY3274" s="6"/>
      <c r="BZ3274" s="6"/>
    </row>
    <row r="3275" spans="1:78" ht="21.75" customHeight="1">
      <c r="A3275" s="6"/>
      <c r="B3275" s="6"/>
      <c r="C3275" s="6"/>
      <c r="D3275" s="6"/>
      <c r="E3275" s="6"/>
      <c r="F3275" s="6"/>
      <c r="G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O3275" s="6"/>
      <c r="AP3275" s="6"/>
      <c r="BH3275" s="6"/>
      <c r="BI3275" s="6"/>
      <c r="BJ3275" s="6"/>
      <c r="BK3275" s="6"/>
      <c r="BL3275" s="6"/>
      <c r="BM3275" s="6"/>
      <c r="BN3275" s="6"/>
      <c r="BO3275" s="6"/>
      <c r="BP3275" s="6"/>
      <c r="BQ3275" s="6"/>
      <c r="BR3275" s="6"/>
      <c r="BS3275" s="6"/>
      <c r="BT3275" s="6"/>
      <c r="BU3275" s="6"/>
      <c r="BV3275" s="6"/>
      <c r="BW3275" s="6"/>
      <c r="BX3275" s="6"/>
      <c r="BY3275" s="6"/>
      <c r="BZ3275" s="6"/>
    </row>
    <row r="3276" spans="1:78" ht="21.75" customHeight="1">
      <c r="A3276" s="6"/>
      <c r="B3276" s="6"/>
      <c r="C3276" s="6"/>
      <c r="D3276" s="6"/>
      <c r="E3276" s="6"/>
      <c r="F3276" s="6"/>
      <c r="G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O3276" s="6"/>
      <c r="AP3276" s="6"/>
      <c r="BH3276" s="6"/>
      <c r="BI3276" s="6"/>
      <c r="BJ3276" s="6"/>
      <c r="BK3276" s="6"/>
      <c r="BL3276" s="6"/>
      <c r="BM3276" s="6"/>
      <c r="BN3276" s="6"/>
      <c r="BO3276" s="6"/>
      <c r="BP3276" s="6"/>
      <c r="BQ3276" s="6"/>
      <c r="BR3276" s="6"/>
      <c r="BS3276" s="6"/>
      <c r="BT3276" s="6"/>
      <c r="BU3276" s="6"/>
      <c r="BV3276" s="6"/>
      <c r="BW3276" s="6"/>
      <c r="BX3276" s="6"/>
      <c r="BY3276" s="6"/>
      <c r="BZ3276" s="6"/>
    </row>
    <row r="3277" spans="1:78" ht="21.75" customHeight="1">
      <c r="A3277" s="6"/>
      <c r="B3277" s="6"/>
      <c r="C3277" s="6"/>
      <c r="D3277" s="6"/>
      <c r="E3277" s="6"/>
      <c r="F3277" s="6"/>
      <c r="G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O3277" s="6"/>
      <c r="AP3277" s="6"/>
      <c r="BH3277" s="6"/>
      <c r="BI3277" s="6"/>
      <c r="BJ3277" s="6"/>
      <c r="BK3277" s="6"/>
      <c r="BL3277" s="6"/>
      <c r="BM3277" s="6"/>
      <c r="BN3277" s="6"/>
      <c r="BO3277" s="6"/>
      <c r="BP3277" s="6"/>
      <c r="BQ3277" s="6"/>
      <c r="BR3277" s="6"/>
      <c r="BS3277" s="6"/>
      <c r="BT3277" s="6"/>
      <c r="BU3277" s="6"/>
      <c r="BV3277" s="6"/>
      <c r="BW3277" s="6"/>
      <c r="BX3277" s="6"/>
      <c r="BY3277" s="6"/>
      <c r="BZ3277" s="6"/>
    </row>
    <row r="3278" spans="1:78" ht="21.75" customHeight="1">
      <c r="A3278" s="6"/>
      <c r="B3278" s="6"/>
      <c r="C3278" s="6"/>
      <c r="D3278" s="6"/>
      <c r="E3278" s="6"/>
      <c r="F3278" s="6"/>
      <c r="G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O3278" s="6"/>
      <c r="AP3278" s="6"/>
      <c r="BH3278" s="6"/>
      <c r="BI3278" s="6"/>
      <c r="BJ3278" s="6"/>
      <c r="BK3278" s="6"/>
      <c r="BL3278" s="6"/>
      <c r="BM3278" s="6"/>
      <c r="BN3278" s="6"/>
      <c r="BO3278" s="6"/>
      <c r="BP3278" s="6"/>
      <c r="BQ3278" s="6"/>
      <c r="BR3278" s="6"/>
      <c r="BS3278" s="6"/>
      <c r="BT3278" s="6"/>
      <c r="BU3278" s="6"/>
      <c r="BV3278" s="6"/>
      <c r="BW3278" s="6"/>
      <c r="BX3278" s="6"/>
      <c r="BY3278" s="6"/>
      <c r="BZ3278" s="6"/>
    </row>
    <row r="3279" spans="1:78" ht="21.75" customHeight="1">
      <c r="A3279" s="6"/>
      <c r="B3279" s="6"/>
      <c r="C3279" s="6"/>
      <c r="D3279" s="6"/>
      <c r="E3279" s="6"/>
      <c r="F3279" s="6"/>
      <c r="G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O3279" s="6"/>
      <c r="AP3279" s="6"/>
      <c r="BH3279" s="6"/>
      <c r="BI3279" s="6"/>
      <c r="BJ3279" s="6"/>
      <c r="BK3279" s="6"/>
      <c r="BL3279" s="6"/>
      <c r="BM3279" s="6"/>
      <c r="BN3279" s="6"/>
      <c r="BO3279" s="6"/>
      <c r="BP3279" s="6"/>
      <c r="BQ3279" s="6"/>
      <c r="BR3279" s="6"/>
      <c r="BS3279" s="6"/>
      <c r="BT3279" s="6"/>
      <c r="BU3279" s="6"/>
      <c r="BV3279" s="6"/>
      <c r="BW3279" s="6"/>
      <c r="BX3279" s="6"/>
      <c r="BY3279" s="6"/>
      <c r="BZ3279" s="6"/>
    </row>
    <row r="3280" spans="1:78" s="450" customFormat="1" ht="21.75" customHeight="1"/>
    <row r="3281" spans="1:78" s="448" customFormat="1" ht="21.75" customHeight="1"/>
    <row r="3282" spans="1:78" ht="21.75" customHeight="1">
      <c r="A3282" s="6"/>
      <c r="B3282" s="6"/>
      <c r="C3282" s="6"/>
      <c r="D3282" s="6"/>
      <c r="E3282" s="6"/>
      <c r="F3282" s="6"/>
      <c r="G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O3282" s="6"/>
      <c r="AP3282" s="6"/>
      <c r="BH3282" s="6"/>
      <c r="BI3282" s="6"/>
      <c r="BJ3282" s="6"/>
      <c r="BK3282" s="6"/>
      <c r="BL3282" s="6"/>
      <c r="BM3282" s="6"/>
      <c r="BN3282" s="6"/>
      <c r="BO3282" s="6"/>
      <c r="BP3282" s="6"/>
      <c r="BQ3282" s="6"/>
      <c r="BR3282" s="6"/>
      <c r="BS3282" s="6"/>
      <c r="BT3282" s="6"/>
      <c r="BU3282" s="6"/>
      <c r="BV3282" s="6"/>
      <c r="BW3282" s="6"/>
      <c r="BX3282" s="6"/>
      <c r="BY3282" s="6"/>
      <c r="BZ3282" s="6"/>
    </row>
    <row r="3283" spans="1:78" ht="21.75" customHeight="1">
      <c r="A3283" s="6"/>
      <c r="B3283" s="6"/>
      <c r="C3283" s="6"/>
      <c r="D3283" s="6"/>
      <c r="E3283" s="6"/>
      <c r="F3283" s="6"/>
      <c r="G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O3283" s="6"/>
      <c r="AP3283" s="6"/>
      <c r="BH3283" s="6"/>
      <c r="BI3283" s="6"/>
      <c r="BJ3283" s="6"/>
      <c r="BK3283" s="6"/>
      <c r="BL3283" s="6"/>
      <c r="BM3283" s="6"/>
      <c r="BN3283" s="6"/>
      <c r="BO3283" s="6"/>
      <c r="BP3283" s="6"/>
      <c r="BQ3283" s="6"/>
      <c r="BR3283" s="6"/>
      <c r="BS3283" s="6"/>
      <c r="BT3283" s="6"/>
      <c r="BU3283" s="6"/>
      <c r="BV3283" s="6"/>
      <c r="BW3283" s="6"/>
      <c r="BX3283" s="6"/>
      <c r="BY3283" s="6"/>
      <c r="BZ3283" s="6"/>
    </row>
    <row r="3284" spans="1:78" ht="21.75" customHeight="1">
      <c r="A3284" s="6"/>
      <c r="B3284" s="6"/>
      <c r="C3284" s="6"/>
      <c r="D3284" s="6"/>
      <c r="E3284" s="6"/>
      <c r="F3284" s="6"/>
      <c r="G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O3284" s="6"/>
      <c r="AP3284" s="6"/>
      <c r="BH3284" s="6"/>
      <c r="BI3284" s="6"/>
      <c r="BJ3284" s="6"/>
      <c r="BK3284" s="6"/>
      <c r="BL3284" s="6"/>
      <c r="BM3284" s="6"/>
      <c r="BN3284" s="6"/>
      <c r="BO3284" s="6"/>
      <c r="BP3284" s="6"/>
      <c r="BQ3284" s="6"/>
      <c r="BR3284" s="6"/>
      <c r="BS3284" s="6"/>
      <c r="BT3284" s="6"/>
      <c r="BU3284" s="6"/>
      <c r="BV3284" s="6"/>
      <c r="BW3284" s="6"/>
      <c r="BX3284" s="6"/>
      <c r="BY3284" s="6"/>
      <c r="BZ3284" s="6"/>
    </row>
    <row r="3285" spans="1:78" ht="21.75" customHeight="1">
      <c r="A3285" s="6"/>
      <c r="B3285" s="6"/>
      <c r="C3285" s="6"/>
      <c r="D3285" s="6"/>
      <c r="E3285" s="6"/>
      <c r="F3285" s="6"/>
      <c r="G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O3285" s="6"/>
      <c r="AP3285" s="6"/>
      <c r="BH3285" s="6"/>
      <c r="BI3285" s="6"/>
      <c r="BJ3285" s="6"/>
      <c r="BK3285" s="6"/>
      <c r="BL3285" s="6"/>
      <c r="BM3285" s="6"/>
      <c r="BN3285" s="6"/>
      <c r="BO3285" s="6"/>
      <c r="BP3285" s="6"/>
      <c r="BQ3285" s="6"/>
      <c r="BR3285" s="6"/>
      <c r="BS3285" s="6"/>
      <c r="BT3285" s="6"/>
      <c r="BU3285" s="6"/>
      <c r="BV3285" s="6"/>
      <c r="BW3285" s="6"/>
      <c r="BX3285" s="6"/>
      <c r="BY3285" s="6"/>
      <c r="BZ3285" s="6"/>
    </row>
    <row r="3286" spans="1:78" ht="21.75" customHeight="1">
      <c r="A3286" s="6"/>
      <c r="B3286" s="6"/>
      <c r="C3286" s="6"/>
      <c r="D3286" s="6"/>
      <c r="E3286" s="6"/>
      <c r="F3286" s="6"/>
      <c r="G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O3286" s="6"/>
      <c r="AP3286" s="6"/>
      <c r="BH3286" s="6"/>
      <c r="BI3286" s="6"/>
      <c r="BJ3286" s="6"/>
      <c r="BK3286" s="6"/>
      <c r="BL3286" s="6"/>
      <c r="BM3286" s="6"/>
      <c r="BN3286" s="6"/>
      <c r="BO3286" s="6"/>
      <c r="BP3286" s="6"/>
      <c r="BQ3286" s="6"/>
      <c r="BR3286" s="6"/>
      <c r="BS3286" s="6"/>
      <c r="BT3286" s="6"/>
      <c r="BU3286" s="6"/>
      <c r="BV3286" s="6"/>
      <c r="BW3286" s="6"/>
      <c r="BX3286" s="6"/>
      <c r="BY3286" s="6"/>
      <c r="BZ3286" s="6"/>
    </row>
    <row r="3287" spans="1:78" ht="21.75" customHeight="1">
      <c r="A3287" s="6"/>
      <c r="B3287" s="6"/>
      <c r="C3287" s="6"/>
      <c r="D3287" s="6"/>
      <c r="E3287" s="6"/>
      <c r="F3287" s="6"/>
      <c r="G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O3287" s="6"/>
      <c r="AP3287" s="6"/>
      <c r="BH3287" s="6"/>
      <c r="BI3287" s="6"/>
      <c r="BJ3287" s="6"/>
      <c r="BK3287" s="6"/>
      <c r="BL3287" s="6"/>
      <c r="BM3287" s="6"/>
      <c r="BN3287" s="6"/>
      <c r="BO3287" s="6"/>
      <c r="BP3287" s="6"/>
      <c r="BQ3287" s="6"/>
      <c r="BR3287" s="6"/>
      <c r="BS3287" s="6"/>
      <c r="BT3287" s="6"/>
      <c r="BU3287" s="6"/>
      <c r="BV3287" s="6"/>
      <c r="BW3287" s="6"/>
      <c r="BX3287" s="6"/>
      <c r="BY3287" s="6"/>
      <c r="BZ3287" s="6"/>
    </row>
    <row r="3288" spans="1:78" ht="21.75" customHeight="1">
      <c r="A3288" s="6"/>
      <c r="B3288" s="6"/>
      <c r="C3288" s="6"/>
      <c r="D3288" s="6"/>
      <c r="E3288" s="6"/>
      <c r="F3288" s="6"/>
      <c r="G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O3288" s="6"/>
      <c r="AP3288" s="6"/>
      <c r="BH3288" s="6"/>
      <c r="BI3288" s="6"/>
      <c r="BJ3288" s="6"/>
      <c r="BK3288" s="6"/>
      <c r="BL3288" s="6"/>
      <c r="BM3288" s="6"/>
      <c r="BN3288" s="6"/>
      <c r="BO3288" s="6"/>
      <c r="BP3288" s="6"/>
      <c r="BQ3288" s="6"/>
      <c r="BR3288" s="6"/>
      <c r="BS3288" s="6"/>
      <c r="BT3288" s="6"/>
      <c r="BU3288" s="6"/>
      <c r="BV3288" s="6"/>
      <c r="BW3288" s="6"/>
      <c r="BX3288" s="6"/>
      <c r="BY3288" s="6"/>
      <c r="BZ3288" s="6"/>
    </row>
    <row r="3289" spans="1:78" ht="21.75" customHeight="1">
      <c r="A3289" s="6"/>
      <c r="B3289" s="6"/>
      <c r="C3289" s="6"/>
      <c r="D3289" s="6"/>
      <c r="E3289" s="6"/>
      <c r="F3289" s="6"/>
      <c r="G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O3289" s="6"/>
      <c r="AP3289" s="6"/>
      <c r="BH3289" s="6"/>
      <c r="BI3289" s="6"/>
      <c r="BJ3289" s="6"/>
      <c r="BK3289" s="6"/>
      <c r="BL3289" s="6"/>
      <c r="BM3289" s="6"/>
      <c r="BN3289" s="6"/>
      <c r="BO3289" s="6"/>
      <c r="BP3289" s="6"/>
      <c r="BQ3289" s="6"/>
      <c r="BR3289" s="6"/>
      <c r="BS3289" s="6"/>
      <c r="BT3289" s="6"/>
      <c r="BU3289" s="6"/>
      <c r="BV3289" s="6"/>
      <c r="BW3289" s="6"/>
      <c r="BX3289" s="6"/>
      <c r="BY3289" s="6"/>
      <c r="BZ3289" s="6"/>
    </row>
    <row r="3290" spans="1:78" ht="21.75" customHeight="1">
      <c r="A3290" s="6"/>
      <c r="B3290" s="6"/>
      <c r="C3290" s="6"/>
      <c r="D3290" s="6"/>
      <c r="E3290" s="6"/>
      <c r="F3290" s="6"/>
      <c r="G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O3290" s="6"/>
      <c r="AP3290" s="6"/>
      <c r="BH3290" s="6"/>
      <c r="BI3290" s="6"/>
      <c r="BJ3290" s="6"/>
      <c r="BK3290" s="6"/>
      <c r="BL3290" s="6"/>
      <c r="BM3290" s="6"/>
      <c r="BN3290" s="6"/>
      <c r="BO3290" s="6"/>
      <c r="BP3290" s="6"/>
      <c r="BQ3290" s="6"/>
      <c r="BR3290" s="6"/>
      <c r="BS3290" s="6"/>
      <c r="BT3290" s="6"/>
      <c r="BU3290" s="6"/>
      <c r="BV3290" s="6"/>
      <c r="BW3290" s="6"/>
      <c r="BX3290" s="6"/>
      <c r="BY3290" s="6"/>
      <c r="BZ3290" s="6"/>
    </row>
    <row r="3291" spans="1:78" ht="21.75" customHeight="1">
      <c r="A3291" s="6"/>
      <c r="B3291" s="6"/>
      <c r="C3291" s="6"/>
      <c r="D3291" s="6"/>
      <c r="E3291" s="6"/>
      <c r="F3291" s="6"/>
      <c r="G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O3291" s="6"/>
      <c r="AP3291" s="6"/>
      <c r="BH3291" s="6"/>
      <c r="BI3291" s="6"/>
      <c r="BJ3291" s="6"/>
      <c r="BK3291" s="6"/>
      <c r="BL3291" s="6"/>
      <c r="BM3291" s="6"/>
      <c r="BN3291" s="6"/>
      <c r="BO3291" s="6"/>
      <c r="BP3291" s="6"/>
      <c r="BQ3291" s="6"/>
      <c r="BR3291" s="6"/>
      <c r="BS3291" s="6"/>
      <c r="BT3291" s="6"/>
      <c r="BU3291" s="6"/>
      <c r="BV3291" s="6"/>
      <c r="BW3291" s="6"/>
      <c r="BX3291" s="6"/>
      <c r="BY3291" s="6"/>
      <c r="BZ3291" s="6"/>
    </row>
    <row r="3292" spans="1:78" s="450" customFormat="1" ht="21.75" customHeight="1"/>
    <row r="3293" spans="1:78" s="448" customFormat="1" ht="21.75" customHeight="1"/>
    <row r="3294" spans="1:78" ht="21.75" customHeight="1">
      <c r="A3294" s="6"/>
      <c r="B3294" s="6"/>
      <c r="C3294" s="6"/>
      <c r="D3294" s="6"/>
      <c r="E3294" s="6"/>
      <c r="F3294" s="6"/>
      <c r="G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O3294" s="6"/>
      <c r="AP3294" s="6"/>
      <c r="BH3294" s="6"/>
      <c r="BI3294" s="6"/>
      <c r="BJ3294" s="6"/>
      <c r="BK3294" s="6"/>
      <c r="BL3294" s="6"/>
      <c r="BM3294" s="6"/>
      <c r="BN3294" s="6"/>
      <c r="BO3294" s="6"/>
      <c r="BP3294" s="6"/>
      <c r="BQ3294" s="6"/>
      <c r="BR3294" s="6"/>
      <c r="BS3294" s="6"/>
      <c r="BT3294" s="6"/>
      <c r="BU3294" s="6"/>
      <c r="BV3294" s="6"/>
      <c r="BW3294" s="6"/>
      <c r="BX3294" s="6"/>
      <c r="BY3294" s="6"/>
      <c r="BZ3294" s="6"/>
    </row>
    <row r="3295" spans="1:78" ht="21.75" customHeight="1">
      <c r="A3295" s="6"/>
      <c r="B3295" s="6"/>
      <c r="C3295" s="6"/>
      <c r="D3295" s="6"/>
      <c r="E3295" s="6"/>
      <c r="F3295" s="6"/>
      <c r="G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O3295" s="6"/>
      <c r="AP3295" s="6"/>
      <c r="BH3295" s="6"/>
      <c r="BI3295" s="6"/>
      <c r="BJ3295" s="6"/>
      <c r="BK3295" s="6"/>
      <c r="BL3295" s="6"/>
      <c r="BM3295" s="6"/>
      <c r="BN3295" s="6"/>
      <c r="BO3295" s="6"/>
      <c r="BP3295" s="6"/>
      <c r="BQ3295" s="6"/>
      <c r="BR3295" s="6"/>
      <c r="BS3295" s="6"/>
      <c r="BT3295" s="6"/>
      <c r="BU3295" s="6"/>
      <c r="BV3295" s="6"/>
      <c r="BW3295" s="6"/>
      <c r="BX3295" s="6"/>
      <c r="BY3295" s="6"/>
      <c r="BZ3295" s="6"/>
    </row>
    <row r="3296" spans="1:78" ht="21.75" customHeight="1">
      <c r="A3296" s="6"/>
      <c r="B3296" s="6"/>
      <c r="C3296" s="6"/>
      <c r="D3296" s="6"/>
      <c r="E3296" s="6"/>
      <c r="F3296" s="6"/>
      <c r="G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O3296" s="6"/>
      <c r="AP3296" s="6"/>
      <c r="BH3296" s="6"/>
      <c r="BI3296" s="6"/>
      <c r="BJ3296" s="6"/>
      <c r="BK3296" s="6"/>
      <c r="BL3296" s="6"/>
      <c r="BM3296" s="6"/>
      <c r="BN3296" s="6"/>
      <c r="BO3296" s="6"/>
      <c r="BP3296" s="6"/>
      <c r="BQ3296" s="6"/>
      <c r="BR3296" s="6"/>
      <c r="BS3296" s="6"/>
      <c r="BT3296" s="6"/>
      <c r="BU3296" s="6"/>
      <c r="BV3296" s="6"/>
      <c r="BW3296" s="6"/>
      <c r="BX3296" s="6"/>
      <c r="BY3296" s="6"/>
      <c r="BZ3296" s="6"/>
    </row>
    <row r="3297" spans="1:78" ht="21.75" customHeight="1">
      <c r="A3297" s="6"/>
      <c r="B3297" s="6"/>
      <c r="C3297" s="6"/>
      <c r="D3297" s="6"/>
      <c r="E3297" s="6"/>
      <c r="F3297" s="6"/>
      <c r="G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O3297" s="6"/>
      <c r="AP3297" s="6"/>
      <c r="BH3297" s="6"/>
      <c r="BI3297" s="6"/>
      <c r="BJ3297" s="6"/>
      <c r="BK3297" s="6"/>
      <c r="BL3297" s="6"/>
      <c r="BM3297" s="6"/>
      <c r="BN3297" s="6"/>
      <c r="BO3297" s="6"/>
      <c r="BP3297" s="6"/>
      <c r="BQ3297" s="6"/>
      <c r="BR3297" s="6"/>
      <c r="BS3297" s="6"/>
      <c r="BT3297" s="6"/>
      <c r="BU3297" s="6"/>
      <c r="BV3297" s="6"/>
      <c r="BW3297" s="6"/>
      <c r="BX3297" s="6"/>
      <c r="BY3297" s="6"/>
      <c r="BZ3297" s="6"/>
    </row>
    <row r="3298" spans="1:78" ht="21.75" customHeight="1">
      <c r="A3298" s="6"/>
      <c r="B3298" s="6"/>
      <c r="C3298" s="6"/>
      <c r="D3298" s="6"/>
      <c r="E3298" s="6"/>
      <c r="F3298" s="6"/>
      <c r="G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O3298" s="6"/>
      <c r="AP3298" s="6"/>
      <c r="BH3298" s="6"/>
      <c r="BI3298" s="6"/>
      <c r="BJ3298" s="6"/>
      <c r="BK3298" s="6"/>
      <c r="BL3298" s="6"/>
      <c r="BM3298" s="6"/>
      <c r="BN3298" s="6"/>
      <c r="BO3298" s="6"/>
      <c r="BP3298" s="6"/>
      <c r="BQ3298" s="6"/>
      <c r="BR3298" s="6"/>
      <c r="BS3298" s="6"/>
      <c r="BT3298" s="6"/>
      <c r="BU3298" s="6"/>
      <c r="BV3298" s="6"/>
      <c r="BW3298" s="6"/>
      <c r="BX3298" s="6"/>
      <c r="BY3298" s="6"/>
      <c r="BZ3298" s="6"/>
    </row>
    <row r="3299" spans="1:78" ht="21.75" customHeight="1">
      <c r="A3299" s="6"/>
      <c r="B3299" s="6"/>
      <c r="C3299" s="6"/>
      <c r="D3299" s="6"/>
      <c r="E3299" s="6"/>
      <c r="F3299" s="6"/>
      <c r="G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O3299" s="6"/>
      <c r="AP3299" s="6"/>
      <c r="BH3299" s="6"/>
      <c r="BI3299" s="6"/>
      <c r="BJ3299" s="6"/>
      <c r="BK3299" s="6"/>
      <c r="BL3299" s="6"/>
      <c r="BM3299" s="6"/>
      <c r="BN3299" s="6"/>
      <c r="BO3299" s="6"/>
      <c r="BP3299" s="6"/>
      <c r="BQ3299" s="6"/>
      <c r="BR3299" s="6"/>
      <c r="BS3299" s="6"/>
      <c r="BT3299" s="6"/>
      <c r="BU3299" s="6"/>
      <c r="BV3299" s="6"/>
      <c r="BW3299" s="6"/>
      <c r="BX3299" s="6"/>
      <c r="BY3299" s="6"/>
      <c r="BZ3299" s="6"/>
    </row>
    <row r="3300" spans="1:78" ht="21.75" customHeight="1">
      <c r="A3300" s="6"/>
      <c r="B3300" s="6"/>
      <c r="C3300" s="6"/>
      <c r="D3300" s="6"/>
      <c r="E3300" s="6"/>
      <c r="F3300" s="6"/>
      <c r="G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O3300" s="6"/>
      <c r="AP3300" s="6"/>
      <c r="BH3300" s="6"/>
      <c r="BI3300" s="6"/>
      <c r="BJ3300" s="6"/>
      <c r="BK3300" s="6"/>
      <c r="BL3300" s="6"/>
      <c r="BM3300" s="6"/>
      <c r="BN3300" s="6"/>
      <c r="BO3300" s="6"/>
      <c r="BP3300" s="6"/>
      <c r="BQ3300" s="6"/>
      <c r="BR3300" s="6"/>
      <c r="BS3300" s="6"/>
      <c r="BT3300" s="6"/>
      <c r="BU3300" s="6"/>
      <c r="BV3300" s="6"/>
      <c r="BW3300" s="6"/>
      <c r="BX3300" s="6"/>
      <c r="BY3300" s="6"/>
      <c r="BZ3300" s="6"/>
    </row>
    <row r="3301" spans="1:78" ht="21.75" customHeight="1">
      <c r="A3301" s="6"/>
      <c r="B3301" s="6"/>
      <c r="C3301" s="6"/>
      <c r="D3301" s="6"/>
      <c r="E3301" s="6"/>
      <c r="F3301" s="6"/>
      <c r="G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O3301" s="6"/>
      <c r="AP3301" s="6"/>
      <c r="BH3301" s="6"/>
      <c r="BI3301" s="6"/>
      <c r="BJ3301" s="6"/>
      <c r="BK3301" s="6"/>
      <c r="BL3301" s="6"/>
      <c r="BM3301" s="6"/>
      <c r="BN3301" s="6"/>
      <c r="BO3301" s="6"/>
      <c r="BP3301" s="6"/>
      <c r="BQ3301" s="6"/>
      <c r="BR3301" s="6"/>
      <c r="BS3301" s="6"/>
      <c r="BT3301" s="6"/>
      <c r="BU3301" s="6"/>
      <c r="BV3301" s="6"/>
      <c r="BW3301" s="6"/>
      <c r="BX3301" s="6"/>
      <c r="BY3301" s="6"/>
      <c r="BZ3301" s="6"/>
    </row>
    <row r="3302" spans="1:78" s="450" customFormat="1" ht="21.75" customHeight="1"/>
    <row r="3303" spans="1:78" s="448" customFormat="1" ht="21.75" customHeight="1"/>
    <row r="3304" spans="1:78" ht="21.75" customHeight="1">
      <c r="A3304" s="6"/>
      <c r="B3304" s="6"/>
      <c r="C3304" s="6"/>
      <c r="D3304" s="6"/>
      <c r="E3304" s="6"/>
      <c r="F3304" s="6"/>
      <c r="G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O3304" s="6"/>
      <c r="AP3304" s="6"/>
      <c r="BH3304" s="6"/>
      <c r="BI3304" s="6"/>
      <c r="BJ3304" s="6"/>
      <c r="BK3304" s="6"/>
      <c r="BL3304" s="6"/>
      <c r="BM3304" s="6"/>
      <c r="BN3304" s="6"/>
      <c r="BO3304" s="6"/>
      <c r="BP3304" s="6"/>
      <c r="BQ3304" s="6"/>
      <c r="BR3304" s="6"/>
      <c r="BS3304" s="6"/>
      <c r="BT3304" s="6"/>
      <c r="BU3304" s="6"/>
      <c r="BV3304" s="6"/>
      <c r="BW3304" s="6"/>
      <c r="BX3304" s="6"/>
      <c r="BY3304" s="6"/>
      <c r="BZ3304" s="6"/>
    </row>
    <row r="3305" spans="1:78" ht="21.75" customHeight="1">
      <c r="A3305" s="6"/>
      <c r="B3305" s="6"/>
      <c r="C3305" s="6"/>
      <c r="D3305" s="6"/>
      <c r="E3305" s="6"/>
      <c r="F3305" s="6"/>
      <c r="G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O3305" s="6"/>
      <c r="AP3305" s="6"/>
      <c r="BH3305" s="6"/>
      <c r="BI3305" s="6"/>
      <c r="BJ3305" s="6"/>
      <c r="BK3305" s="6"/>
      <c r="BL3305" s="6"/>
      <c r="BM3305" s="6"/>
      <c r="BN3305" s="6"/>
      <c r="BO3305" s="6"/>
      <c r="BP3305" s="6"/>
      <c r="BQ3305" s="6"/>
      <c r="BR3305" s="6"/>
      <c r="BS3305" s="6"/>
      <c r="BT3305" s="6"/>
      <c r="BU3305" s="6"/>
      <c r="BV3305" s="6"/>
      <c r="BW3305" s="6"/>
      <c r="BX3305" s="6"/>
      <c r="BY3305" s="6"/>
      <c r="BZ3305" s="6"/>
    </row>
    <row r="3306" spans="1:78" ht="21.75" customHeight="1">
      <c r="A3306" s="6"/>
      <c r="B3306" s="6"/>
      <c r="C3306" s="6"/>
      <c r="D3306" s="6"/>
      <c r="E3306" s="6"/>
      <c r="F3306" s="6"/>
      <c r="G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O3306" s="6"/>
      <c r="AP3306" s="6"/>
      <c r="BH3306" s="6"/>
      <c r="BI3306" s="6"/>
      <c r="BJ3306" s="6"/>
      <c r="BK3306" s="6"/>
      <c r="BL3306" s="6"/>
      <c r="BM3306" s="6"/>
      <c r="BN3306" s="6"/>
      <c r="BO3306" s="6"/>
      <c r="BP3306" s="6"/>
      <c r="BQ3306" s="6"/>
      <c r="BR3306" s="6"/>
      <c r="BS3306" s="6"/>
      <c r="BT3306" s="6"/>
      <c r="BU3306" s="6"/>
      <c r="BV3306" s="6"/>
      <c r="BW3306" s="6"/>
      <c r="BX3306" s="6"/>
      <c r="BY3306" s="6"/>
      <c r="BZ3306" s="6"/>
    </row>
    <row r="3307" spans="1:78" ht="21.75" customHeight="1">
      <c r="A3307" s="6"/>
      <c r="B3307" s="6"/>
      <c r="C3307" s="6"/>
      <c r="D3307" s="6"/>
      <c r="E3307" s="6"/>
      <c r="F3307" s="6"/>
      <c r="G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O3307" s="6"/>
      <c r="AP3307" s="6"/>
      <c r="BH3307" s="6"/>
      <c r="BI3307" s="6"/>
      <c r="BJ3307" s="6"/>
      <c r="BK3307" s="6"/>
      <c r="BL3307" s="6"/>
      <c r="BM3307" s="6"/>
      <c r="BN3307" s="6"/>
      <c r="BO3307" s="6"/>
      <c r="BP3307" s="6"/>
      <c r="BQ3307" s="6"/>
      <c r="BR3307" s="6"/>
      <c r="BS3307" s="6"/>
      <c r="BT3307" s="6"/>
      <c r="BU3307" s="6"/>
      <c r="BV3307" s="6"/>
      <c r="BW3307" s="6"/>
      <c r="BX3307" s="6"/>
      <c r="BY3307" s="6"/>
      <c r="BZ3307" s="6"/>
    </row>
    <row r="3308" spans="1:78" ht="21.75" customHeight="1">
      <c r="A3308" s="6"/>
      <c r="B3308" s="6"/>
      <c r="C3308" s="6"/>
      <c r="D3308" s="6"/>
      <c r="E3308" s="6"/>
      <c r="F3308" s="6"/>
      <c r="G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O3308" s="6"/>
      <c r="AP3308" s="6"/>
      <c r="BH3308" s="6"/>
      <c r="BI3308" s="6"/>
      <c r="BJ3308" s="6"/>
      <c r="BK3308" s="6"/>
      <c r="BL3308" s="6"/>
      <c r="BM3308" s="6"/>
      <c r="BN3308" s="6"/>
      <c r="BO3308" s="6"/>
      <c r="BP3308" s="6"/>
      <c r="BQ3308" s="6"/>
      <c r="BR3308" s="6"/>
      <c r="BS3308" s="6"/>
      <c r="BT3308" s="6"/>
      <c r="BU3308" s="6"/>
      <c r="BV3308" s="6"/>
      <c r="BW3308" s="6"/>
      <c r="BX3308" s="6"/>
      <c r="BY3308" s="6"/>
      <c r="BZ3308" s="6"/>
    </row>
    <row r="3309" spans="1:78" ht="21.75" customHeight="1">
      <c r="A3309" s="6"/>
      <c r="B3309" s="6"/>
      <c r="C3309" s="6"/>
      <c r="D3309" s="6"/>
      <c r="E3309" s="6"/>
      <c r="F3309" s="6"/>
      <c r="G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O3309" s="6"/>
      <c r="AP3309" s="6"/>
      <c r="BH3309" s="6"/>
      <c r="BI3309" s="6"/>
      <c r="BJ3309" s="6"/>
      <c r="BK3309" s="6"/>
      <c r="BL3309" s="6"/>
      <c r="BM3309" s="6"/>
      <c r="BN3309" s="6"/>
      <c r="BO3309" s="6"/>
      <c r="BP3309" s="6"/>
      <c r="BQ3309" s="6"/>
      <c r="BR3309" s="6"/>
      <c r="BS3309" s="6"/>
      <c r="BT3309" s="6"/>
      <c r="BU3309" s="6"/>
      <c r="BV3309" s="6"/>
      <c r="BW3309" s="6"/>
      <c r="BX3309" s="6"/>
      <c r="BY3309" s="6"/>
      <c r="BZ3309" s="6"/>
    </row>
    <row r="3310" spans="1:78" ht="21.75" customHeight="1">
      <c r="A3310" s="6"/>
      <c r="B3310" s="6"/>
      <c r="C3310" s="6"/>
      <c r="D3310" s="6"/>
      <c r="E3310" s="6"/>
      <c r="F3310" s="6"/>
      <c r="G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O3310" s="6"/>
      <c r="AP3310" s="6"/>
      <c r="BH3310" s="6"/>
      <c r="BI3310" s="6"/>
      <c r="BJ3310" s="6"/>
      <c r="BK3310" s="6"/>
      <c r="BL3310" s="6"/>
      <c r="BM3310" s="6"/>
      <c r="BN3310" s="6"/>
      <c r="BO3310" s="6"/>
      <c r="BP3310" s="6"/>
      <c r="BQ3310" s="6"/>
      <c r="BR3310" s="6"/>
      <c r="BS3310" s="6"/>
      <c r="BT3310" s="6"/>
      <c r="BU3310" s="6"/>
      <c r="BV3310" s="6"/>
      <c r="BW3310" s="6"/>
      <c r="BX3310" s="6"/>
      <c r="BY3310" s="6"/>
      <c r="BZ3310" s="6"/>
    </row>
    <row r="3311" spans="1:78" ht="21.75" customHeight="1">
      <c r="A3311" s="6"/>
      <c r="B3311" s="6"/>
      <c r="C3311" s="6"/>
      <c r="D3311" s="6"/>
      <c r="E3311" s="6"/>
      <c r="F3311" s="6"/>
      <c r="G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O3311" s="6"/>
      <c r="AP3311" s="6"/>
      <c r="BH3311" s="6"/>
      <c r="BI3311" s="6"/>
      <c r="BJ3311" s="6"/>
      <c r="BK3311" s="6"/>
      <c r="BL3311" s="6"/>
      <c r="BM3311" s="6"/>
      <c r="BN3311" s="6"/>
      <c r="BO3311" s="6"/>
      <c r="BP3311" s="6"/>
      <c r="BQ3311" s="6"/>
      <c r="BR3311" s="6"/>
      <c r="BS3311" s="6"/>
      <c r="BT3311" s="6"/>
      <c r="BU3311" s="6"/>
      <c r="BV3311" s="6"/>
      <c r="BW3311" s="6"/>
      <c r="BX3311" s="6"/>
      <c r="BY3311" s="6"/>
      <c r="BZ3311" s="6"/>
    </row>
    <row r="3312" spans="1:78" ht="21.75" customHeight="1">
      <c r="A3312" s="6"/>
      <c r="B3312" s="6"/>
      <c r="C3312" s="6"/>
      <c r="D3312" s="6"/>
      <c r="E3312" s="6"/>
      <c r="F3312" s="6"/>
      <c r="G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O3312" s="6"/>
      <c r="AP3312" s="6"/>
      <c r="BH3312" s="6"/>
      <c r="BI3312" s="6"/>
      <c r="BJ3312" s="6"/>
      <c r="BK3312" s="6"/>
      <c r="BL3312" s="6"/>
      <c r="BM3312" s="6"/>
      <c r="BN3312" s="6"/>
      <c r="BO3312" s="6"/>
      <c r="BP3312" s="6"/>
      <c r="BQ3312" s="6"/>
      <c r="BR3312" s="6"/>
      <c r="BS3312" s="6"/>
      <c r="BT3312" s="6"/>
      <c r="BU3312" s="6"/>
      <c r="BV3312" s="6"/>
      <c r="BW3312" s="6"/>
      <c r="BX3312" s="6"/>
      <c r="BY3312" s="6"/>
      <c r="BZ3312" s="6"/>
    </row>
    <row r="3313" spans="1:78" ht="21.75" customHeight="1">
      <c r="A3313" s="6"/>
      <c r="B3313" s="6"/>
      <c r="C3313" s="6"/>
      <c r="D3313" s="6"/>
      <c r="E3313" s="6"/>
      <c r="F3313" s="6"/>
      <c r="G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O3313" s="6"/>
      <c r="AP3313" s="6"/>
      <c r="BH3313" s="6"/>
      <c r="BI3313" s="6"/>
      <c r="BJ3313" s="6"/>
      <c r="BK3313" s="6"/>
      <c r="BL3313" s="6"/>
      <c r="BM3313" s="6"/>
      <c r="BN3313" s="6"/>
      <c r="BO3313" s="6"/>
      <c r="BP3313" s="6"/>
      <c r="BQ3313" s="6"/>
      <c r="BR3313" s="6"/>
      <c r="BS3313" s="6"/>
      <c r="BT3313" s="6"/>
      <c r="BU3313" s="6"/>
      <c r="BV3313" s="6"/>
      <c r="BW3313" s="6"/>
      <c r="BX3313" s="6"/>
      <c r="BY3313" s="6"/>
      <c r="BZ3313" s="6"/>
    </row>
    <row r="3314" spans="1:78" ht="21.75" customHeight="1">
      <c r="A3314" s="6"/>
      <c r="B3314" s="6"/>
      <c r="C3314" s="6"/>
      <c r="D3314" s="6"/>
      <c r="E3314" s="6"/>
      <c r="F3314" s="6"/>
      <c r="G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O3314" s="6"/>
      <c r="AP3314" s="6"/>
      <c r="BH3314" s="6"/>
      <c r="BI3314" s="6"/>
      <c r="BJ3314" s="6"/>
      <c r="BK3314" s="6"/>
      <c r="BL3314" s="6"/>
      <c r="BM3314" s="6"/>
      <c r="BN3314" s="6"/>
      <c r="BO3314" s="6"/>
      <c r="BP3314" s="6"/>
      <c r="BQ3314" s="6"/>
      <c r="BR3314" s="6"/>
      <c r="BS3314" s="6"/>
      <c r="BT3314" s="6"/>
      <c r="BU3314" s="6"/>
      <c r="BV3314" s="6"/>
      <c r="BW3314" s="6"/>
      <c r="BX3314" s="6"/>
      <c r="BY3314" s="6"/>
      <c r="BZ3314" s="6"/>
    </row>
    <row r="3315" spans="1:78" ht="21.75" customHeight="1">
      <c r="A3315" s="6"/>
      <c r="B3315" s="6"/>
      <c r="C3315" s="6"/>
      <c r="D3315" s="6"/>
      <c r="E3315" s="6"/>
      <c r="F3315" s="6"/>
      <c r="G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O3315" s="6"/>
      <c r="AP3315" s="6"/>
      <c r="BH3315" s="6"/>
      <c r="BI3315" s="6"/>
      <c r="BJ3315" s="6"/>
      <c r="BK3315" s="6"/>
      <c r="BL3315" s="6"/>
      <c r="BM3315" s="6"/>
      <c r="BN3315" s="6"/>
      <c r="BO3315" s="6"/>
      <c r="BP3315" s="6"/>
      <c r="BQ3315" s="6"/>
      <c r="BR3315" s="6"/>
      <c r="BS3315" s="6"/>
      <c r="BT3315" s="6"/>
      <c r="BU3315" s="6"/>
      <c r="BV3315" s="6"/>
      <c r="BW3315" s="6"/>
      <c r="BX3315" s="6"/>
      <c r="BY3315" s="6"/>
      <c r="BZ3315" s="6"/>
    </row>
    <row r="3316" spans="1:78" s="497" customFormat="1" ht="21.75" customHeight="1"/>
    <row r="3317" spans="1:78" s="448" customFormat="1" ht="21.75" customHeight="1"/>
    <row r="3318" spans="1:78" s="472" customFormat="1" ht="21.75" customHeight="1"/>
    <row r="3319" spans="1:78" ht="21.75" customHeight="1">
      <c r="A3319" s="6"/>
      <c r="B3319" s="6"/>
      <c r="C3319" s="6"/>
      <c r="D3319" s="6"/>
      <c r="E3319" s="6"/>
      <c r="F3319" s="6"/>
      <c r="G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O3319" s="6"/>
      <c r="AP3319" s="6"/>
      <c r="BH3319" s="6"/>
      <c r="BI3319" s="6"/>
      <c r="BJ3319" s="6"/>
      <c r="BK3319" s="6"/>
      <c r="BL3319" s="6"/>
      <c r="BM3319" s="6"/>
      <c r="BN3319" s="6"/>
      <c r="BO3319" s="6"/>
      <c r="BP3319" s="6"/>
      <c r="BQ3319" s="6"/>
      <c r="BR3319" s="6"/>
      <c r="BS3319" s="6"/>
      <c r="BT3319" s="6"/>
      <c r="BU3319" s="6"/>
      <c r="BV3319" s="6"/>
      <c r="BW3319" s="6"/>
      <c r="BX3319" s="6"/>
      <c r="BY3319" s="6"/>
      <c r="BZ3319" s="6"/>
    </row>
    <row r="3320" spans="1:78" ht="21.75" customHeight="1">
      <c r="A3320" s="6"/>
      <c r="B3320" s="6"/>
      <c r="C3320" s="6"/>
      <c r="D3320" s="6"/>
      <c r="E3320" s="6"/>
      <c r="F3320" s="6"/>
      <c r="G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O3320" s="6"/>
      <c r="AP3320" s="6"/>
      <c r="BH3320" s="6"/>
      <c r="BI3320" s="6"/>
      <c r="BJ3320" s="6"/>
      <c r="BK3320" s="6"/>
      <c r="BL3320" s="6"/>
      <c r="BM3320" s="6"/>
      <c r="BN3320" s="6"/>
      <c r="BO3320" s="6"/>
      <c r="BP3320" s="6"/>
      <c r="BQ3320" s="6"/>
      <c r="BR3320" s="6"/>
      <c r="BS3320" s="6"/>
      <c r="BT3320" s="6"/>
      <c r="BU3320" s="6"/>
      <c r="BV3320" s="6"/>
      <c r="BW3320" s="6"/>
      <c r="BX3320" s="6"/>
      <c r="BY3320" s="6"/>
      <c r="BZ3320" s="6"/>
    </row>
    <row r="3321" spans="1:78" s="450" customFormat="1" ht="21.75" customHeight="1"/>
    <row r="3322" spans="1:78" s="448" customFormat="1" ht="21.75" customHeight="1"/>
    <row r="3323" spans="1:78" ht="21.75" customHeight="1">
      <c r="A3323" s="6"/>
      <c r="B3323" s="6"/>
      <c r="C3323" s="6"/>
      <c r="D3323" s="6"/>
      <c r="E3323" s="6"/>
      <c r="F3323" s="6"/>
      <c r="G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O3323" s="6"/>
      <c r="AP3323" s="6"/>
      <c r="BH3323" s="6"/>
      <c r="BI3323" s="6"/>
      <c r="BJ3323" s="6"/>
      <c r="BK3323" s="6"/>
      <c r="BL3323" s="6"/>
      <c r="BM3323" s="6"/>
      <c r="BN3323" s="6"/>
      <c r="BO3323" s="6"/>
      <c r="BP3323" s="6"/>
      <c r="BQ3323" s="6"/>
      <c r="BR3323" s="6"/>
      <c r="BS3323" s="6"/>
      <c r="BT3323" s="6"/>
      <c r="BU3323" s="6"/>
      <c r="BV3323" s="6"/>
      <c r="BW3323" s="6"/>
      <c r="BX3323" s="6"/>
      <c r="BY3323" s="6"/>
      <c r="BZ3323" s="6"/>
    </row>
    <row r="3324" spans="1:78" ht="21.75" customHeight="1">
      <c r="A3324" s="6"/>
      <c r="B3324" s="6"/>
      <c r="C3324" s="6"/>
      <c r="D3324" s="6"/>
      <c r="E3324" s="6"/>
      <c r="F3324" s="6"/>
      <c r="G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O3324" s="6"/>
      <c r="AP3324" s="6"/>
      <c r="BH3324" s="6"/>
      <c r="BI3324" s="6"/>
      <c r="BJ3324" s="6"/>
      <c r="BK3324" s="6"/>
      <c r="BL3324" s="6"/>
      <c r="BM3324" s="6"/>
      <c r="BN3324" s="6"/>
      <c r="BO3324" s="6"/>
      <c r="BP3324" s="6"/>
      <c r="BQ3324" s="6"/>
      <c r="BR3324" s="6"/>
      <c r="BS3324" s="6"/>
      <c r="BT3324" s="6"/>
      <c r="BU3324" s="6"/>
      <c r="BV3324" s="6"/>
      <c r="BW3324" s="6"/>
      <c r="BX3324" s="6"/>
      <c r="BY3324" s="6"/>
      <c r="BZ3324" s="6"/>
    </row>
    <row r="3325" spans="1:78" ht="21.75" customHeight="1">
      <c r="A3325" s="6"/>
      <c r="B3325" s="6"/>
      <c r="C3325" s="6"/>
      <c r="D3325" s="6"/>
      <c r="E3325" s="6"/>
      <c r="F3325" s="6"/>
      <c r="G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O3325" s="6"/>
      <c r="AP3325" s="6"/>
      <c r="BH3325" s="6"/>
      <c r="BI3325" s="6"/>
      <c r="BJ3325" s="6"/>
      <c r="BK3325" s="6"/>
      <c r="BL3325" s="6"/>
      <c r="BM3325" s="6"/>
      <c r="BN3325" s="6"/>
      <c r="BO3325" s="6"/>
      <c r="BP3325" s="6"/>
      <c r="BQ3325" s="6"/>
      <c r="BR3325" s="6"/>
      <c r="BS3325" s="6"/>
      <c r="BT3325" s="6"/>
      <c r="BU3325" s="6"/>
      <c r="BV3325" s="6"/>
      <c r="BW3325" s="6"/>
      <c r="BX3325" s="6"/>
      <c r="BY3325" s="6"/>
      <c r="BZ3325" s="6"/>
    </row>
    <row r="3326" spans="1:78" ht="21.75" customHeight="1">
      <c r="A3326" s="6"/>
      <c r="B3326" s="6"/>
      <c r="C3326" s="6"/>
      <c r="D3326" s="6"/>
      <c r="E3326" s="6"/>
      <c r="F3326" s="6"/>
      <c r="G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O3326" s="6"/>
      <c r="AP3326" s="6"/>
      <c r="BH3326" s="6"/>
      <c r="BI3326" s="6"/>
      <c r="BJ3326" s="6"/>
      <c r="BK3326" s="6"/>
      <c r="BL3326" s="6"/>
      <c r="BM3326" s="6"/>
      <c r="BN3326" s="6"/>
      <c r="BO3326" s="6"/>
      <c r="BP3326" s="6"/>
      <c r="BQ3326" s="6"/>
      <c r="BR3326" s="6"/>
      <c r="BS3326" s="6"/>
      <c r="BT3326" s="6"/>
      <c r="BU3326" s="6"/>
      <c r="BV3326" s="6"/>
      <c r="BW3326" s="6"/>
      <c r="BX3326" s="6"/>
      <c r="BY3326" s="6"/>
      <c r="BZ3326" s="6"/>
    </row>
    <row r="3327" spans="1:78" ht="21.75" customHeight="1">
      <c r="A3327" s="6"/>
      <c r="B3327" s="6"/>
      <c r="C3327" s="6"/>
      <c r="D3327" s="6"/>
      <c r="E3327" s="6"/>
      <c r="F3327" s="6"/>
      <c r="G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O3327" s="6"/>
      <c r="AP3327" s="6"/>
      <c r="BH3327" s="6"/>
      <c r="BI3327" s="6"/>
      <c r="BJ3327" s="6"/>
      <c r="BK3327" s="6"/>
      <c r="BL3327" s="6"/>
      <c r="BM3327" s="6"/>
      <c r="BN3327" s="6"/>
      <c r="BO3327" s="6"/>
      <c r="BP3327" s="6"/>
      <c r="BQ3327" s="6"/>
      <c r="BR3327" s="6"/>
      <c r="BS3327" s="6"/>
      <c r="BT3327" s="6"/>
      <c r="BU3327" s="6"/>
      <c r="BV3327" s="6"/>
      <c r="BW3327" s="6"/>
      <c r="BX3327" s="6"/>
      <c r="BY3327" s="6"/>
      <c r="BZ3327" s="6"/>
    </row>
    <row r="3328" spans="1:78" s="472" customFormat="1" ht="21.75" customHeight="1"/>
    <row r="3329" spans="1:78" ht="21.75" customHeight="1">
      <c r="A3329" s="6"/>
      <c r="B3329" s="6"/>
      <c r="C3329" s="6"/>
      <c r="D3329" s="6"/>
      <c r="E3329" s="6"/>
      <c r="F3329" s="6"/>
      <c r="G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O3329" s="6"/>
      <c r="AP3329" s="6"/>
      <c r="BH3329" s="6"/>
      <c r="BI3329" s="6"/>
      <c r="BJ3329" s="6"/>
      <c r="BK3329" s="6"/>
      <c r="BL3329" s="6"/>
      <c r="BM3329" s="6"/>
      <c r="BN3329" s="6"/>
      <c r="BO3329" s="6"/>
      <c r="BP3329" s="6"/>
      <c r="BQ3329" s="6"/>
      <c r="BR3329" s="6"/>
      <c r="BS3329" s="6"/>
      <c r="BT3329" s="6"/>
      <c r="BU3329" s="6"/>
      <c r="BV3329" s="6"/>
      <c r="BW3329" s="6"/>
      <c r="BX3329" s="6"/>
      <c r="BY3329" s="6"/>
      <c r="BZ3329" s="6"/>
    </row>
    <row r="3330" spans="1:78" ht="21.75" customHeight="1">
      <c r="A3330" s="6"/>
      <c r="B3330" s="6"/>
      <c r="C3330" s="6"/>
      <c r="D3330" s="6"/>
      <c r="E3330" s="6"/>
      <c r="F3330" s="6"/>
      <c r="G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O3330" s="6"/>
      <c r="AP3330" s="6"/>
      <c r="BH3330" s="6"/>
      <c r="BI3330" s="6"/>
      <c r="BJ3330" s="6"/>
      <c r="BK3330" s="6"/>
      <c r="BL3330" s="6"/>
      <c r="BM3330" s="6"/>
      <c r="BN3330" s="6"/>
      <c r="BO3330" s="6"/>
      <c r="BP3330" s="6"/>
      <c r="BQ3330" s="6"/>
      <c r="BR3330" s="6"/>
      <c r="BS3330" s="6"/>
      <c r="BT3330" s="6"/>
      <c r="BU3330" s="6"/>
      <c r="BV3330" s="6"/>
      <c r="BW3330" s="6"/>
      <c r="BX3330" s="6"/>
      <c r="BY3330" s="6"/>
      <c r="BZ3330" s="6"/>
    </row>
    <row r="3331" spans="1:78" ht="21.75" customHeight="1">
      <c r="A3331" s="6"/>
      <c r="B3331" s="6"/>
      <c r="C3331" s="6"/>
      <c r="D3331" s="6"/>
      <c r="E3331" s="6"/>
      <c r="F3331" s="6"/>
      <c r="G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O3331" s="6"/>
      <c r="AP3331" s="6"/>
      <c r="BH3331" s="6"/>
      <c r="BI3331" s="6"/>
      <c r="BJ3331" s="6"/>
      <c r="BK3331" s="6"/>
      <c r="BL3331" s="6"/>
      <c r="BM3331" s="6"/>
      <c r="BN3331" s="6"/>
      <c r="BO3331" s="6"/>
      <c r="BP3331" s="6"/>
      <c r="BQ3331" s="6"/>
      <c r="BR3331" s="6"/>
      <c r="BS3331" s="6"/>
      <c r="BT3331" s="6"/>
      <c r="BU3331" s="6"/>
      <c r="BV3331" s="6"/>
      <c r="BW3331" s="6"/>
      <c r="BX3331" s="6"/>
      <c r="BY3331" s="6"/>
      <c r="BZ3331" s="6"/>
    </row>
    <row r="3332" spans="1:78" ht="21.75" customHeight="1">
      <c r="A3332" s="6"/>
      <c r="B3332" s="6"/>
      <c r="C3332" s="6"/>
      <c r="D3332" s="6"/>
      <c r="E3332" s="6"/>
      <c r="F3332" s="6"/>
      <c r="G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O3332" s="6"/>
      <c r="AP3332" s="6"/>
      <c r="BH3332" s="6"/>
      <c r="BI3332" s="6"/>
      <c r="BJ3332" s="6"/>
      <c r="BK3332" s="6"/>
      <c r="BL3332" s="6"/>
      <c r="BM3332" s="6"/>
      <c r="BN3332" s="6"/>
      <c r="BO3332" s="6"/>
      <c r="BP3332" s="6"/>
      <c r="BQ3332" s="6"/>
      <c r="BR3332" s="6"/>
      <c r="BS3332" s="6"/>
      <c r="BT3332" s="6"/>
      <c r="BU3332" s="6"/>
      <c r="BV3332" s="6"/>
      <c r="BW3332" s="6"/>
      <c r="BX3332" s="6"/>
      <c r="BY3332" s="6"/>
      <c r="BZ3332" s="6"/>
    </row>
    <row r="3333" spans="1:78" ht="21.75" customHeight="1">
      <c r="A3333" s="6"/>
      <c r="B3333" s="6"/>
      <c r="C3333" s="6"/>
      <c r="D3333" s="6"/>
      <c r="E3333" s="6"/>
      <c r="F3333" s="6"/>
      <c r="G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O3333" s="6"/>
      <c r="AP3333" s="6"/>
      <c r="BH3333" s="6"/>
      <c r="BI3333" s="6"/>
      <c r="BJ3333" s="6"/>
      <c r="BK3333" s="6"/>
      <c r="BL3333" s="6"/>
      <c r="BM3333" s="6"/>
      <c r="BN3333" s="6"/>
      <c r="BO3333" s="6"/>
      <c r="BP3333" s="6"/>
      <c r="BQ3333" s="6"/>
      <c r="BR3333" s="6"/>
      <c r="BS3333" s="6"/>
      <c r="BT3333" s="6"/>
      <c r="BU3333" s="6"/>
      <c r="BV3333" s="6"/>
      <c r="BW3333" s="6"/>
      <c r="BX3333" s="6"/>
      <c r="BY3333" s="6"/>
      <c r="BZ3333" s="6"/>
    </row>
    <row r="3334" spans="1:78" ht="21.75" customHeight="1">
      <c r="A3334" s="6"/>
      <c r="B3334" s="6"/>
      <c r="C3334" s="6"/>
      <c r="D3334" s="6"/>
      <c r="E3334" s="6"/>
      <c r="F3334" s="6"/>
      <c r="G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O3334" s="6"/>
      <c r="AP3334" s="6"/>
      <c r="BH3334" s="6"/>
      <c r="BI3334" s="6"/>
      <c r="BJ3334" s="6"/>
      <c r="BK3334" s="6"/>
      <c r="BL3334" s="6"/>
      <c r="BM3334" s="6"/>
      <c r="BN3334" s="6"/>
      <c r="BO3334" s="6"/>
      <c r="BP3334" s="6"/>
      <c r="BQ3334" s="6"/>
      <c r="BR3334" s="6"/>
      <c r="BS3334" s="6"/>
      <c r="BT3334" s="6"/>
      <c r="BU3334" s="6"/>
      <c r="BV3334" s="6"/>
      <c r="BW3334" s="6"/>
      <c r="BX3334" s="6"/>
      <c r="BY3334" s="6"/>
      <c r="BZ3334" s="6"/>
    </row>
    <row r="3335" spans="1:78" ht="21.75" customHeight="1">
      <c r="A3335" s="6"/>
      <c r="B3335" s="6"/>
      <c r="C3335" s="6"/>
      <c r="D3335" s="6"/>
      <c r="E3335" s="6"/>
      <c r="F3335" s="6"/>
      <c r="G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O3335" s="6"/>
      <c r="AP3335" s="6"/>
      <c r="BH3335" s="6"/>
      <c r="BI3335" s="6"/>
      <c r="BJ3335" s="6"/>
      <c r="BK3335" s="6"/>
      <c r="BL3335" s="6"/>
      <c r="BM3335" s="6"/>
      <c r="BN3335" s="6"/>
      <c r="BO3335" s="6"/>
      <c r="BP3335" s="6"/>
      <c r="BQ3335" s="6"/>
      <c r="BR3335" s="6"/>
      <c r="BS3335" s="6"/>
      <c r="BT3335" s="6"/>
      <c r="BU3335" s="6"/>
      <c r="BV3335" s="6"/>
      <c r="BW3335" s="6"/>
      <c r="BX3335" s="6"/>
      <c r="BY3335" s="6"/>
      <c r="BZ3335" s="6"/>
    </row>
    <row r="3336" spans="1:78" ht="21.75" customHeight="1">
      <c r="A3336" s="6"/>
      <c r="B3336" s="6"/>
      <c r="C3336" s="6"/>
      <c r="D3336" s="6"/>
      <c r="E3336" s="6"/>
      <c r="F3336" s="6"/>
      <c r="G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O3336" s="6"/>
      <c r="AP3336" s="6"/>
      <c r="BH3336" s="6"/>
      <c r="BI3336" s="6"/>
      <c r="BJ3336" s="6"/>
      <c r="BK3336" s="6"/>
      <c r="BL3336" s="6"/>
      <c r="BM3336" s="6"/>
      <c r="BN3336" s="6"/>
      <c r="BO3336" s="6"/>
      <c r="BP3336" s="6"/>
      <c r="BQ3336" s="6"/>
      <c r="BR3336" s="6"/>
      <c r="BS3336" s="6"/>
      <c r="BT3336" s="6"/>
      <c r="BU3336" s="6"/>
      <c r="BV3336" s="6"/>
      <c r="BW3336" s="6"/>
      <c r="BX3336" s="6"/>
      <c r="BY3336" s="6"/>
      <c r="BZ3336" s="6"/>
    </row>
    <row r="3337" spans="1:78" ht="21.75" customHeight="1">
      <c r="A3337" s="6"/>
      <c r="B3337" s="6"/>
      <c r="C3337" s="6"/>
      <c r="D3337" s="6"/>
      <c r="E3337" s="6"/>
      <c r="F3337" s="6"/>
      <c r="G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O3337" s="6"/>
      <c r="AP3337" s="6"/>
      <c r="BH3337" s="6"/>
      <c r="BI3337" s="6"/>
      <c r="BJ3337" s="6"/>
      <c r="BK3337" s="6"/>
      <c r="BL3337" s="6"/>
      <c r="BM3337" s="6"/>
      <c r="BN3337" s="6"/>
      <c r="BO3337" s="6"/>
      <c r="BP3337" s="6"/>
      <c r="BQ3337" s="6"/>
      <c r="BR3337" s="6"/>
      <c r="BS3337" s="6"/>
      <c r="BT3337" s="6"/>
      <c r="BU3337" s="6"/>
      <c r="BV3337" s="6"/>
      <c r="BW3337" s="6"/>
      <c r="BX3337" s="6"/>
      <c r="BY3337" s="6"/>
      <c r="BZ3337" s="6"/>
    </row>
    <row r="3338" spans="1:78" s="450" customFormat="1" ht="21.75" customHeight="1"/>
    <row r="3339" spans="1:78" s="448" customFormat="1" ht="21.75" customHeight="1"/>
    <row r="3340" spans="1:78" ht="21.75" customHeight="1">
      <c r="A3340" s="6"/>
      <c r="B3340" s="6"/>
      <c r="C3340" s="6"/>
      <c r="D3340" s="6"/>
      <c r="E3340" s="6"/>
      <c r="F3340" s="6"/>
      <c r="G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O3340" s="6"/>
      <c r="AP3340" s="6"/>
      <c r="BH3340" s="6"/>
      <c r="BI3340" s="6"/>
      <c r="BJ3340" s="6"/>
      <c r="BK3340" s="6"/>
      <c r="BL3340" s="6"/>
      <c r="BM3340" s="6"/>
      <c r="BN3340" s="6"/>
      <c r="BO3340" s="6"/>
      <c r="BP3340" s="6"/>
      <c r="BQ3340" s="6"/>
      <c r="BR3340" s="6"/>
      <c r="BS3340" s="6"/>
      <c r="BT3340" s="6"/>
      <c r="BU3340" s="6"/>
      <c r="BV3340" s="6"/>
      <c r="BW3340" s="6"/>
      <c r="BX3340" s="6"/>
      <c r="BY3340" s="6"/>
      <c r="BZ3340" s="6"/>
    </row>
    <row r="3341" spans="1:78" ht="21.75" customHeight="1">
      <c r="A3341" s="6"/>
      <c r="B3341" s="6"/>
      <c r="C3341" s="6"/>
      <c r="D3341" s="6"/>
      <c r="E3341" s="6"/>
      <c r="F3341" s="6"/>
      <c r="G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O3341" s="6"/>
      <c r="AP3341" s="6"/>
      <c r="BH3341" s="6"/>
      <c r="BI3341" s="6"/>
      <c r="BJ3341" s="6"/>
      <c r="BK3341" s="6"/>
      <c r="BL3341" s="6"/>
      <c r="BM3341" s="6"/>
      <c r="BN3341" s="6"/>
      <c r="BO3341" s="6"/>
      <c r="BP3341" s="6"/>
      <c r="BQ3341" s="6"/>
      <c r="BR3341" s="6"/>
      <c r="BS3341" s="6"/>
      <c r="BT3341" s="6"/>
      <c r="BU3341" s="6"/>
      <c r="BV3341" s="6"/>
      <c r="BW3341" s="6"/>
      <c r="BX3341" s="6"/>
      <c r="BY3341" s="6"/>
      <c r="BZ3341" s="6"/>
    </row>
    <row r="3342" spans="1:78" ht="21.75" customHeight="1">
      <c r="A3342" s="6"/>
      <c r="B3342" s="6"/>
      <c r="C3342" s="6"/>
      <c r="D3342" s="6"/>
      <c r="E3342" s="6"/>
      <c r="F3342" s="6"/>
      <c r="G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O3342" s="6"/>
      <c r="AP3342" s="6"/>
      <c r="BH3342" s="6"/>
      <c r="BI3342" s="6"/>
      <c r="BJ3342" s="6"/>
      <c r="BK3342" s="6"/>
      <c r="BL3342" s="6"/>
      <c r="BM3342" s="6"/>
      <c r="BN3342" s="6"/>
      <c r="BO3342" s="6"/>
      <c r="BP3342" s="6"/>
      <c r="BQ3342" s="6"/>
      <c r="BR3342" s="6"/>
      <c r="BS3342" s="6"/>
      <c r="BT3342" s="6"/>
      <c r="BU3342" s="6"/>
      <c r="BV3342" s="6"/>
      <c r="BW3342" s="6"/>
      <c r="BX3342" s="6"/>
      <c r="BY3342" s="6"/>
      <c r="BZ3342" s="6"/>
    </row>
    <row r="3343" spans="1:78" ht="21.75" customHeight="1">
      <c r="A3343" s="6"/>
      <c r="B3343" s="6"/>
      <c r="C3343" s="6"/>
      <c r="D3343" s="6"/>
      <c r="E3343" s="6"/>
      <c r="F3343" s="6"/>
      <c r="G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O3343" s="6"/>
      <c r="AP3343" s="6"/>
      <c r="BH3343" s="6"/>
      <c r="BI3343" s="6"/>
      <c r="BJ3343" s="6"/>
      <c r="BK3343" s="6"/>
      <c r="BL3343" s="6"/>
      <c r="BM3343" s="6"/>
      <c r="BN3343" s="6"/>
      <c r="BO3343" s="6"/>
      <c r="BP3343" s="6"/>
      <c r="BQ3343" s="6"/>
      <c r="BR3343" s="6"/>
      <c r="BS3343" s="6"/>
      <c r="BT3343" s="6"/>
      <c r="BU3343" s="6"/>
      <c r="BV3343" s="6"/>
      <c r="BW3343" s="6"/>
      <c r="BX3343" s="6"/>
      <c r="BY3343" s="6"/>
      <c r="BZ3343" s="6"/>
    </row>
    <row r="3344" spans="1:78" ht="21.75" customHeight="1">
      <c r="A3344" s="6"/>
      <c r="B3344" s="6"/>
      <c r="C3344" s="6"/>
      <c r="D3344" s="6"/>
      <c r="E3344" s="6"/>
      <c r="F3344" s="6"/>
      <c r="G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O3344" s="6"/>
      <c r="AP3344" s="6"/>
      <c r="BH3344" s="6"/>
      <c r="BI3344" s="6"/>
      <c r="BJ3344" s="6"/>
      <c r="BK3344" s="6"/>
      <c r="BL3344" s="6"/>
      <c r="BM3344" s="6"/>
      <c r="BN3344" s="6"/>
      <c r="BO3344" s="6"/>
      <c r="BP3344" s="6"/>
      <c r="BQ3344" s="6"/>
      <c r="BR3344" s="6"/>
      <c r="BS3344" s="6"/>
      <c r="BT3344" s="6"/>
      <c r="BU3344" s="6"/>
      <c r="BV3344" s="6"/>
      <c r="BW3344" s="6"/>
      <c r="BX3344" s="6"/>
      <c r="BY3344" s="6"/>
      <c r="BZ3344" s="6"/>
    </row>
    <row r="3345" spans="1:78" ht="21.75" customHeight="1">
      <c r="A3345" s="6"/>
      <c r="B3345" s="6"/>
      <c r="C3345" s="6"/>
      <c r="D3345" s="6"/>
      <c r="E3345" s="6"/>
      <c r="F3345" s="6"/>
      <c r="G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O3345" s="6"/>
      <c r="AP3345" s="6"/>
      <c r="BH3345" s="6"/>
      <c r="BI3345" s="6"/>
      <c r="BJ3345" s="6"/>
      <c r="BK3345" s="6"/>
      <c r="BL3345" s="6"/>
      <c r="BM3345" s="6"/>
      <c r="BN3345" s="6"/>
      <c r="BO3345" s="6"/>
      <c r="BP3345" s="6"/>
      <c r="BQ3345" s="6"/>
      <c r="BR3345" s="6"/>
      <c r="BS3345" s="6"/>
      <c r="BT3345" s="6"/>
      <c r="BU3345" s="6"/>
      <c r="BV3345" s="6"/>
      <c r="BW3345" s="6"/>
      <c r="BX3345" s="6"/>
      <c r="BY3345" s="6"/>
      <c r="BZ3345" s="6"/>
    </row>
    <row r="3346" spans="1:78" ht="21.75" customHeight="1">
      <c r="A3346" s="6"/>
      <c r="B3346" s="6"/>
      <c r="C3346" s="6"/>
      <c r="D3346" s="6"/>
      <c r="E3346" s="6"/>
      <c r="F3346" s="6"/>
      <c r="G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O3346" s="6"/>
      <c r="AP3346" s="6"/>
      <c r="BH3346" s="6"/>
      <c r="BI3346" s="6"/>
      <c r="BJ3346" s="6"/>
      <c r="BK3346" s="6"/>
      <c r="BL3346" s="6"/>
      <c r="BM3346" s="6"/>
      <c r="BN3346" s="6"/>
      <c r="BO3346" s="6"/>
      <c r="BP3346" s="6"/>
      <c r="BQ3346" s="6"/>
      <c r="BR3346" s="6"/>
      <c r="BS3346" s="6"/>
      <c r="BT3346" s="6"/>
      <c r="BU3346" s="6"/>
      <c r="BV3346" s="6"/>
      <c r="BW3346" s="6"/>
      <c r="BX3346" s="6"/>
      <c r="BY3346" s="6"/>
      <c r="BZ3346" s="6"/>
    </row>
    <row r="3347" spans="1:78" ht="21.75" customHeight="1">
      <c r="A3347" s="6"/>
      <c r="B3347" s="6"/>
      <c r="C3347" s="6"/>
      <c r="D3347" s="6"/>
      <c r="E3347" s="6"/>
      <c r="F3347" s="6"/>
      <c r="G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O3347" s="6"/>
      <c r="AP3347" s="6"/>
      <c r="BH3347" s="6"/>
      <c r="BI3347" s="6"/>
      <c r="BJ3347" s="6"/>
      <c r="BK3347" s="6"/>
      <c r="BL3347" s="6"/>
      <c r="BM3347" s="6"/>
      <c r="BN3347" s="6"/>
      <c r="BO3347" s="6"/>
      <c r="BP3347" s="6"/>
      <c r="BQ3347" s="6"/>
      <c r="BR3347" s="6"/>
      <c r="BS3347" s="6"/>
      <c r="BT3347" s="6"/>
      <c r="BU3347" s="6"/>
      <c r="BV3347" s="6"/>
      <c r="BW3347" s="6"/>
      <c r="BX3347" s="6"/>
      <c r="BY3347" s="6"/>
      <c r="BZ3347" s="6"/>
    </row>
    <row r="3348" spans="1:78" ht="21.75" customHeight="1">
      <c r="A3348" s="6"/>
      <c r="B3348" s="6"/>
      <c r="C3348" s="6"/>
      <c r="D3348" s="6"/>
      <c r="E3348" s="6"/>
      <c r="F3348" s="6"/>
      <c r="G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O3348" s="6"/>
      <c r="AP3348" s="6"/>
      <c r="BH3348" s="6"/>
      <c r="BI3348" s="6"/>
      <c r="BJ3348" s="6"/>
      <c r="BK3348" s="6"/>
      <c r="BL3348" s="6"/>
      <c r="BM3348" s="6"/>
      <c r="BN3348" s="6"/>
      <c r="BO3348" s="6"/>
      <c r="BP3348" s="6"/>
      <c r="BQ3348" s="6"/>
      <c r="BR3348" s="6"/>
      <c r="BS3348" s="6"/>
      <c r="BT3348" s="6"/>
      <c r="BU3348" s="6"/>
      <c r="BV3348" s="6"/>
      <c r="BW3348" s="6"/>
      <c r="BX3348" s="6"/>
      <c r="BY3348" s="6"/>
      <c r="BZ3348" s="6"/>
    </row>
    <row r="3349" spans="1:78" ht="21.75" customHeight="1">
      <c r="A3349" s="6"/>
      <c r="B3349" s="6"/>
      <c r="C3349" s="6"/>
      <c r="D3349" s="6"/>
      <c r="E3349" s="6"/>
      <c r="F3349" s="6"/>
      <c r="G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O3349" s="6"/>
      <c r="AP3349" s="6"/>
      <c r="BH3349" s="6"/>
      <c r="BI3349" s="6"/>
      <c r="BJ3349" s="6"/>
      <c r="BK3349" s="6"/>
      <c r="BL3349" s="6"/>
      <c r="BM3349" s="6"/>
      <c r="BN3349" s="6"/>
      <c r="BO3349" s="6"/>
      <c r="BP3349" s="6"/>
      <c r="BQ3349" s="6"/>
      <c r="BR3349" s="6"/>
      <c r="BS3349" s="6"/>
      <c r="BT3349" s="6"/>
      <c r="BU3349" s="6"/>
      <c r="BV3349" s="6"/>
      <c r="BW3349" s="6"/>
      <c r="BX3349" s="6"/>
      <c r="BY3349" s="6"/>
      <c r="BZ3349" s="6"/>
    </row>
    <row r="3350" spans="1:78" ht="21.75" customHeight="1">
      <c r="A3350" s="6"/>
      <c r="B3350" s="6"/>
      <c r="C3350" s="6"/>
      <c r="D3350" s="6"/>
      <c r="E3350" s="6"/>
      <c r="F3350" s="6"/>
      <c r="G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O3350" s="6"/>
      <c r="AP3350" s="6"/>
      <c r="BH3350" s="6"/>
      <c r="BI3350" s="6"/>
      <c r="BJ3350" s="6"/>
      <c r="BK3350" s="6"/>
      <c r="BL3350" s="6"/>
      <c r="BM3350" s="6"/>
      <c r="BN3350" s="6"/>
      <c r="BO3350" s="6"/>
      <c r="BP3350" s="6"/>
      <c r="BQ3350" s="6"/>
      <c r="BR3350" s="6"/>
      <c r="BS3350" s="6"/>
      <c r="BT3350" s="6"/>
      <c r="BU3350" s="6"/>
      <c r="BV3350" s="6"/>
      <c r="BW3350" s="6"/>
      <c r="BX3350" s="6"/>
      <c r="BY3350" s="6"/>
      <c r="BZ3350" s="6"/>
    </row>
    <row r="3351" spans="1:78" ht="21.75" customHeight="1">
      <c r="A3351" s="6"/>
      <c r="B3351" s="6"/>
      <c r="C3351" s="6"/>
      <c r="D3351" s="6"/>
      <c r="E3351" s="6"/>
      <c r="F3351" s="6"/>
      <c r="G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O3351" s="6"/>
      <c r="AP3351" s="6"/>
      <c r="BH3351" s="6"/>
      <c r="BI3351" s="6"/>
      <c r="BJ3351" s="6"/>
      <c r="BK3351" s="6"/>
      <c r="BL3351" s="6"/>
      <c r="BM3351" s="6"/>
      <c r="BN3351" s="6"/>
      <c r="BO3351" s="6"/>
      <c r="BP3351" s="6"/>
      <c r="BQ3351" s="6"/>
      <c r="BR3351" s="6"/>
      <c r="BS3351" s="6"/>
      <c r="BT3351" s="6"/>
      <c r="BU3351" s="6"/>
      <c r="BV3351" s="6"/>
      <c r="BW3351" s="6"/>
      <c r="BX3351" s="6"/>
      <c r="BY3351" s="6"/>
      <c r="BZ3351" s="6"/>
    </row>
    <row r="3352" spans="1:78" ht="21.75" customHeight="1">
      <c r="A3352" s="6"/>
      <c r="B3352" s="6"/>
      <c r="C3352" s="6"/>
      <c r="D3352" s="6"/>
      <c r="E3352" s="6"/>
      <c r="F3352" s="6"/>
      <c r="G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O3352" s="6"/>
      <c r="AP3352" s="6"/>
      <c r="BH3352" s="6"/>
      <c r="BI3352" s="6"/>
      <c r="BJ3352" s="6"/>
      <c r="BK3352" s="6"/>
      <c r="BL3352" s="6"/>
      <c r="BM3352" s="6"/>
      <c r="BN3352" s="6"/>
      <c r="BO3352" s="6"/>
      <c r="BP3352" s="6"/>
      <c r="BQ3352" s="6"/>
      <c r="BR3352" s="6"/>
      <c r="BS3352" s="6"/>
      <c r="BT3352" s="6"/>
      <c r="BU3352" s="6"/>
      <c r="BV3352" s="6"/>
      <c r="BW3352" s="6"/>
      <c r="BX3352" s="6"/>
      <c r="BY3352" s="6"/>
      <c r="BZ3352" s="6"/>
    </row>
    <row r="3353" spans="1:78" ht="21.75" customHeight="1">
      <c r="A3353" s="6"/>
      <c r="B3353" s="6"/>
      <c r="C3353" s="6"/>
      <c r="D3353" s="6"/>
      <c r="E3353" s="6"/>
      <c r="F3353" s="6"/>
      <c r="G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O3353" s="6"/>
      <c r="AP3353" s="6"/>
      <c r="BH3353" s="6"/>
      <c r="BI3353" s="6"/>
      <c r="BJ3353" s="6"/>
      <c r="BK3353" s="6"/>
      <c r="BL3353" s="6"/>
      <c r="BM3353" s="6"/>
      <c r="BN3353" s="6"/>
      <c r="BO3353" s="6"/>
      <c r="BP3353" s="6"/>
      <c r="BQ3353" s="6"/>
      <c r="BR3353" s="6"/>
      <c r="BS3353" s="6"/>
      <c r="BT3353" s="6"/>
      <c r="BU3353" s="6"/>
      <c r="BV3353" s="6"/>
      <c r="BW3353" s="6"/>
      <c r="BX3353" s="6"/>
      <c r="BY3353" s="6"/>
      <c r="BZ3353" s="6"/>
    </row>
    <row r="3354" spans="1:78" ht="21.75" customHeight="1">
      <c r="A3354" s="6"/>
      <c r="B3354" s="6"/>
      <c r="C3354" s="6"/>
      <c r="D3354" s="6"/>
      <c r="E3354" s="6"/>
      <c r="F3354" s="6"/>
      <c r="G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O3354" s="6"/>
      <c r="AP3354" s="6"/>
      <c r="BH3354" s="6"/>
      <c r="BI3354" s="6"/>
      <c r="BJ3354" s="6"/>
      <c r="BK3354" s="6"/>
      <c r="BL3354" s="6"/>
      <c r="BM3354" s="6"/>
      <c r="BN3354" s="6"/>
      <c r="BO3354" s="6"/>
      <c r="BP3354" s="6"/>
      <c r="BQ3354" s="6"/>
      <c r="BR3354" s="6"/>
      <c r="BS3354" s="6"/>
      <c r="BT3354" s="6"/>
      <c r="BU3354" s="6"/>
      <c r="BV3354" s="6"/>
      <c r="BW3354" s="6"/>
      <c r="BX3354" s="6"/>
      <c r="BY3354" s="6"/>
      <c r="BZ3354" s="6"/>
    </row>
    <row r="3355" spans="1:78" ht="21.75" customHeight="1">
      <c r="A3355" s="6"/>
      <c r="B3355" s="6"/>
      <c r="C3355" s="6"/>
      <c r="D3355" s="6"/>
      <c r="E3355" s="6"/>
      <c r="F3355" s="6"/>
      <c r="G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O3355" s="6"/>
      <c r="AP3355" s="6"/>
      <c r="BH3355" s="6"/>
      <c r="BI3355" s="6"/>
      <c r="BJ3355" s="6"/>
      <c r="BK3355" s="6"/>
      <c r="BL3355" s="6"/>
      <c r="BM3355" s="6"/>
      <c r="BN3355" s="6"/>
      <c r="BO3355" s="6"/>
      <c r="BP3355" s="6"/>
      <c r="BQ3355" s="6"/>
      <c r="BR3355" s="6"/>
      <c r="BS3355" s="6"/>
      <c r="BT3355" s="6"/>
      <c r="BU3355" s="6"/>
      <c r="BV3355" s="6"/>
      <c r="BW3355" s="6"/>
      <c r="BX3355" s="6"/>
      <c r="BY3355" s="6"/>
      <c r="BZ3355" s="6"/>
    </row>
    <row r="3356" spans="1:78" ht="21.75" customHeight="1">
      <c r="A3356" s="6"/>
      <c r="B3356" s="6"/>
      <c r="C3356" s="6"/>
      <c r="D3356" s="6"/>
      <c r="E3356" s="6"/>
      <c r="F3356" s="6"/>
      <c r="G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O3356" s="6"/>
      <c r="AP3356" s="6"/>
      <c r="BH3356" s="6"/>
      <c r="BI3356" s="6"/>
      <c r="BJ3356" s="6"/>
      <c r="BK3356" s="6"/>
      <c r="BL3356" s="6"/>
      <c r="BM3356" s="6"/>
      <c r="BN3356" s="6"/>
      <c r="BO3356" s="6"/>
      <c r="BP3356" s="6"/>
      <c r="BQ3356" s="6"/>
      <c r="BR3356" s="6"/>
      <c r="BS3356" s="6"/>
      <c r="BT3356" s="6"/>
      <c r="BU3356" s="6"/>
      <c r="BV3356" s="6"/>
      <c r="BW3356" s="6"/>
      <c r="BX3356" s="6"/>
      <c r="BY3356" s="6"/>
      <c r="BZ3356" s="6"/>
    </row>
    <row r="3357" spans="1:78" ht="21.75" customHeight="1">
      <c r="A3357" s="6"/>
      <c r="B3357" s="6"/>
      <c r="C3357" s="6"/>
      <c r="D3357" s="6"/>
      <c r="E3357" s="6"/>
      <c r="F3357" s="6"/>
      <c r="G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O3357" s="6"/>
      <c r="AP3357" s="6"/>
      <c r="BH3357" s="6"/>
      <c r="BI3357" s="6"/>
      <c r="BJ3357" s="6"/>
      <c r="BK3357" s="6"/>
      <c r="BL3357" s="6"/>
      <c r="BM3357" s="6"/>
      <c r="BN3357" s="6"/>
      <c r="BO3357" s="6"/>
      <c r="BP3357" s="6"/>
      <c r="BQ3357" s="6"/>
      <c r="BR3357" s="6"/>
      <c r="BS3357" s="6"/>
      <c r="BT3357" s="6"/>
      <c r="BU3357" s="6"/>
      <c r="BV3357" s="6"/>
      <c r="BW3357" s="6"/>
      <c r="BX3357" s="6"/>
      <c r="BY3357" s="6"/>
      <c r="BZ3357" s="6"/>
    </row>
    <row r="3358" spans="1:78" ht="21.75" customHeight="1">
      <c r="A3358" s="6"/>
      <c r="B3358" s="6"/>
      <c r="C3358" s="6"/>
      <c r="D3358" s="6"/>
      <c r="E3358" s="6"/>
      <c r="F3358" s="6"/>
      <c r="G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O3358" s="6"/>
      <c r="AP3358" s="6"/>
      <c r="BH3358" s="6"/>
      <c r="BI3358" s="6"/>
      <c r="BJ3358" s="6"/>
      <c r="BK3358" s="6"/>
      <c r="BL3358" s="6"/>
      <c r="BM3358" s="6"/>
      <c r="BN3358" s="6"/>
      <c r="BO3358" s="6"/>
      <c r="BP3358" s="6"/>
      <c r="BQ3358" s="6"/>
      <c r="BR3358" s="6"/>
      <c r="BS3358" s="6"/>
      <c r="BT3358" s="6"/>
      <c r="BU3358" s="6"/>
      <c r="BV3358" s="6"/>
      <c r="BW3358" s="6"/>
      <c r="BX3358" s="6"/>
      <c r="BY3358" s="6"/>
      <c r="BZ3358" s="6"/>
    </row>
    <row r="3359" spans="1:78" ht="21.75" customHeight="1">
      <c r="A3359" s="6"/>
      <c r="B3359" s="6"/>
      <c r="C3359" s="6"/>
      <c r="D3359" s="6"/>
      <c r="E3359" s="6"/>
      <c r="F3359" s="6"/>
      <c r="G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O3359" s="6"/>
      <c r="AP3359" s="6"/>
      <c r="BH3359" s="6"/>
      <c r="BI3359" s="6"/>
      <c r="BJ3359" s="6"/>
      <c r="BK3359" s="6"/>
      <c r="BL3359" s="6"/>
      <c r="BM3359" s="6"/>
      <c r="BN3359" s="6"/>
      <c r="BO3359" s="6"/>
      <c r="BP3359" s="6"/>
      <c r="BQ3359" s="6"/>
      <c r="BR3359" s="6"/>
      <c r="BS3359" s="6"/>
      <c r="BT3359" s="6"/>
      <c r="BU3359" s="6"/>
      <c r="BV3359" s="6"/>
      <c r="BW3359" s="6"/>
      <c r="BX3359" s="6"/>
      <c r="BY3359" s="6"/>
      <c r="BZ3359" s="6"/>
    </row>
    <row r="3360" spans="1:78" ht="21.75" customHeight="1">
      <c r="A3360" s="6"/>
      <c r="B3360" s="6"/>
      <c r="C3360" s="6"/>
      <c r="D3360" s="6"/>
      <c r="E3360" s="6"/>
      <c r="F3360" s="6"/>
      <c r="G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O3360" s="6"/>
      <c r="AP3360" s="6"/>
      <c r="BH3360" s="6"/>
      <c r="BI3360" s="6"/>
      <c r="BJ3360" s="6"/>
      <c r="BK3360" s="6"/>
      <c r="BL3360" s="6"/>
      <c r="BM3360" s="6"/>
      <c r="BN3360" s="6"/>
      <c r="BO3360" s="6"/>
      <c r="BP3360" s="6"/>
      <c r="BQ3360" s="6"/>
      <c r="BR3360" s="6"/>
      <c r="BS3360" s="6"/>
      <c r="BT3360" s="6"/>
      <c r="BU3360" s="6"/>
      <c r="BV3360" s="6"/>
      <c r="BW3360" s="6"/>
      <c r="BX3360" s="6"/>
      <c r="BY3360" s="6"/>
      <c r="BZ3360" s="6"/>
    </row>
    <row r="3361" spans="1:78" s="450" customFormat="1" ht="21.75" customHeight="1"/>
    <row r="3362" spans="1:78" s="448" customFormat="1" ht="21.75" customHeight="1"/>
    <row r="3363" spans="1:78" ht="21.75" customHeight="1">
      <c r="A3363" s="6"/>
      <c r="B3363" s="6"/>
      <c r="C3363" s="6"/>
      <c r="D3363" s="6"/>
      <c r="E3363" s="6"/>
      <c r="F3363" s="6"/>
      <c r="G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O3363" s="6"/>
      <c r="AP3363" s="6"/>
      <c r="BH3363" s="6"/>
      <c r="BI3363" s="6"/>
      <c r="BJ3363" s="6"/>
      <c r="BK3363" s="6"/>
      <c r="BL3363" s="6"/>
      <c r="BM3363" s="6"/>
      <c r="BN3363" s="6"/>
      <c r="BO3363" s="6"/>
      <c r="BP3363" s="6"/>
      <c r="BQ3363" s="6"/>
      <c r="BR3363" s="6"/>
      <c r="BS3363" s="6"/>
      <c r="BT3363" s="6"/>
      <c r="BU3363" s="6"/>
      <c r="BV3363" s="6"/>
      <c r="BW3363" s="6"/>
      <c r="BX3363" s="6"/>
      <c r="BY3363" s="6"/>
      <c r="BZ3363" s="6"/>
    </row>
    <row r="3364" spans="1:78" ht="21.75" customHeight="1">
      <c r="A3364" s="6"/>
      <c r="B3364" s="6"/>
      <c r="C3364" s="6"/>
      <c r="D3364" s="6"/>
      <c r="E3364" s="6"/>
      <c r="F3364" s="6"/>
      <c r="G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O3364" s="6"/>
      <c r="AP3364" s="6"/>
      <c r="BH3364" s="6"/>
      <c r="BI3364" s="6"/>
      <c r="BJ3364" s="6"/>
      <c r="BK3364" s="6"/>
      <c r="BL3364" s="6"/>
      <c r="BM3364" s="6"/>
      <c r="BN3364" s="6"/>
      <c r="BO3364" s="6"/>
      <c r="BP3364" s="6"/>
      <c r="BQ3364" s="6"/>
      <c r="BR3364" s="6"/>
      <c r="BS3364" s="6"/>
      <c r="BT3364" s="6"/>
      <c r="BU3364" s="6"/>
      <c r="BV3364" s="6"/>
      <c r="BW3364" s="6"/>
      <c r="BX3364" s="6"/>
      <c r="BY3364" s="6"/>
      <c r="BZ3364" s="6"/>
    </row>
    <row r="3365" spans="1:78" ht="21.75" customHeight="1">
      <c r="A3365" s="6"/>
      <c r="B3365" s="6"/>
      <c r="C3365" s="6"/>
      <c r="D3365" s="6"/>
      <c r="E3365" s="6"/>
      <c r="F3365" s="6"/>
      <c r="G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O3365" s="6"/>
      <c r="AP3365" s="6"/>
      <c r="BH3365" s="6"/>
      <c r="BI3365" s="6"/>
      <c r="BJ3365" s="6"/>
      <c r="BK3365" s="6"/>
      <c r="BL3365" s="6"/>
      <c r="BM3365" s="6"/>
      <c r="BN3365" s="6"/>
      <c r="BO3365" s="6"/>
      <c r="BP3365" s="6"/>
      <c r="BQ3365" s="6"/>
      <c r="BR3365" s="6"/>
      <c r="BS3365" s="6"/>
      <c r="BT3365" s="6"/>
      <c r="BU3365" s="6"/>
      <c r="BV3365" s="6"/>
      <c r="BW3365" s="6"/>
      <c r="BX3365" s="6"/>
      <c r="BY3365" s="6"/>
      <c r="BZ3365" s="6"/>
    </row>
    <row r="3366" spans="1:78" ht="21.75" customHeight="1">
      <c r="A3366" s="6"/>
      <c r="B3366" s="6"/>
      <c r="C3366" s="6"/>
      <c r="D3366" s="6"/>
      <c r="E3366" s="6"/>
      <c r="F3366" s="6"/>
      <c r="G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O3366" s="6"/>
      <c r="AP3366" s="6"/>
      <c r="BH3366" s="6"/>
      <c r="BI3366" s="6"/>
      <c r="BJ3366" s="6"/>
      <c r="BK3366" s="6"/>
      <c r="BL3366" s="6"/>
      <c r="BM3366" s="6"/>
      <c r="BN3366" s="6"/>
      <c r="BO3366" s="6"/>
      <c r="BP3366" s="6"/>
      <c r="BQ3366" s="6"/>
      <c r="BR3366" s="6"/>
      <c r="BS3366" s="6"/>
      <c r="BT3366" s="6"/>
      <c r="BU3366" s="6"/>
      <c r="BV3366" s="6"/>
      <c r="BW3366" s="6"/>
      <c r="BX3366" s="6"/>
      <c r="BY3366" s="6"/>
      <c r="BZ3366" s="6"/>
    </row>
    <row r="3367" spans="1:78" ht="21.75" customHeight="1">
      <c r="A3367" s="6"/>
      <c r="B3367" s="6"/>
      <c r="C3367" s="6"/>
      <c r="D3367" s="6"/>
      <c r="E3367" s="6"/>
      <c r="F3367" s="6"/>
      <c r="G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O3367" s="6"/>
      <c r="AP3367" s="6"/>
      <c r="BH3367" s="6"/>
      <c r="BI3367" s="6"/>
      <c r="BJ3367" s="6"/>
      <c r="BK3367" s="6"/>
      <c r="BL3367" s="6"/>
      <c r="BM3367" s="6"/>
      <c r="BN3367" s="6"/>
      <c r="BO3367" s="6"/>
      <c r="BP3367" s="6"/>
      <c r="BQ3367" s="6"/>
      <c r="BR3367" s="6"/>
      <c r="BS3367" s="6"/>
      <c r="BT3367" s="6"/>
      <c r="BU3367" s="6"/>
      <c r="BV3367" s="6"/>
      <c r="BW3367" s="6"/>
      <c r="BX3367" s="6"/>
      <c r="BY3367" s="6"/>
      <c r="BZ3367" s="6"/>
    </row>
    <row r="3368" spans="1:78" ht="21.75" customHeight="1">
      <c r="A3368" s="6"/>
      <c r="B3368" s="6"/>
      <c r="C3368" s="6"/>
      <c r="D3368" s="6"/>
      <c r="E3368" s="6"/>
      <c r="F3368" s="6"/>
      <c r="G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O3368" s="6"/>
      <c r="AP3368" s="6"/>
      <c r="BH3368" s="6"/>
      <c r="BI3368" s="6"/>
      <c r="BJ3368" s="6"/>
      <c r="BK3368" s="6"/>
      <c r="BL3368" s="6"/>
      <c r="BM3368" s="6"/>
      <c r="BN3368" s="6"/>
      <c r="BO3368" s="6"/>
      <c r="BP3368" s="6"/>
      <c r="BQ3368" s="6"/>
      <c r="BR3368" s="6"/>
      <c r="BS3368" s="6"/>
      <c r="BT3368" s="6"/>
      <c r="BU3368" s="6"/>
      <c r="BV3368" s="6"/>
      <c r="BW3368" s="6"/>
      <c r="BX3368" s="6"/>
      <c r="BY3368" s="6"/>
      <c r="BZ3368" s="6"/>
    </row>
    <row r="3369" spans="1:78" ht="21.75" customHeight="1">
      <c r="A3369" s="6"/>
      <c r="B3369" s="6"/>
      <c r="C3369" s="6"/>
      <c r="D3369" s="6"/>
      <c r="E3369" s="6"/>
      <c r="F3369" s="6"/>
      <c r="G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O3369" s="6"/>
      <c r="AP3369" s="6"/>
      <c r="BH3369" s="6"/>
      <c r="BI3369" s="6"/>
      <c r="BJ3369" s="6"/>
      <c r="BK3369" s="6"/>
      <c r="BL3369" s="6"/>
      <c r="BM3369" s="6"/>
      <c r="BN3369" s="6"/>
      <c r="BO3369" s="6"/>
      <c r="BP3369" s="6"/>
      <c r="BQ3369" s="6"/>
      <c r="BR3369" s="6"/>
      <c r="BS3369" s="6"/>
      <c r="BT3369" s="6"/>
      <c r="BU3369" s="6"/>
      <c r="BV3369" s="6"/>
      <c r="BW3369" s="6"/>
      <c r="BX3369" s="6"/>
      <c r="BY3369" s="6"/>
      <c r="BZ3369" s="6"/>
    </row>
    <row r="3370" spans="1:78" ht="21.75" customHeight="1">
      <c r="A3370" s="6"/>
      <c r="B3370" s="6"/>
      <c r="C3370" s="6"/>
      <c r="D3370" s="6"/>
      <c r="E3370" s="6"/>
      <c r="F3370" s="6"/>
      <c r="G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O3370" s="6"/>
      <c r="AP3370" s="6"/>
      <c r="BH3370" s="6"/>
      <c r="BI3370" s="6"/>
      <c r="BJ3370" s="6"/>
      <c r="BK3370" s="6"/>
      <c r="BL3370" s="6"/>
      <c r="BM3370" s="6"/>
      <c r="BN3370" s="6"/>
      <c r="BO3370" s="6"/>
      <c r="BP3370" s="6"/>
      <c r="BQ3370" s="6"/>
      <c r="BR3370" s="6"/>
      <c r="BS3370" s="6"/>
      <c r="BT3370" s="6"/>
      <c r="BU3370" s="6"/>
      <c r="BV3370" s="6"/>
      <c r="BW3370" s="6"/>
      <c r="BX3370" s="6"/>
      <c r="BY3370" s="6"/>
      <c r="BZ3370" s="6"/>
    </row>
    <row r="3371" spans="1:78" ht="21.75" customHeight="1">
      <c r="A3371" s="6"/>
      <c r="B3371" s="6"/>
      <c r="C3371" s="6"/>
      <c r="D3371" s="6"/>
      <c r="E3371" s="6"/>
      <c r="F3371" s="6"/>
      <c r="G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O3371" s="6"/>
      <c r="AP3371" s="6"/>
      <c r="BH3371" s="6"/>
      <c r="BI3371" s="6"/>
      <c r="BJ3371" s="6"/>
      <c r="BK3371" s="6"/>
      <c r="BL3371" s="6"/>
      <c r="BM3371" s="6"/>
      <c r="BN3371" s="6"/>
      <c r="BO3371" s="6"/>
      <c r="BP3371" s="6"/>
      <c r="BQ3371" s="6"/>
      <c r="BR3371" s="6"/>
      <c r="BS3371" s="6"/>
      <c r="BT3371" s="6"/>
      <c r="BU3371" s="6"/>
      <c r="BV3371" s="6"/>
      <c r="BW3371" s="6"/>
      <c r="BX3371" s="6"/>
      <c r="BY3371" s="6"/>
      <c r="BZ3371" s="6"/>
    </row>
    <row r="3372" spans="1:78" ht="21.75" customHeight="1">
      <c r="A3372" s="6"/>
      <c r="B3372" s="6"/>
      <c r="C3372" s="6"/>
      <c r="D3372" s="6"/>
      <c r="E3372" s="6"/>
      <c r="F3372" s="6"/>
      <c r="G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O3372" s="6"/>
      <c r="AP3372" s="6"/>
      <c r="BH3372" s="6"/>
      <c r="BI3372" s="6"/>
      <c r="BJ3372" s="6"/>
      <c r="BK3372" s="6"/>
      <c r="BL3372" s="6"/>
      <c r="BM3372" s="6"/>
      <c r="BN3372" s="6"/>
      <c r="BO3372" s="6"/>
      <c r="BP3372" s="6"/>
      <c r="BQ3372" s="6"/>
      <c r="BR3372" s="6"/>
      <c r="BS3372" s="6"/>
      <c r="BT3372" s="6"/>
      <c r="BU3372" s="6"/>
      <c r="BV3372" s="6"/>
      <c r="BW3372" s="6"/>
      <c r="BX3372" s="6"/>
      <c r="BY3372" s="6"/>
      <c r="BZ3372" s="6"/>
    </row>
    <row r="3373" spans="1:78" ht="21.75" customHeight="1">
      <c r="A3373" s="6"/>
      <c r="B3373" s="6"/>
      <c r="C3373" s="6"/>
      <c r="D3373" s="6"/>
      <c r="E3373" s="6"/>
      <c r="F3373" s="6"/>
      <c r="G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O3373" s="6"/>
      <c r="AP3373" s="6"/>
      <c r="BH3373" s="6"/>
      <c r="BI3373" s="6"/>
      <c r="BJ3373" s="6"/>
      <c r="BK3373" s="6"/>
      <c r="BL3373" s="6"/>
      <c r="BM3373" s="6"/>
      <c r="BN3373" s="6"/>
      <c r="BO3373" s="6"/>
      <c r="BP3373" s="6"/>
      <c r="BQ3373" s="6"/>
      <c r="BR3373" s="6"/>
      <c r="BS3373" s="6"/>
      <c r="BT3373" s="6"/>
      <c r="BU3373" s="6"/>
      <c r="BV3373" s="6"/>
      <c r="BW3373" s="6"/>
      <c r="BX3373" s="6"/>
      <c r="BY3373" s="6"/>
      <c r="BZ3373" s="6"/>
    </row>
    <row r="3374" spans="1:78" ht="21.75" customHeight="1">
      <c r="A3374" s="6"/>
      <c r="B3374" s="6"/>
      <c r="C3374" s="6"/>
      <c r="D3374" s="6"/>
      <c r="E3374" s="6"/>
      <c r="F3374" s="6"/>
      <c r="G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O3374" s="6"/>
      <c r="AP3374" s="6"/>
      <c r="BH3374" s="6"/>
      <c r="BI3374" s="6"/>
      <c r="BJ3374" s="6"/>
      <c r="BK3374" s="6"/>
      <c r="BL3374" s="6"/>
      <c r="BM3374" s="6"/>
      <c r="BN3374" s="6"/>
      <c r="BO3374" s="6"/>
      <c r="BP3374" s="6"/>
      <c r="BQ3374" s="6"/>
      <c r="BR3374" s="6"/>
      <c r="BS3374" s="6"/>
      <c r="BT3374" s="6"/>
      <c r="BU3374" s="6"/>
      <c r="BV3374" s="6"/>
      <c r="BW3374" s="6"/>
      <c r="BX3374" s="6"/>
      <c r="BY3374" s="6"/>
      <c r="BZ3374" s="6"/>
    </row>
    <row r="3375" spans="1:78" s="450" customFormat="1" ht="21.75" customHeight="1"/>
    <row r="3376" spans="1:78" s="448" customFormat="1" ht="21.75" customHeight="1"/>
    <row r="3377" spans="1:78" ht="21.75" customHeight="1">
      <c r="A3377" s="6"/>
      <c r="B3377" s="6"/>
      <c r="C3377" s="6"/>
      <c r="D3377" s="6"/>
      <c r="E3377" s="6"/>
      <c r="F3377" s="6"/>
      <c r="G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O3377" s="6"/>
      <c r="AP3377" s="6"/>
      <c r="BH3377" s="6"/>
      <c r="BI3377" s="6"/>
      <c r="BJ3377" s="6"/>
      <c r="BK3377" s="6"/>
      <c r="BL3377" s="6"/>
      <c r="BM3377" s="6"/>
      <c r="BN3377" s="6"/>
      <c r="BO3377" s="6"/>
      <c r="BP3377" s="6"/>
      <c r="BQ3377" s="6"/>
      <c r="BR3377" s="6"/>
      <c r="BS3377" s="6"/>
      <c r="BT3377" s="6"/>
      <c r="BU3377" s="6"/>
      <c r="BV3377" s="6"/>
      <c r="BW3377" s="6"/>
      <c r="BX3377" s="6"/>
      <c r="BY3377" s="6"/>
      <c r="BZ3377" s="6"/>
    </row>
    <row r="3378" spans="1:78" ht="21.75" customHeight="1">
      <c r="A3378" s="6"/>
      <c r="B3378" s="6"/>
      <c r="C3378" s="6"/>
      <c r="D3378" s="6"/>
      <c r="E3378" s="6"/>
      <c r="F3378" s="6"/>
      <c r="G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O3378" s="6"/>
      <c r="AP3378" s="6"/>
      <c r="BH3378" s="6"/>
      <c r="BI3378" s="6"/>
      <c r="BJ3378" s="6"/>
      <c r="BK3378" s="6"/>
      <c r="BL3378" s="6"/>
      <c r="BM3378" s="6"/>
      <c r="BN3378" s="6"/>
      <c r="BO3378" s="6"/>
      <c r="BP3378" s="6"/>
      <c r="BQ3378" s="6"/>
      <c r="BR3378" s="6"/>
      <c r="BS3378" s="6"/>
      <c r="BT3378" s="6"/>
      <c r="BU3378" s="6"/>
      <c r="BV3378" s="6"/>
      <c r="BW3378" s="6"/>
      <c r="BX3378" s="6"/>
      <c r="BY3378" s="6"/>
      <c r="BZ3378" s="6"/>
    </row>
    <row r="3379" spans="1:78" ht="21.75" customHeight="1">
      <c r="A3379" s="6"/>
      <c r="B3379" s="6"/>
      <c r="C3379" s="6"/>
      <c r="D3379" s="6"/>
      <c r="E3379" s="6"/>
      <c r="F3379" s="6"/>
      <c r="G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O3379" s="6"/>
      <c r="AP3379" s="6"/>
      <c r="BH3379" s="6"/>
      <c r="BI3379" s="6"/>
      <c r="BJ3379" s="6"/>
      <c r="BK3379" s="6"/>
      <c r="BL3379" s="6"/>
      <c r="BM3379" s="6"/>
      <c r="BN3379" s="6"/>
      <c r="BO3379" s="6"/>
      <c r="BP3379" s="6"/>
      <c r="BQ3379" s="6"/>
      <c r="BR3379" s="6"/>
      <c r="BS3379" s="6"/>
      <c r="BT3379" s="6"/>
      <c r="BU3379" s="6"/>
      <c r="BV3379" s="6"/>
      <c r="BW3379" s="6"/>
      <c r="BX3379" s="6"/>
      <c r="BY3379" s="6"/>
      <c r="BZ3379" s="6"/>
    </row>
    <row r="3380" spans="1:78" ht="21.75" customHeight="1">
      <c r="A3380" s="6"/>
      <c r="B3380" s="6"/>
      <c r="C3380" s="6"/>
      <c r="D3380" s="6"/>
      <c r="E3380" s="6"/>
      <c r="F3380" s="6"/>
      <c r="G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O3380" s="6"/>
      <c r="AP3380" s="6"/>
      <c r="BH3380" s="6"/>
      <c r="BI3380" s="6"/>
      <c r="BJ3380" s="6"/>
      <c r="BK3380" s="6"/>
      <c r="BL3380" s="6"/>
      <c r="BM3380" s="6"/>
      <c r="BN3380" s="6"/>
      <c r="BO3380" s="6"/>
      <c r="BP3380" s="6"/>
      <c r="BQ3380" s="6"/>
      <c r="BR3380" s="6"/>
      <c r="BS3380" s="6"/>
      <c r="BT3380" s="6"/>
      <c r="BU3380" s="6"/>
      <c r="BV3380" s="6"/>
      <c r="BW3380" s="6"/>
      <c r="BX3380" s="6"/>
      <c r="BY3380" s="6"/>
      <c r="BZ3380" s="6"/>
    </row>
    <row r="3381" spans="1:78" ht="21.75" customHeight="1">
      <c r="A3381" s="6"/>
      <c r="B3381" s="6"/>
      <c r="C3381" s="6"/>
      <c r="D3381" s="6"/>
      <c r="E3381" s="6"/>
      <c r="F3381" s="6"/>
      <c r="G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O3381" s="6"/>
      <c r="AP3381" s="6"/>
      <c r="BH3381" s="6"/>
      <c r="BI3381" s="6"/>
      <c r="BJ3381" s="6"/>
      <c r="BK3381" s="6"/>
      <c r="BL3381" s="6"/>
      <c r="BM3381" s="6"/>
      <c r="BN3381" s="6"/>
      <c r="BO3381" s="6"/>
      <c r="BP3381" s="6"/>
      <c r="BQ3381" s="6"/>
      <c r="BR3381" s="6"/>
      <c r="BS3381" s="6"/>
      <c r="BT3381" s="6"/>
      <c r="BU3381" s="6"/>
      <c r="BV3381" s="6"/>
      <c r="BW3381" s="6"/>
      <c r="BX3381" s="6"/>
      <c r="BY3381" s="6"/>
      <c r="BZ3381" s="6"/>
    </row>
    <row r="3382" spans="1:78" ht="21.75" customHeight="1">
      <c r="A3382" s="6"/>
      <c r="B3382" s="6"/>
      <c r="C3382" s="6"/>
      <c r="D3382" s="6"/>
      <c r="E3382" s="6"/>
      <c r="F3382" s="6"/>
      <c r="G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O3382" s="6"/>
      <c r="AP3382" s="6"/>
      <c r="BH3382" s="6"/>
      <c r="BI3382" s="6"/>
      <c r="BJ3382" s="6"/>
      <c r="BK3382" s="6"/>
      <c r="BL3382" s="6"/>
      <c r="BM3382" s="6"/>
      <c r="BN3382" s="6"/>
      <c r="BO3382" s="6"/>
      <c r="BP3382" s="6"/>
      <c r="BQ3382" s="6"/>
      <c r="BR3382" s="6"/>
      <c r="BS3382" s="6"/>
      <c r="BT3382" s="6"/>
      <c r="BU3382" s="6"/>
      <c r="BV3382" s="6"/>
      <c r="BW3382" s="6"/>
      <c r="BX3382" s="6"/>
      <c r="BY3382" s="6"/>
      <c r="BZ3382" s="6"/>
    </row>
    <row r="3383" spans="1:78" ht="21.75" customHeight="1">
      <c r="A3383" s="6"/>
      <c r="B3383" s="6"/>
      <c r="C3383" s="6"/>
      <c r="D3383" s="6"/>
      <c r="E3383" s="6"/>
      <c r="F3383" s="6"/>
      <c r="G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O3383" s="6"/>
      <c r="AP3383" s="6"/>
      <c r="BH3383" s="6"/>
      <c r="BI3383" s="6"/>
      <c r="BJ3383" s="6"/>
      <c r="BK3383" s="6"/>
      <c r="BL3383" s="6"/>
      <c r="BM3383" s="6"/>
      <c r="BN3383" s="6"/>
      <c r="BO3383" s="6"/>
      <c r="BP3383" s="6"/>
      <c r="BQ3383" s="6"/>
      <c r="BR3383" s="6"/>
      <c r="BS3383" s="6"/>
      <c r="BT3383" s="6"/>
      <c r="BU3383" s="6"/>
      <c r="BV3383" s="6"/>
      <c r="BW3383" s="6"/>
      <c r="BX3383" s="6"/>
      <c r="BY3383" s="6"/>
      <c r="BZ3383" s="6"/>
    </row>
    <row r="3384" spans="1:78" ht="21.75" customHeight="1">
      <c r="A3384" s="6"/>
      <c r="B3384" s="6"/>
      <c r="C3384" s="6"/>
      <c r="D3384" s="6"/>
      <c r="E3384" s="6"/>
      <c r="F3384" s="6"/>
      <c r="G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O3384" s="6"/>
      <c r="AP3384" s="6"/>
      <c r="BH3384" s="6"/>
      <c r="BI3384" s="6"/>
      <c r="BJ3384" s="6"/>
      <c r="BK3384" s="6"/>
      <c r="BL3384" s="6"/>
      <c r="BM3384" s="6"/>
      <c r="BN3384" s="6"/>
      <c r="BO3384" s="6"/>
      <c r="BP3384" s="6"/>
      <c r="BQ3384" s="6"/>
      <c r="BR3384" s="6"/>
      <c r="BS3384" s="6"/>
      <c r="BT3384" s="6"/>
      <c r="BU3384" s="6"/>
      <c r="BV3384" s="6"/>
      <c r="BW3384" s="6"/>
      <c r="BX3384" s="6"/>
      <c r="BY3384" s="6"/>
      <c r="BZ3384" s="6"/>
    </row>
    <row r="3385" spans="1:78" ht="21.75" customHeight="1">
      <c r="A3385" s="6"/>
      <c r="B3385" s="6"/>
      <c r="C3385" s="6"/>
      <c r="D3385" s="6"/>
      <c r="E3385" s="6"/>
      <c r="F3385" s="6"/>
      <c r="G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O3385" s="6"/>
      <c r="AP3385" s="6"/>
      <c r="BH3385" s="6"/>
      <c r="BI3385" s="6"/>
      <c r="BJ3385" s="6"/>
      <c r="BK3385" s="6"/>
      <c r="BL3385" s="6"/>
      <c r="BM3385" s="6"/>
      <c r="BN3385" s="6"/>
      <c r="BO3385" s="6"/>
      <c r="BP3385" s="6"/>
      <c r="BQ3385" s="6"/>
      <c r="BR3385" s="6"/>
      <c r="BS3385" s="6"/>
      <c r="BT3385" s="6"/>
      <c r="BU3385" s="6"/>
      <c r="BV3385" s="6"/>
      <c r="BW3385" s="6"/>
      <c r="BX3385" s="6"/>
      <c r="BY3385" s="6"/>
      <c r="BZ3385" s="6"/>
    </row>
    <row r="3386" spans="1:78" ht="21.75" customHeight="1">
      <c r="A3386" s="6"/>
      <c r="B3386" s="6"/>
      <c r="C3386" s="6"/>
      <c r="D3386" s="6"/>
      <c r="E3386" s="6"/>
      <c r="F3386" s="6"/>
      <c r="G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O3386" s="6"/>
      <c r="AP3386" s="6"/>
      <c r="BH3386" s="6"/>
      <c r="BI3386" s="6"/>
      <c r="BJ3386" s="6"/>
      <c r="BK3386" s="6"/>
      <c r="BL3386" s="6"/>
      <c r="BM3386" s="6"/>
      <c r="BN3386" s="6"/>
      <c r="BO3386" s="6"/>
      <c r="BP3386" s="6"/>
      <c r="BQ3386" s="6"/>
      <c r="BR3386" s="6"/>
      <c r="BS3386" s="6"/>
      <c r="BT3386" s="6"/>
      <c r="BU3386" s="6"/>
      <c r="BV3386" s="6"/>
      <c r="BW3386" s="6"/>
      <c r="BX3386" s="6"/>
      <c r="BY3386" s="6"/>
      <c r="BZ3386" s="6"/>
    </row>
    <row r="3387" spans="1:78" ht="21.75" customHeight="1">
      <c r="A3387" s="6"/>
      <c r="B3387" s="6"/>
      <c r="C3387" s="6"/>
      <c r="D3387" s="6"/>
      <c r="E3387" s="6"/>
      <c r="F3387" s="6"/>
      <c r="G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O3387" s="6"/>
      <c r="AP3387" s="6"/>
      <c r="BH3387" s="6"/>
      <c r="BI3387" s="6"/>
      <c r="BJ3387" s="6"/>
      <c r="BK3387" s="6"/>
      <c r="BL3387" s="6"/>
      <c r="BM3387" s="6"/>
      <c r="BN3387" s="6"/>
      <c r="BO3387" s="6"/>
      <c r="BP3387" s="6"/>
      <c r="BQ3387" s="6"/>
      <c r="BR3387" s="6"/>
      <c r="BS3387" s="6"/>
      <c r="BT3387" s="6"/>
      <c r="BU3387" s="6"/>
      <c r="BV3387" s="6"/>
      <c r="BW3387" s="6"/>
      <c r="BX3387" s="6"/>
      <c r="BY3387" s="6"/>
      <c r="BZ3387" s="6"/>
    </row>
    <row r="3388" spans="1:78" ht="21.75" customHeight="1">
      <c r="A3388" s="6"/>
      <c r="B3388" s="6"/>
      <c r="C3388" s="6"/>
      <c r="D3388" s="6"/>
      <c r="E3388" s="6"/>
      <c r="F3388" s="6"/>
      <c r="G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O3388" s="6"/>
      <c r="AP3388" s="6"/>
      <c r="BH3388" s="6"/>
      <c r="BI3388" s="6"/>
      <c r="BJ3388" s="6"/>
      <c r="BK3388" s="6"/>
      <c r="BL3388" s="6"/>
      <c r="BM3388" s="6"/>
      <c r="BN3388" s="6"/>
      <c r="BO3388" s="6"/>
      <c r="BP3388" s="6"/>
      <c r="BQ3388" s="6"/>
      <c r="BR3388" s="6"/>
      <c r="BS3388" s="6"/>
      <c r="BT3388" s="6"/>
      <c r="BU3388" s="6"/>
      <c r="BV3388" s="6"/>
      <c r="BW3388" s="6"/>
      <c r="BX3388" s="6"/>
      <c r="BY3388" s="6"/>
      <c r="BZ3388" s="6"/>
    </row>
    <row r="3389" spans="1:78" ht="21.75" customHeight="1">
      <c r="A3389" s="6"/>
      <c r="B3389" s="6"/>
      <c r="C3389" s="6"/>
      <c r="D3389" s="6"/>
      <c r="E3389" s="6"/>
      <c r="F3389" s="6"/>
      <c r="G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O3389" s="6"/>
      <c r="AP3389" s="6"/>
      <c r="BH3389" s="6"/>
      <c r="BI3389" s="6"/>
      <c r="BJ3389" s="6"/>
      <c r="BK3389" s="6"/>
      <c r="BL3389" s="6"/>
      <c r="BM3389" s="6"/>
      <c r="BN3389" s="6"/>
      <c r="BO3389" s="6"/>
      <c r="BP3389" s="6"/>
      <c r="BQ3389" s="6"/>
      <c r="BR3389" s="6"/>
      <c r="BS3389" s="6"/>
      <c r="BT3389" s="6"/>
      <c r="BU3389" s="6"/>
      <c r="BV3389" s="6"/>
      <c r="BW3389" s="6"/>
      <c r="BX3389" s="6"/>
      <c r="BY3389" s="6"/>
      <c r="BZ3389" s="6"/>
    </row>
    <row r="3390" spans="1:78" ht="21.75" customHeight="1">
      <c r="A3390" s="6"/>
      <c r="B3390" s="6"/>
      <c r="C3390" s="6"/>
      <c r="D3390" s="6"/>
      <c r="E3390" s="6"/>
      <c r="F3390" s="6"/>
      <c r="G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O3390" s="6"/>
      <c r="AP3390" s="6"/>
      <c r="BH3390" s="6"/>
      <c r="BI3390" s="6"/>
      <c r="BJ3390" s="6"/>
      <c r="BK3390" s="6"/>
      <c r="BL3390" s="6"/>
      <c r="BM3390" s="6"/>
      <c r="BN3390" s="6"/>
      <c r="BO3390" s="6"/>
      <c r="BP3390" s="6"/>
      <c r="BQ3390" s="6"/>
      <c r="BR3390" s="6"/>
      <c r="BS3390" s="6"/>
      <c r="BT3390" s="6"/>
      <c r="BU3390" s="6"/>
      <c r="BV3390" s="6"/>
      <c r="BW3390" s="6"/>
      <c r="BX3390" s="6"/>
      <c r="BY3390" s="6"/>
      <c r="BZ3390" s="6"/>
    </row>
    <row r="3391" spans="1:78" ht="21.75" customHeight="1">
      <c r="A3391" s="6"/>
      <c r="B3391" s="6"/>
      <c r="C3391" s="6"/>
      <c r="D3391" s="6"/>
      <c r="E3391" s="6"/>
      <c r="F3391" s="6"/>
      <c r="G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O3391" s="6"/>
      <c r="AP3391" s="6"/>
      <c r="BH3391" s="6"/>
      <c r="BI3391" s="6"/>
      <c r="BJ3391" s="6"/>
      <c r="BK3391" s="6"/>
      <c r="BL3391" s="6"/>
      <c r="BM3391" s="6"/>
      <c r="BN3391" s="6"/>
      <c r="BO3391" s="6"/>
      <c r="BP3391" s="6"/>
      <c r="BQ3391" s="6"/>
      <c r="BR3391" s="6"/>
      <c r="BS3391" s="6"/>
      <c r="BT3391" s="6"/>
      <c r="BU3391" s="6"/>
      <c r="BV3391" s="6"/>
      <c r="BW3391" s="6"/>
      <c r="BX3391" s="6"/>
      <c r="BY3391" s="6"/>
      <c r="BZ3391" s="6"/>
    </row>
    <row r="3392" spans="1:78" ht="21.75" customHeight="1">
      <c r="A3392" s="6"/>
      <c r="B3392" s="6"/>
      <c r="C3392" s="6"/>
      <c r="D3392" s="6"/>
      <c r="E3392" s="6"/>
      <c r="F3392" s="6"/>
      <c r="G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O3392" s="6"/>
      <c r="AP3392" s="6"/>
      <c r="BH3392" s="6"/>
      <c r="BI3392" s="6"/>
      <c r="BJ3392" s="6"/>
      <c r="BK3392" s="6"/>
      <c r="BL3392" s="6"/>
      <c r="BM3392" s="6"/>
      <c r="BN3392" s="6"/>
      <c r="BO3392" s="6"/>
      <c r="BP3392" s="6"/>
      <c r="BQ3392" s="6"/>
      <c r="BR3392" s="6"/>
      <c r="BS3392" s="6"/>
      <c r="BT3392" s="6"/>
      <c r="BU3392" s="6"/>
      <c r="BV3392" s="6"/>
      <c r="BW3392" s="6"/>
      <c r="BX3392" s="6"/>
      <c r="BY3392" s="6"/>
      <c r="BZ3392" s="6"/>
    </row>
    <row r="3393" spans="1:78" ht="21.75" customHeight="1">
      <c r="A3393" s="6"/>
      <c r="B3393" s="6"/>
      <c r="C3393" s="6"/>
      <c r="D3393" s="6"/>
      <c r="E3393" s="6"/>
      <c r="F3393" s="6"/>
      <c r="G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O3393" s="6"/>
      <c r="AP3393" s="6"/>
      <c r="BH3393" s="6"/>
      <c r="BI3393" s="6"/>
      <c r="BJ3393" s="6"/>
      <c r="BK3393" s="6"/>
      <c r="BL3393" s="6"/>
      <c r="BM3393" s="6"/>
      <c r="BN3393" s="6"/>
      <c r="BO3393" s="6"/>
      <c r="BP3393" s="6"/>
      <c r="BQ3393" s="6"/>
      <c r="BR3393" s="6"/>
      <c r="BS3393" s="6"/>
      <c r="BT3393" s="6"/>
      <c r="BU3393" s="6"/>
      <c r="BV3393" s="6"/>
      <c r="BW3393" s="6"/>
      <c r="BX3393" s="6"/>
      <c r="BY3393" s="6"/>
      <c r="BZ3393" s="6"/>
    </row>
    <row r="3394" spans="1:78" ht="21.75" customHeight="1">
      <c r="A3394" s="6"/>
      <c r="B3394" s="6"/>
      <c r="C3394" s="6"/>
      <c r="D3394" s="6"/>
      <c r="E3394" s="6"/>
      <c r="F3394" s="6"/>
      <c r="G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O3394" s="6"/>
      <c r="AP3394" s="6"/>
      <c r="BH3394" s="6"/>
      <c r="BI3394" s="6"/>
      <c r="BJ3394" s="6"/>
      <c r="BK3394" s="6"/>
      <c r="BL3394" s="6"/>
      <c r="BM3394" s="6"/>
      <c r="BN3394" s="6"/>
      <c r="BO3394" s="6"/>
      <c r="BP3394" s="6"/>
      <c r="BQ3394" s="6"/>
      <c r="BR3394" s="6"/>
      <c r="BS3394" s="6"/>
      <c r="BT3394" s="6"/>
      <c r="BU3394" s="6"/>
      <c r="BV3394" s="6"/>
      <c r="BW3394" s="6"/>
      <c r="BX3394" s="6"/>
      <c r="BY3394" s="6"/>
      <c r="BZ3394" s="6"/>
    </row>
    <row r="3395" spans="1:78" ht="21.75" customHeight="1">
      <c r="A3395" s="6"/>
      <c r="B3395" s="6"/>
      <c r="C3395" s="6"/>
      <c r="D3395" s="6"/>
      <c r="E3395" s="6"/>
      <c r="F3395" s="6"/>
      <c r="G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O3395" s="6"/>
      <c r="AP3395" s="6"/>
      <c r="BH3395" s="6"/>
      <c r="BI3395" s="6"/>
      <c r="BJ3395" s="6"/>
      <c r="BK3395" s="6"/>
      <c r="BL3395" s="6"/>
      <c r="BM3395" s="6"/>
      <c r="BN3395" s="6"/>
      <c r="BO3395" s="6"/>
      <c r="BP3395" s="6"/>
      <c r="BQ3395" s="6"/>
      <c r="BR3395" s="6"/>
      <c r="BS3395" s="6"/>
      <c r="BT3395" s="6"/>
      <c r="BU3395" s="6"/>
      <c r="BV3395" s="6"/>
      <c r="BW3395" s="6"/>
      <c r="BX3395" s="6"/>
      <c r="BY3395" s="6"/>
      <c r="BZ3395" s="6"/>
    </row>
    <row r="3396" spans="1:78" ht="21.75" customHeight="1">
      <c r="A3396" s="6"/>
      <c r="B3396" s="6"/>
      <c r="C3396" s="6"/>
      <c r="D3396" s="6"/>
      <c r="E3396" s="6"/>
      <c r="F3396" s="6"/>
      <c r="G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O3396" s="6"/>
      <c r="AP3396" s="6"/>
      <c r="BH3396" s="6"/>
      <c r="BI3396" s="6"/>
      <c r="BJ3396" s="6"/>
      <c r="BK3396" s="6"/>
      <c r="BL3396" s="6"/>
      <c r="BM3396" s="6"/>
      <c r="BN3396" s="6"/>
      <c r="BO3396" s="6"/>
      <c r="BP3396" s="6"/>
      <c r="BQ3396" s="6"/>
      <c r="BR3396" s="6"/>
      <c r="BS3396" s="6"/>
      <c r="BT3396" s="6"/>
      <c r="BU3396" s="6"/>
      <c r="BV3396" s="6"/>
      <c r="BW3396" s="6"/>
      <c r="BX3396" s="6"/>
      <c r="BY3396" s="6"/>
      <c r="BZ3396" s="6"/>
    </row>
    <row r="3397" spans="1:78" s="450" customFormat="1" ht="21.75" customHeight="1"/>
    <row r="3398" spans="1:78" s="448" customFormat="1" ht="21.75" customHeight="1"/>
    <row r="3399" spans="1:78" ht="21.75" customHeight="1">
      <c r="A3399" s="6"/>
      <c r="B3399" s="6"/>
      <c r="C3399" s="6"/>
      <c r="D3399" s="6"/>
      <c r="E3399" s="6"/>
      <c r="F3399" s="6"/>
      <c r="G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O3399" s="6"/>
      <c r="AP3399" s="6"/>
      <c r="BH3399" s="6"/>
      <c r="BI3399" s="6"/>
      <c r="BJ3399" s="6"/>
      <c r="BK3399" s="6"/>
      <c r="BL3399" s="6"/>
      <c r="BM3399" s="6"/>
      <c r="BN3399" s="6"/>
      <c r="BO3399" s="6"/>
      <c r="BP3399" s="6"/>
      <c r="BQ3399" s="6"/>
      <c r="BR3399" s="6"/>
      <c r="BS3399" s="6"/>
      <c r="BT3399" s="6"/>
      <c r="BU3399" s="6"/>
      <c r="BV3399" s="6"/>
      <c r="BW3399" s="6"/>
      <c r="BX3399" s="6"/>
      <c r="BY3399" s="6"/>
      <c r="BZ3399" s="6"/>
    </row>
    <row r="3400" spans="1:78" ht="21.75" customHeight="1">
      <c r="A3400" s="6"/>
      <c r="B3400" s="6"/>
      <c r="C3400" s="6"/>
      <c r="D3400" s="6"/>
      <c r="E3400" s="6"/>
      <c r="F3400" s="6"/>
      <c r="G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O3400" s="6"/>
      <c r="AP3400" s="6"/>
      <c r="BH3400" s="6"/>
      <c r="BI3400" s="6"/>
      <c r="BJ3400" s="6"/>
      <c r="BK3400" s="6"/>
      <c r="BL3400" s="6"/>
      <c r="BM3400" s="6"/>
      <c r="BN3400" s="6"/>
      <c r="BO3400" s="6"/>
      <c r="BP3400" s="6"/>
      <c r="BQ3400" s="6"/>
      <c r="BR3400" s="6"/>
      <c r="BS3400" s="6"/>
      <c r="BT3400" s="6"/>
      <c r="BU3400" s="6"/>
      <c r="BV3400" s="6"/>
      <c r="BW3400" s="6"/>
      <c r="BX3400" s="6"/>
      <c r="BY3400" s="6"/>
      <c r="BZ3400" s="6"/>
    </row>
    <row r="3401" spans="1:78" ht="21.75" customHeight="1">
      <c r="A3401" s="6"/>
      <c r="B3401" s="6"/>
      <c r="C3401" s="6"/>
      <c r="D3401" s="6"/>
      <c r="E3401" s="6"/>
      <c r="F3401" s="6"/>
      <c r="G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O3401" s="6"/>
      <c r="AP3401" s="6"/>
      <c r="BH3401" s="6"/>
      <c r="BI3401" s="6"/>
      <c r="BJ3401" s="6"/>
      <c r="BK3401" s="6"/>
      <c r="BL3401" s="6"/>
      <c r="BM3401" s="6"/>
      <c r="BN3401" s="6"/>
      <c r="BO3401" s="6"/>
      <c r="BP3401" s="6"/>
      <c r="BQ3401" s="6"/>
      <c r="BR3401" s="6"/>
      <c r="BS3401" s="6"/>
      <c r="BT3401" s="6"/>
      <c r="BU3401" s="6"/>
      <c r="BV3401" s="6"/>
      <c r="BW3401" s="6"/>
      <c r="BX3401" s="6"/>
      <c r="BY3401" s="6"/>
      <c r="BZ3401" s="6"/>
    </row>
    <row r="3402" spans="1:78" ht="21.75" customHeight="1">
      <c r="A3402" s="6"/>
      <c r="B3402" s="6"/>
      <c r="C3402" s="6"/>
      <c r="D3402" s="6"/>
      <c r="E3402" s="6"/>
      <c r="F3402" s="6"/>
      <c r="G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O3402" s="6"/>
      <c r="AP3402" s="6"/>
      <c r="BH3402" s="6"/>
      <c r="BI3402" s="6"/>
      <c r="BJ3402" s="6"/>
      <c r="BK3402" s="6"/>
      <c r="BL3402" s="6"/>
      <c r="BM3402" s="6"/>
      <c r="BN3402" s="6"/>
      <c r="BO3402" s="6"/>
      <c r="BP3402" s="6"/>
      <c r="BQ3402" s="6"/>
      <c r="BR3402" s="6"/>
      <c r="BS3402" s="6"/>
      <c r="BT3402" s="6"/>
      <c r="BU3402" s="6"/>
      <c r="BV3402" s="6"/>
      <c r="BW3402" s="6"/>
      <c r="BX3402" s="6"/>
      <c r="BY3402" s="6"/>
      <c r="BZ3402" s="6"/>
    </row>
    <row r="3403" spans="1:78" ht="21.75" customHeight="1">
      <c r="A3403" s="6"/>
      <c r="B3403" s="6"/>
      <c r="C3403" s="6"/>
      <c r="D3403" s="6"/>
      <c r="E3403" s="6"/>
      <c r="F3403" s="6"/>
      <c r="G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O3403" s="6"/>
      <c r="AP3403" s="6"/>
      <c r="BH3403" s="6"/>
      <c r="BI3403" s="6"/>
      <c r="BJ3403" s="6"/>
      <c r="BK3403" s="6"/>
      <c r="BL3403" s="6"/>
      <c r="BM3403" s="6"/>
      <c r="BN3403" s="6"/>
      <c r="BO3403" s="6"/>
      <c r="BP3403" s="6"/>
      <c r="BQ3403" s="6"/>
      <c r="BR3403" s="6"/>
      <c r="BS3403" s="6"/>
      <c r="BT3403" s="6"/>
      <c r="BU3403" s="6"/>
      <c r="BV3403" s="6"/>
      <c r="BW3403" s="6"/>
      <c r="BX3403" s="6"/>
      <c r="BY3403" s="6"/>
      <c r="BZ3403" s="6"/>
    </row>
    <row r="3404" spans="1:78" ht="21.75" customHeight="1">
      <c r="A3404" s="6"/>
      <c r="B3404" s="6"/>
      <c r="C3404" s="6"/>
      <c r="D3404" s="6"/>
      <c r="E3404" s="6"/>
      <c r="F3404" s="6"/>
      <c r="G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O3404" s="6"/>
      <c r="AP3404" s="6"/>
      <c r="BH3404" s="6"/>
      <c r="BI3404" s="6"/>
      <c r="BJ3404" s="6"/>
      <c r="BK3404" s="6"/>
      <c r="BL3404" s="6"/>
      <c r="BM3404" s="6"/>
      <c r="BN3404" s="6"/>
      <c r="BO3404" s="6"/>
      <c r="BP3404" s="6"/>
      <c r="BQ3404" s="6"/>
      <c r="BR3404" s="6"/>
      <c r="BS3404" s="6"/>
      <c r="BT3404" s="6"/>
      <c r="BU3404" s="6"/>
      <c r="BV3404" s="6"/>
      <c r="BW3404" s="6"/>
      <c r="BX3404" s="6"/>
      <c r="BY3404" s="6"/>
      <c r="BZ3404" s="6"/>
    </row>
    <row r="3405" spans="1:78" ht="21.75" customHeight="1">
      <c r="A3405" s="6"/>
      <c r="B3405" s="6"/>
      <c r="C3405" s="6"/>
      <c r="D3405" s="6"/>
      <c r="E3405" s="6"/>
      <c r="F3405" s="6"/>
      <c r="G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O3405" s="6"/>
      <c r="AP3405" s="6"/>
      <c r="BH3405" s="6"/>
      <c r="BI3405" s="6"/>
      <c r="BJ3405" s="6"/>
      <c r="BK3405" s="6"/>
      <c r="BL3405" s="6"/>
      <c r="BM3405" s="6"/>
      <c r="BN3405" s="6"/>
      <c r="BO3405" s="6"/>
      <c r="BP3405" s="6"/>
      <c r="BQ3405" s="6"/>
      <c r="BR3405" s="6"/>
      <c r="BS3405" s="6"/>
      <c r="BT3405" s="6"/>
      <c r="BU3405" s="6"/>
      <c r="BV3405" s="6"/>
      <c r="BW3405" s="6"/>
      <c r="BX3405" s="6"/>
      <c r="BY3405" s="6"/>
      <c r="BZ3405" s="6"/>
    </row>
    <row r="3406" spans="1:78" ht="21.75" customHeight="1">
      <c r="A3406" s="6"/>
      <c r="B3406" s="6"/>
      <c r="C3406" s="6"/>
      <c r="D3406" s="6"/>
      <c r="E3406" s="6"/>
      <c r="F3406" s="6"/>
      <c r="G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O3406" s="6"/>
      <c r="AP3406" s="6"/>
      <c r="BH3406" s="6"/>
      <c r="BI3406" s="6"/>
      <c r="BJ3406" s="6"/>
      <c r="BK3406" s="6"/>
      <c r="BL3406" s="6"/>
      <c r="BM3406" s="6"/>
      <c r="BN3406" s="6"/>
      <c r="BO3406" s="6"/>
      <c r="BP3406" s="6"/>
      <c r="BQ3406" s="6"/>
      <c r="BR3406" s="6"/>
      <c r="BS3406" s="6"/>
      <c r="BT3406" s="6"/>
      <c r="BU3406" s="6"/>
      <c r="BV3406" s="6"/>
      <c r="BW3406" s="6"/>
      <c r="BX3406" s="6"/>
      <c r="BY3406" s="6"/>
      <c r="BZ3406" s="6"/>
    </row>
    <row r="3407" spans="1:78" s="450" customFormat="1" ht="21.75" customHeight="1"/>
    <row r="3408" spans="1:78" s="448" customFormat="1" ht="21.75" customHeight="1"/>
    <row r="3409" spans="1:78" ht="21.75" customHeight="1">
      <c r="A3409" s="6"/>
      <c r="B3409" s="6"/>
      <c r="C3409" s="6"/>
      <c r="D3409" s="6"/>
      <c r="E3409" s="6"/>
      <c r="F3409" s="6"/>
      <c r="G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O3409" s="6"/>
      <c r="AP3409" s="6"/>
      <c r="BH3409" s="6"/>
      <c r="BI3409" s="6"/>
      <c r="BJ3409" s="6"/>
      <c r="BK3409" s="6"/>
      <c r="BL3409" s="6"/>
      <c r="BM3409" s="6"/>
      <c r="BN3409" s="6"/>
      <c r="BO3409" s="6"/>
      <c r="BP3409" s="6"/>
      <c r="BQ3409" s="6"/>
      <c r="BR3409" s="6"/>
      <c r="BS3409" s="6"/>
      <c r="BT3409" s="6"/>
      <c r="BU3409" s="6"/>
      <c r="BV3409" s="6"/>
      <c r="BW3409" s="6"/>
      <c r="BX3409" s="6"/>
      <c r="BY3409" s="6"/>
      <c r="BZ3409" s="6"/>
    </row>
    <row r="3410" spans="1:78" s="472" customFormat="1" ht="21.75" customHeight="1"/>
    <row r="3411" spans="1:78" ht="21.75" customHeight="1">
      <c r="A3411" s="6"/>
      <c r="B3411" s="6"/>
      <c r="C3411" s="6"/>
      <c r="D3411" s="6"/>
      <c r="E3411" s="6"/>
      <c r="F3411" s="6"/>
      <c r="G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O3411" s="6"/>
      <c r="AP3411" s="6"/>
      <c r="BH3411" s="6"/>
      <c r="BI3411" s="6"/>
      <c r="BJ3411" s="6"/>
      <c r="BK3411" s="6"/>
      <c r="BL3411" s="6"/>
      <c r="BM3411" s="6"/>
      <c r="BN3411" s="6"/>
      <c r="BO3411" s="6"/>
      <c r="BP3411" s="6"/>
      <c r="BQ3411" s="6"/>
      <c r="BR3411" s="6"/>
      <c r="BS3411" s="6"/>
      <c r="BT3411" s="6"/>
      <c r="BU3411" s="6"/>
      <c r="BV3411" s="6"/>
      <c r="BW3411" s="6"/>
      <c r="BX3411" s="6"/>
      <c r="BY3411" s="6"/>
      <c r="BZ3411" s="6"/>
    </row>
    <row r="3412" spans="1:78" ht="21.75" customHeight="1">
      <c r="A3412" s="6"/>
      <c r="B3412" s="6"/>
      <c r="C3412" s="6"/>
      <c r="D3412" s="6"/>
      <c r="E3412" s="6"/>
      <c r="F3412" s="6"/>
      <c r="G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O3412" s="6"/>
      <c r="AP3412" s="6"/>
      <c r="BH3412" s="6"/>
      <c r="BI3412" s="6"/>
      <c r="BJ3412" s="6"/>
      <c r="BK3412" s="6"/>
      <c r="BL3412" s="6"/>
      <c r="BM3412" s="6"/>
      <c r="BN3412" s="6"/>
      <c r="BO3412" s="6"/>
      <c r="BP3412" s="6"/>
      <c r="BQ3412" s="6"/>
      <c r="BR3412" s="6"/>
      <c r="BS3412" s="6"/>
      <c r="BT3412" s="6"/>
      <c r="BU3412" s="6"/>
      <c r="BV3412" s="6"/>
      <c r="BW3412" s="6"/>
      <c r="BX3412" s="6"/>
      <c r="BY3412" s="6"/>
      <c r="BZ3412" s="6"/>
    </row>
    <row r="3413" spans="1:78" ht="21.75" customHeight="1">
      <c r="A3413" s="6"/>
      <c r="B3413" s="6"/>
      <c r="C3413" s="6"/>
      <c r="D3413" s="6"/>
      <c r="E3413" s="6"/>
      <c r="F3413" s="6"/>
      <c r="G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O3413" s="6"/>
      <c r="AP3413" s="6"/>
      <c r="BH3413" s="6"/>
      <c r="BI3413" s="6"/>
      <c r="BJ3413" s="6"/>
      <c r="BK3413" s="6"/>
      <c r="BL3413" s="6"/>
      <c r="BM3413" s="6"/>
      <c r="BN3413" s="6"/>
      <c r="BO3413" s="6"/>
      <c r="BP3413" s="6"/>
      <c r="BQ3413" s="6"/>
      <c r="BR3413" s="6"/>
      <c r="BS3413" s="6"/>
      <c r="BT3413" s="6"/>
      <c r="BU3413" s="6"/>
      <c r="BV3413" s="6"/>
      <c r="BW3413" s="6"/>
      <c r="BX3413" s="6"/>
      <c r="BY3413" s="6"/>
      <c r="BZ3413" s="6"/>
    </row>
    <row r="3414" spans="1:78" ht="21.75" customHeight="1">
      <c r="A3414" s="6"/>
      <c r="B3414" s="6"/>
      <c r="C3414" s="6"/>
      <c r="D3414" s="6"/>
      <c r="E3414" s="6"/>
      <c r="F3414" s="6"/>
      <c r="G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O3414" s="6"/>
      <c r="AP3414" s="6"/>
      <c r="BH3414" s="6"/>
      <c r="BI3414" s="6"/>
      <c r="BJ3414" s="6"/>
      <c r="BK3414" s="6"/>
      <c r="BL3414" s="6"/>
      <c r="BM3414" s="6"/>
      <c r="BN3414" s="6"/>
      <c r="BO3414" s="6"/>
      <c r="BP3414" s="6"/>
      <c r="BQ3414" s="6"/>
      <c r="BR3414" s="6"/>
      <c r="BS3414" s="6"/>
      <c r="BT3414" s="6"/>
      <c r="BU3414" s="6"/>
      <c r="BV3414" s="6"/>
      <c r="BW3414" s="6"/>
      <c r="BX3414" s="6"/>
      <c r="BY3414" s="6"/>
      <c r="BZ3414" s="6"/>
    </row>
    <row r="3415" spans="1:78" ht="21.75" customHeight="1">
      <c r="A3415" s="6"/>
      <c r="B3415" s="6"/>
      <c r="C3415" s="6"/>
      <c r="D3415" s="6"/>
      <c r="E3415" s="6"/>
      <c r="F3415" s="6"/>
      <c r="G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O3415" s="6"/>
      <c r="AP3415" s="6"/>
      <c r="BH3415" s="6"/>
      <c r="BI3415" s="6"/>
      <c r="BJ3415" s="6"/>
      <c r="BK3415" s="6"/>
      <c r="BL3415" s="6"/>
      <c r="BM3415" s="6"/>
      <c r="BN3415" s="6"/>
      <c r="BO3415" s="6"/>
      <c r="BP3415" s="6"/>
      <c r="BQ3415" s="6"/>
      <c r="BR3415" s="6"/>
      <c r="BS3415" s="6"/>
      <c r="BT3415" s="6"/>
      <c r="BU3415" s="6"/>
      <c r="BV3415" s="6"/>
      <c r="BW3415" s="6"/>
      <c r="BX3415" s="6"/>
      <c r="BY3415" s="6"/>
      <c r="BZ3415" s="6"/>
    </row>
    <row r="3416" spans="1:78" ht="21.75" customHeight="1">
      <c r="A3416" s="6"/>
      <c r="B3416" s="6"/>
      <c r="C3416" s="6"/>
      <c r="D3416" s="6"/>
      <c r="E3416" s="6"/>
      <c r="F3416" s="6"/>
      <c r="G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O3416" s="6"/>
      <c r="AP3416" s="6"/>
      <c r="BH3416" s="6"/>
      <c r="BI3416" s="6"/>
      <c r="BJ3416" s="6"/>
      <c r="BK3416" s="6"/>
      <c r="BL3416" s="6"/>
      <c r="BM3416" s="6"/>
      <c r="BN3416" s="6"/>
      <c r="BO3416" s="6"/>
      <c r="BP3416" s="6"/>
      <c r="BQ3416" s="6"/>
      <c r="BR3416" s="6"/>
      <c r="BS3416" s="6"/>
      <c r="BT3416" s="6"/>
      <c r="BU3416" s="6"/>
      <c r="BV3416" s="6"/>
      <c r="BW3416" s="6"/>
      <c r="BX3416" s="6"/>
      <c r="BY3416" s="6"/>
      <c r="BZ3416" s="6"/>
    </row>
    <row r="3417" spans="1:78" ht="21.75" customHeight="1">
      <c r="A3417" s="6"/>
      <c r="B3417" s="6"/>
      <c r="C3417" s="6"/>
      <c r="D3417" s="6"/>
      <c r="E3417" s="6"/>
      <c r="F3417" s="6"/>
      <c r="G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O3417" s="6"/>
      <c r="AP3417" s="6"/>
      <c r="BH3417" s="6"/>
      <c r="BI3417" s="6"/>
      <c r="BJ3417" s="6"/>
      <c r="BK3417" s="6"/>
      <c r="BL3417" s="6"/>
      <c r="BM3417" s="6"/>
      <c r="BN3417" s="6"/>
      <c r="BO3417" s="6"/>
      <c r="BP3417" s="6"/>
      <c r="BQ3417" s="6"/>
      <c r="BR3417" s="6"/>
      <c r="BS3417" s="6"/>
      <c r="BT3417" s="6"/>
      <c r="BU3417" s="6"/>
      <c r="BV3417" s="6"/>
      <c r="BW3417" s="6"/>
      <c r="BX3417" s="6"/>
      <c r="BY3417" s="6"/>
      <c r="BZ3417" s="6"/>
    </row>
    <row r="3418" spans="1:78" ht="21.75" customHeight="1">
      <c r="A3418" s="6"/>
      <c r="B3418" s="6"/>
      <c r="C3418" s="6"/>
      <c r="D3418" s="6"/>
      <c r="E3418" s="6"/>
      <c r="F3418" s="6"/>
      <c r="G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O3418" s="6"/>
      <c r="AP3418" s="6"/>
      <c r="BH3418" s="6"/>
      <c r="BI3418" s="6"/>
      <c r="BJ3418" s="6"/>
      <c r="BK3418" s="6"/>
      <c r="BL3418" s="6"/>
      <c r="BM3418" s="6"/>
      <c r="BN3418" s="6"/>
      <c r="BO3418" s="6"/>
      <c r="BP3418" s="6"/>
      <c r="BQ3418" s="6"/>
      <c r="BR3418" s="6"/>
      <c r="BS3418" s="6"/>
      <c r="BT3418" s="6"/>
      <c r="BU3418" s="6"/>
      <c r="BV3418" s="6"/>
      <c r="BW3418" s="6"/>
      <c r="BX3418" s="6"/>
      <c r="BY3418" s="6"/>
      <c r="BZ3418" s="6"/>
    </row>
    <row r="3419" spans="1:78" ht="21.75" customHeight="1">
      <c r="A3419" s="6"/>
      <c r="B3419" s="6"/>
      <c r="C3419" s="6"/>
      <c r="D3419" s="6"/>
      <c r="E3419" s="6"/>
      <c r="F3419" s="6"/>
      <c r="G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O3419" s="6"/>
      <c r="AP3419" s="6"/>
      <c r="BH3419" s="6"/>
      <c r="BI3419" s="6"/>
      <c r="BJ3419" s="6"/>
      <c r="BK3419" s="6"/>
      <c r="BL3419" s="6"/>
      <c r="BM3419" s="6"/>
      <c r="BN3419" s="6"/>
      <c r="BO3419" s="6"/>
      <c r="BP3419" s="6"/>
      <c r="BQ3419" s="6"/>
      <c r="BR3419" s="6"/>
      <c r="BS3419" s="6"/>
      <c r="BT3419" s="6"/>
      <c r="BU3419" s="6"/>
      <c r="BV3419" s="6"/>
      <c r="BW3419" s="6"/>
      <c r="BX3419" s="6"/>
      <c r="BY3419" s="6"/>
      <c r="BZ3419" s="6"/>
    </row>
    <row r="3420" spans="1:78" ht="21.75" customHeight="1">
      <c r="A3420" s="6"/>
      <c r="B3420" s="6"/>
      <c r="C3420" s="6"/>
      <c r="D3420" s="6"/>
      <c r="E3420" s="6"/>
      <c r="F3420" s="6"/>
      <c r="G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O3420" s="6"/>
      <c r="AP3420" s="6"/>
      <c r="BH3420" s="6"/>
      <c r="BI3420" s="6"/>
      <c r="BJ3420" s="6"/>
      <c r="BK3420" s="6"/>
      <c r="BL3420" s="6"/>
      <c r="BM3420" s="6"/>
      <c r="BN3420" s="6"/>
      <c r="BO3420" s="6"/>
      <c r="BP3420" s="6"/>
      <c r="BQ3420" s="6"/>
      <c r="BR3420" s="6"/>
      <c r="BS3420" s="6"/>
      <c r="BT3420" s="6"/>
      <c r="BU3420" s="6"/>
      <c r="BV3420" s="6"/>
      <c r="BW3420" s="6"/>
      <c r="BX3420" s="6"/>
      <c r="BY3420" s="6"/>
      <c r="BZ3420" s="6"/>
    </row>
    <row r="3421" spans="1:78" ht="21.75" customHeight="1">
      <c r="A3421" s="6"/>
      <c r="B3421" s="6"/>
      <c r="C3421" s="6"/>
      <c r="D3421" s="6"/>
      <c r="E3421" s="6"/>
      <c r="F3421" s="6"/>
      <c r="G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O3421" s="6"/>
      <c r="AP3421" s="6"/>
      <c r="BH3421" s="6"/>
      <c r="BI3421" s="6"/>
      <c r="BJ3421" s="6"/>
      <c r="BK3421" s="6"/>
      <c r="BL3421" s="6"/>
      <c r="BM3421" s="6"/>
      <c r="BN3421" s="6"/>
      <c r="BO3421" s="6"/>
      <c r="BP3421" s="6"/>
      <c r="BQ3421" s="6"/>
      <c r="BR3421" s="6"/>
      <c r="BS3421" s="6"/>
      <c r="BT3421" s="6"/>
      <c r="BU3421" s="6"/>
      <c r="BV3421" s="6"/>
      <c r="BW3421" s="6"/>
      <c r="BX3421" s="6"/>
      <c r="BY3421" s="6"/>
      <c r="BZ3421" s="6"/>
    </row>
    <row r="3422" spans="1:78" ht="21.75" customHeight="1">
      <c r="A3422" s="6"/>
      <c r="B3422" s="6"/>
      <c r="C3422" s="6"/>
      <c r="D3422" s="6"/>
      <c r="E3422" s="6"/>
      <c r="F3422" s="6"/>
      <c r="G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O3422" s="6"/>
      <c r="AP3422" s="6"/>
      <c r="BH3422" s="6"/>
      <c r="BI3422" s="6"/>
      <c r="BJ3422" s="6"/>
      <c r="BK3422" s="6"/>
      <c r="BL3422" s="6"/>
      <c r="BM3422" s="6"/>
      <c r="BN3422" s="6"/>
      <c r="BO3422" s="6"/>
      <c r="BP3422" s="6"/>
      <c r="BQ3422" s="6"/>
      <c r="BR3422" s="6"/>
      <c r="BS3422" s="6"/>
      <c r="BT3422" s="6"/>
      <c r="BU3422" s="6"/>
      <c r="BV3422" s="6"/>
      <c r="BW3422" s="6"/>
      <c r="BX3422" s="6"/>
      <c r="BY3422" s="6"/>
      <c r="BZ3422" s="6"/>
    </row>
    <row r="3423" spans="1:78" ht="21.75" customHeight="1">
      <c r="A3423" s="6"/>
      <c r="B3423" s="6"/>
      <c r="C3423" s="6"/>
      <c r="D3423" s="6"/>
      <c r="E3423" s="6"/>
      <c r="F3423" s="6"/>
      <c r="G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O3423" s="6"/>
      <c r="AP3423" s="6"/>
      <c r="BH3423" s="6"/>
      <c r="BI3423" s="6"/>
      <c r="BJ3423" s="6"/>
      <c r="BK3423" s="6"/>
      <c r="BL3423" s="6"/>
      <c r="BM3423" s="6"/>
      <c r="BN3423" s="6"/>
      <c r="BO3423" s="6"/>
      <c r="BP3423" s="6"/>
      <c r="BQ3423" s="6"/>
      <c r="BR3423" s="6"/>
      <c r="BS3423" s="6"/>
      <c r="BT3423" s="6"/>
      <c r="BU3423" s="6"/>
      <c r="BV3423" s="6"/>
      <c r="BW3423" s="6"/>
      <c r="BX3423" s="6"/>
      <c r="BY3423" s="6"/>
      <c r="BZ3423" s="6"/>
    </row>
    <row r="3424" spans="1:78" ht="21.75" customHeight="1">
      <c r="A3424" s="6"/>
      <c r="B3424" s="6"/>
      <c r="C3424" s="6"/>
      <c r="D3424" s="6"/>
      <c r="E3424" s="6"/>
      <c r="F3424" s="6"/>
      <c r="G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O3424" s="6"/>
      <c r="AP3424" s="6"/>
      <c r="BH3424" s="6"/>
      <c r="BI3424" s="6"/>
      <c r="BJ3424" s="6"/>
      <c r="BK3424" s="6"/>
      <c r="BL3424" s="6"/>
      <c r="BM3424" s="6"/>
      <c r="BN3424" s="6"/>
      <c r="BO3424" s="6"/>
      <c r="BP3424" s="6"/>
      <c r="BQ3424" s="6"/>
      <c r="BR3424" s="6"/>
      <c r="BS3424" s="6"/>
      <c r="BT3424" s="6"/>
      <c r="BU3424" s="6"/>
      <c r="BV3424" s="6"/>
      <c r="BW3424" s="6"/>
      <c r="BX3424" s="6"/>
      <c r="BY3424" s="6"/>
      <c r="BZ3424" s="6"/>
    </row>
    <row r="3425" spans="1:78" ht="21.75" customHeight="1">
      <c r="A3425" s="6"/>
      <c r="B3425" s="6"/>
      <c r="C3425" s="6"/>
      <c r="D3425" s="6"/>
      <c r="E3425" s="6"/>
      <c r="F3425" s="6"/>
      <c r="G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O3425" s="6"/>
      <c r="AP3425" s="6"/>
      <c r="BH3425" s="6"/>
      <c r="BI3425" s="6"/>
      <c r="BJ3425" s="6"/>
      <c r="BK3425" s="6"/>
      <c r="BL3425" s="6"/>
      <c r="BM3425" s="6"/>
      <c r="BN3425" s="6"/>
      <c r="BO3425" s="6"/>
      <c r="BP3425" s="6"/>
      <c r="BQ3425" s="6"/>
      <c r="BR3425" s="6"/>
      <c r="BS3425" s="6"/>
      <c r="BT3425" s="6"/>
      <c r="BU3425" s="6"/>
      <c r="BV3425" s="6"/>
      <c r="BW3425" s="6"/>
      <c r="BX3425" s="6"/>
      <c r="BY3425" s="6"/>
      <c r="BZ3425" s="6"/>
    </row>
    <row r="3426" spans="1:78" ht="21.75" customHeight="1">
      <c r="A3426" s="6"/>
      <c r="B3426" s="6"/>
      <c r="C3426" s="6"/>
      <c r="D3426" s="6"/>
      <c r="E3426" s="6"/>
      <c r="F3426" s="6"/>
      <c r="G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O3426" s="6"/>
      <c r="AP3426" s="6"/>
      <c r="BH3426" s="6"/>
      <c r="BI3426" s="6"/>
      <c r="BJ3426" s="6"/>
      <c r="BK3426" s="6"/>
      <c r="BL3426" s="6"/>
      <c r="BM3426" s="6"/>
      <c r="BN3426" s="6"/>
      <c r="BO3426" s="6"/>
      <c r="BP3426" s="6"/>
      <c r="BQ3426" s="6"/>
      <c r="BR3426" s="6"/>
      <c r="BS3426" s="6"/>
      <c r="BT3426" s="6"/>
      <c r="BU3426" s="6"/>
      <c r="BV3426" s="6"/>
      <c r="BW3426" s="6"/>
      <c r="BX3426" s="6"/>
      <c r="BY3426" s="6"/>
      <c r="BZ3426" s="6"/>
    </row>
    <row r="3427" spans="1:78" s="450" customFormat="1" ht="21.75" customHeight="1"/>
    <row r="3428" spans="1:78" s="448" customFormat="1" ht="21.75" customHeight="1"/>
    <row r="3429" spans="1:78" ht="21.75" customHeight="1">
      <c r="A3429" s="6"/>
      <c r="B3429" s="6"/>
      <c r="C3429" s="6"/>
      <c r="D3429" s="6"/>
      <c r="E3429" s="6"/>
      <c r="F3429" s="6"/>
      <c r="G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O3429" s="6"/>
      <c r="AP3429" s="6"/>
      <c r="BH3429" s="6"/>
      <c r="BI3429" s="6"/>
      <c r="BJ3429" s="6"/>
      <c r="BK3429" s="6"/>
      <c r="BL3429" s="6"/>
      <c r="BM3429" s="6"/>
      <c r="BN3429" s="6"/>
      <c r="BO3429" s="6"/>
      <c r="BP3429" s="6"/>
      <c r="BQ3429" s="6"/>
      <c r="BR3429" s="6"/>
      <c r="BS3429" s="6"/>
      <c r="BT3429" s="6"/>
      <c r="BU3429" s="6"/>
      <c r="BV3429" s="6"/>
      <c r="BW3429" s="6"/>
      <c r="BX3429" s="6"/>
      <c r="BY3429" s="6"/>
      <c r="BZ3429" s="6"/>
    </row>
    <row r="3430" spans="1:78" ht="21.75" customHeight="1">
      <c r="A3430" s="6"/>
      <c r="B3430" s="6"/>
      <c r="C3430" s="6"/>
      <c r="D3430" s="6"/>
      <c r="E3430" s="6"/>
      <c r="F3430" s="6"/>
      <c r="G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O3430" s="6"/>
      <c r="AP3430" s="6"/>
      <c r="BH3430" s="6"/>
      <c r="BI3430" s="6"/>
      <c r="BJ3430" s="6"/>
      <c r="BK3430" s="6"/>
      <c r="BL3430" s="6"/>
      <c r="BM3430" s="6"/>
      <c r="BN3430" s="6"/>
      <c r="BO3430" s="6"/>
      <c r="BP3430" s="6"/>
      <c r="BQ3430" s="6"/>
      <c r="BR3430" s="6"/>
      <c r="BS3430" s="6"/>
      <c r="BT3430" s="6"/>
      <c r="BU3430" s="6"/>
      <c r="BV3430" s="6"/>
      <c r="BW3430" s="6"/>
      <c r="BX3430" s="6"/>
      <c r="BY3430" s="6"/>
      <c r="BZ3430" s="6"/>
    </row>
    <row r="3431" spans="1:78" s="450" customFormat="1" ht="21.75" customHeight="1"/>
    <row r="3432" spans="1:78" s="448" customFormat="1" ht="21.75" customHeight="1"/>
    <row r="3433" spans="1:78" ht="21.75" customHeight="1">
      <c r="A3433" s="6"/>
      <c r="B3433" s="6"/>
      <c r="C3433" s="6"/>
      <c r="D3433" s="6"/>
      <c r="E3433" s="6"/>
      <c r="F3433" s="6"/>
      <c r="G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O3433" s="6"/>
      <c r="AP3433" s="6"/>
      <c r="BH3433" s="6"/>
      <c r="BI3433" s="6"/>
      <c r="BJ3433" s="6"/>
      <c r="BK3433" s="6"/>
      <c r="BL3433" s="6"/>
      <c r="BM3433" s="6"/>
      <c r="BN3433" s="6"/>
      <c r="BO3433" s="6"/>
      <c r="BP3433" s="6"/>
      <c r="BQ3433" s="6"/>
      <c r="BR3433" s="6"/>
      <c r="BS3433" s="6"/>
      <c r="BT3433" s="6"/>
      <c r="BU3433" s="6"/>
      <c r="BV3433" s="6"/>
      <c r="BW3433" s="6"/>
      <c r="BX3433" s="6"/>
      <c r="BY3433" s="6"/>
      <c r="BZ3433" s="6"/>
    </row>
    <row r="3434" spans="1:78" ht="21.75" customHeight="1">
      <c r="A3434" s="6"/>
      <c r="B3434" s="6"/>
      <c r="C3434" s="6"/>
      <c r="D3434" s="6"/>
      <c r="E3434" s="6"/>
      <c r="F3434" s="6"/>
      <c r="G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O3434" s="6"/>
      <c r="AP3434" s="6"/>
      <c r="BH3434" s="6"/>
      <c r="BI3434" s="6"/>
      <c r="BJ3434" s="6"/>
      <c r="BK3434" s="6"/>
      <c r="BL3434" s="6"/>
      <c r="BM3434" s="6"/>
      <c r="BN3434" s="6"/>
      <c r="BO3434" s="6"/>
      <c r="BP3434" s="6"/>
      <c r="BQ3434" s="6"/>
      <c r="BR3434" s="6"/>
      <c r="BS3434" s="6"/>
      <c r="BT3434" s="6"/>
      <c r="BU3434" s="6"/>
      <c r="BV3434" s="6"/>
      <c r="BW3434" s="6"/>
      <c r="BX3434" s="6"/>
      <c r="BY3434" s="6"/>
      <c r="BZ3434" s="6"/>
    </row>
    <row r="3435" spans="1:78" ht="21.75" customHeight="1">
      <c r="A3435" s="6"/>
      <c r="B3435" s="6"/>
      <c r="C3435" s="6"/>
      <c r="D3435" s="6"/>
      <c r="E3435" s="6"/>
      <c r="F3435" s="6"/>
      <c r="G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O3435" s="6"/>
      <c r="AP3435" s="6"/>
      <c r="BH3435" s="6"/>
      <c r="BI3435" s="6"/>
      <c r="BJ3435" s="6"/>
      <c r="BK3435" s="6"/>
      <c r="BL3435" s="6"/>
      <c r="BM3435" s="6"/>
      <c r="BN3435" s="6"/>
      <c r="BO3435" s="6"/>
      <c r="BP3435" s="6"/>
      <c r="BQ3435" s="6"/>
      <c r="BR3435" s="6"/>
      <c r="BS3435" s="6"/>
      <c r="BT3435" s="6"/>
      <c r="BU3435" s="6"/>
      <c r="BV3435" s="6"/>
      <c r="BW3435" s="6"/>
      <c r="BX3435" s="6"/>
      <c r="BY3435" s="6"/>
      <c r="BZ3435" s="6"/>
    </row>
    <row r="3436" spans="1:78" ht="21.75" customHeight="1">
      <c r="A3436" s="6"/>
      <c r="B3436" s="6"/>
      <c r="C3436" s="6"/>
      <c r="D3436" s="6"/>
      <c r="E3436" s="6"/>
      <c r="F3436" s="6"/>
      <c r="G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O3436" s="6"/>
      <c r="AP3436" s="6"/>
      <c r="BH3436" s="6"/>
      <c r="BI3436" s="6"/>
      <c r="BJ3436" s="6"/>
      <c r="BK3436" s="6"/>
      <c r="BL3436" s="6"/>
      <c r="BM3436" s="6"/>
      <c r="BN3436" s="6"/>
      <c r="BO3436" s="6"/>
      <c r="BP3436" s="6"/>
      <c r="BQ3436" s="6"/>
      <c r="BR3436" s="6"/>
      <c r="BS3436" s="6"/>
      <c r="BT3436" s="6"/>
      <c r="BU3436" s="6"/>
      <c r="BV3436" s="6"/>
      <c r="BW3436" s="6"/>
      <c r="BX3436" s="6"/>
      <c r="BY3436" s="6"/>
      <c r="BZ3436" s="6"/>
    </row>
    <row r="3437" spans="1:78" ht="21.75" customHeight="1">
      <c r="A3437" s="6"/>
      <c r="B3437" s="6"/>
      <c r="C3437" s="6"/>
      <c r="D3437" s="6"/>
      <c r="E3437" s="6"/>
      <c r="F3437" s="6"/>
      <c r="G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O3437" s="6"/>
      <c r="AP3437" s="6"/>
      <c r="BH3437" s="6"/>
      <c r="BI3437" s="6"/>
      <c r="BJ3437" s="6"/>
      <c r="BK3437" s="6"/>
      <c r="BL3437" s="6"/>
      <c r="BM3437" s="6"/>
      <c r="BN3437" s="6"/>
      <c r="BO3437" s="6"/>
      <c r="BP3437" s="6"/>
      <c r="BQ3437" s="6"/>
      <c r="BR3437" s="6"/>
      <c r="BS3437" s="6"/>
      <c r="BT3437" s="6"/>
      <c r="BU3437" s="6"/>
      <c r="BV3437" s="6"/>
      <c r="BW3437" s="6"/>
      <c r="BX3437" s="6"/>
      <c r="BY3437" s="6"/>
      <c r="BZ3437" s="6"/>
    </row>
    <row r="3438" spans="1:78" ht="21.75" customHeight="1">
      <c r="A3438" s="6"/>
      <c r="B3438" s="6"/>
      <c r="C3438" s="6"/>
      <c r="D3438" s="6"/>
      <c r="E3438" s="6"/>
      <c r="F3438" s="6"/>
      <c r="G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O3438" s="6"/>
      <c r="AP3438" s="6"/>
      <c r="BH3438" s="6"/>
      <c r="BI3438" s="6"/>
      <c r="BJ3438" s="6"/>
      <c r="BK3438" s="6"/>
      <c r="BL3438" s="6"/>
      <c r="BM3438" s="6"/>
      <c r="BN3438" s="6"/>
      <c r="BO3438" s="6"/>
      <c r="BP3438" s="6"/>
      <c r="BQ3438" s="6"/>
      <c r="BR3438" s="6"/>
      <c r="BS3438" s="6"/>
      <c r="BT3438" s="6"/>
      <c r="BU3438" s="6"/>
      <c r="BV3438" s="6"/>
      <c r="BW3438" s="6"/>
      <c r="BX3438" s="6"/>
      <c r="BY3438" s="6"/>
      <c r="BZ3438" s="6"/>
    </row>
    <row r="3439" spans="1:78" ht="21.75" customHeight="1">
      <c r="A3439" s="6"/>
      <c r="B3439" s="6"/>
      <c r="C3439" s="6"/>
      <c r="D3439" s="6"/>
      <c r="E3439" s="6"/>
      <c r="F3439" s="6"/>
      <c r="G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O3439" s="6"/>
      <c r="AP3439" s="6"/>
      <c r="BH3439" s="6"/>
      <c r="BI3439" s="6"/>
      <c r="BJ3439" s="6"/>
      <c r="BK3439" s="6"/>
      <c r="BL3439" s="6"/>
      <c r="BM3439" s="6"/>
      <c r="BN3439" s="6"/>
      <c r="BO3439" s="6"/>
      <c r="BP3439" s="6"/>
      <c r="BQ3439" s="6"/>
      <c r="BR3439" s="6"/>
      <c r="BS3439" s="6"/>
      <c r="BT3439" s="6"/>
      <c r="BU3439" s="6"/>
      <c r="BV3439" s="6"/>
      <c r="BW3439" s="6"/>
      <c r="BX3439" s="6"/>
      <c r="BY3439" s="6"/>
      <c r="BZ3439" s="6"/>
    </row>
    <row r="3440" spans="1:78" s="450" customFormat="1" ht="21.75" customHeight="1"/>
    <row r="3441" spans="1:78" s="448" customFormat="1" ht="21.75" customHeight="1"/>
    <row r="3442" spans="1:78" ht="21.75" customHeight="1">
      <c r="A3442" s="6"/>
      <c r="B3442" s="6"/>
      <c r="C3442" s="6"/>
      <c r="D3442" s="6"/>
      <c r="E3442" s="6"/>
      <c r="F3442" s="6"/>
      <c r="G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O3442" s="6"/>
      <c r="AP3442" s="6"/>
      <c r="BH3442" s="6"/>
      <c r="BI3442" s="6"/>
      <c r="BJ3442" s="6"/>
      <c r="BK3442" s="6"/>
      <c r="BL3442" s="6"/>
      <c r="BM3442" s="6"/>
      <c r="BN3442" s="6"/>
      <c r="BO3442" s="6"/>
      <c r="BP3442" s="6"/>
      <c r="BQ3442" s="6"/>
      <c r="BR3442" s="6"/>
      <c r="BS3442" s="6"/>
      <c r="BT3442" s="6"/>
      <c r="BU3442" s="6"/>
      <c r="BV3442" s="6"/>
      <c r="BW3442" s="6"/>
      <c r="BX3442" s="6"/>
      <c r="BY3442" s="6"/>
      <c r="BZ3442" s="6"/>
    </row>
    <row r="3443" spans="1:78" ht="21.75" customHeight="1">
      <c r="A3443" s="6"/>
      <c r="B3443" s="6"/>
      <c r="C3443" s="6"/>
      <c r="D3443" s="6"/>
      <c r="E3443" s="6"/>
      <c r="F3443" s="6"/>
      <c r="G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O3443" s="6"/>
      <c r="AP3443" s="6"/>
      <c r="BH3443" s="6"/>
      <c r="BI3443" s="6"/>
      <c r="BJ3443" s="6"/>
      <c r="BK3443" s="6"/>
      <c r="BL3443" s="6"/>
      <c r="BM3443" s="6"/>
      <c r="BN3443" s="6"/>
      <c r="BO3443" s="6"/>
      <c r="BP3443" s="6"/>
      <c r="BQ3443" s="6"/>
      <c r="BR3443" s="6"/>
      <c r="BS3443" s="6"/>
      <c r="BT3443" s="6"/>
      <c r="BU3443" s="6"/>
      <c r="BV3443" s="6"/>
      <c r="BW3443" s="6"/>
      <c r="BX3443" s="6"/>
      <c r="BY3443" s="6"/>
      <c r="BZ3443" s="6"/>
    </row>
    <row r="3444" spans="1:78" ht="21.75" customHeight="1">
      <c r="A3444" s="6"/>
      <c r="B3444" s="6"/>
      <c r="C3444" s="6"/>
      <c r="D3444" s="6"/>
      <c r="E3444" s="6"/>
      <c r="F3444" s="6"/>
      <c r="G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O3444" s="6"/>
      <c r="AP3444" s="6"/>
      <c r="BH3444" s="6"/>
      <c r="BI3444" s="6"/>
      <c r="BJ3444" s="6"/>
      <c r="BK3444" s="6"/>
      <c r="BL3444" s="6"/>
      <c r="BM3444" s="6"/>
      <c r="BN3444" s="6"/>
      <c r="BO3444" s="6"/>
      <c r="BP3444" s="6"/>
      <c r="BQ3444" s="6"/>
      <c r="BR3444" s="6"/>
      <c r="BS3444" s="6"/>
      <c r="BT3444" s="6"/>
      <c r="BU3444" s="6"/>
      <c r="BV3444" s="6"/>
      <c r="BW3444" s="6"/>
      <c r="BX3444" s="6"/>
      <c r="BY3444" s="6"/>
      <c r="BZ3444" s="6"/>
    </row>
    <row r="3445" spans="1:78" ht="21.75" customHeight="1">
      <c r="A3445" s="6"/>
      <c r="B3445" s="6"/>
      <c r="C3445" s="6"/>
      <c r="D3445" s="6"/>
      <c r="E3445" s="6"/>
      <c r="F3445" s="6"/>
      <c r="G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O3445" s="6"/>
      <c r="AP3445" s="6"/>
      <c r="BH3445" s="6"/>
      <c r="BI3445" s="6"/>
      <c r="BJ3445" s="6"/>
      <c r="BK3445" s="6"/>
      <c r="BL3445" s="6"/>
      <c r="BM3445" s="6"/>
      <c r="BN3445" s="6"/>
      <c r="BO3445" s="6"/>
      <c r="BP3445" s="6"/>
      <c r="BQ3445" s="6"/>
      <c r="BR3445" s="6"/>
      <c r="BS3445" s="6"/>
      <c r="BT3445" s="6"/>
      <c r="BU3445" s="6"/>
      <c r="BV3445" s="6"/>
      <c r="BW3445" s="6"/>
      <c r="BX3445" s="6"/>
      <c r="BY3445" s="6"/>
      <c r="BZ3445" s="6"/>
    </row>
    <row r="3446" spans="1:78" ht="21.75" customHeight="1">
      <c r="A3446" s="6"/>
      <c r="B3446" s="6"/>
      <c r="C3446" s="6"/>
      <c r="D3446" s="6"/>
      <c r="E3446" s="6"/>
      <c r="F3446" s="6"/>
      <c r="G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O3446" s="6"/>
      <c r="AP3446" s="6"/>
      <c r="BH3446" s="6"/>
      <c r="BI3446" s="6"/>
      <c r="BJ3446" s="6"/>
      <c r="BK3446" s="6"/>
      <c r="BL3446" s="6"/>
      <c r="BM3446" s="6"/>
      <c r="BN3446" s="6"/>
      <c r="BO3446" s="6"/>
      <c r="BP3446" s="6"/>
      <c r="BQ3446" s="6"/>
      <c r="BR3446" s="6"/>
      <c r="BS3446" s="6"/>
      <c r="BT3446" s="6"/>
      <c r="BU3446" s="6"/>
      <c r="BV3446" s="6"/>
      <c r="BW3446" s="6"/>
      <c r="BX3446" s="6"/>
      <c r="BY3446" s="6"/>
      <c r="BZ3446" s="6"/>
    </row>
    <row r="3447" spans="1:78" ht="21.75" customHeight="1">
      <c r="A3447" s="6"/>
      <c r="B3447" s="6"/>
      <c r="C3447" s="6"/>
      <c r="D3447" s="6"/>
      <c r="E3447" s="6"/>
      <c r="F3447" s="6"/>
      <c r="G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O3447" s="6"/>
      <c r="AP3447" s="6"/>
      <c r="BH3447" s="6"/>
      <c r="BI3447" s="6"/>
      <c r="BJ3447" s="6"/>
      <c r="BK3447" s="6"/>
      <c r="BL3447" s="6"/>
      <c r="BM3447" s="6"/>
      <c r="BN3447" s="6"/>
      <c r="BO3447" s="6"/>
      <c r="BP3447" s="6"/>
      <c r="BQ3447" s="6"/>
      <c r="BR3447" s="6"/>
      <c r="BS3447" s="6"/>
      <c r="BT3447" s="6"/>
      <c r="BU3447" s="6"/>
      <c r="BV3447" s="6"/>
      <c r="BW3447" s="6"/>
      <c r="BX3447" s="6"/>
      <c r="BY3447" s="6"/>
      <c r="BZ3447" s="6"/>
    </row>
    <row r="3448" spans="1:78" ht="21.75" customHeight="1">
      <c r="A3448" s="6"/>
      <c r="B3448" s="6"/>
      <c r="C3448" s="6"/>
      <c r="D3448" s="6"/>
      <c r="E3448" s="6"/>
      <c r="F3448" s="6"/>
      <c r="G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O3448" s="6"/>
      <c r="AP3448" s="6"/>
      <c r="BH3448" s="6"/>
      <c r="BI3448" s="6"/>
      <c r="BJ3448" s="6"/>
      <c r="BK3448" s="6"/>
      <c r="BL3448" s="6"/>
      <c r="BM3448" s="6"/>
      <c r="BN3448" s="6"/>
      <c r="BO3448" s="6"/>
      <c r="BP3448" s="6"/>
      <c r="BQ3448" s="6"/>
      <c r="BR3448" s="6"/>
      <c r="BS3448" s="6"/>
      <c r="BT3448" s="6"/>
      <c r="BU3448" s="6"/>
      <c r="BV3448" s="6"/>
      <c r="BW3448" s="6"/>
      <c r="BX3448" s="6"/>
      <c r="BY3448" s="6"/>
      <c r="BZ3448" s="6"/>
    </row>
    <row r="3449" spans="1:78" ht="21.75" customHeight="1">
      <c r="A3449" s="6"/>
      <c r="B3449" s="6"/>
      <c r="C3449" s="6"/>
      <c r="D3449" s="6"/>
      <c r="E3449" s="6"/>
      <c r="F3449" s="6"/>
      <c r="G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O3449" s="6"/>
      <c r="AP3449" s="6"/>
      <c r="BH3449" s="6"/>
      <c r="BI3449" s="6"/>
      <c r="BJ3449" s="6"/>
      <c r="BK3449" s="6"/>
      <c r="BL3449" s="6"/>
      <c r="BM3449" s="6"/>
      <c r="BN3449" s="6"/>
      <c r="BO3449" s="6"/>
      <c r="BP3449" s="6"/>
      <c r="BQ3449" s="6"/>
      <c r="BR3449" s="6"/>
      <c r="BS3449" s="6"/>
      <c r="BT3449" s="6"/>
      <c r="BU3449" s="6"/>
      <c r="BV3449" s="6"/>
      <c r="BW3449" s="6"/>
      <c r="BX3449" s="6"/>
      <c r="BY3449" s="6"/>
      <c r="BZ3449" s="6"/>
    </row>
    <row r="3450" spans="1:78" ht="21.75" customHeight="1">
      <c r="A3450" s="6"/>
      <c r="B3450" s="6"/>
      <c r="C3450" s="6"/>
      <c r="D3450" s="6"/>
      <c r="E3450" s="6"/>
      <c r="F3450" s="6"/>
      <c r="G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O3450" s="6"/>
      <c r="AP3450" s="6"/>
      <c r="BH3450" s="6"/>
      <c r="BI3450" s="6"/>
      <c r="BJ3450" s="6"/>
      <c r="BK3450" s="6"/>
      <c r="BL3450" s="6"/>
      <c r="BM3450" s="6"/>
      <c r="BN3450" s="6"/>
      <c r="BO3450" s="6"/>
      <c r="BP3450" s="6"/>
      <c r="BQ3450" s="6"/>
      <c r="BR3450" s="6"/>
      <c r="BS3450" s="6"/>
      <c r="BT3450" s="6"/>
      <c r="BU3450" s="6"/>
      <c r="BV3450" s="6"/>
      <c r="BW3450" s="6"/>
      <c r="BX3450" s="6"/>
      <c r="BY3450" s="6"/>
      <c r="BZ3450" s="6"/>
    </row>
    <row r="3451" spans="1:78" ht="21.75" customHeight="1">
      <c r="A3451" s="6"/>
      <c r="B3451" s="6"/>
      <c r="C3451" s="6"/>
      <c r="D3451" s="6"/>
      <c r="E3451" s="6"/>
      <c r="F3451" s="6"/>
      <c r="G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O3451" s="6"/>
      <c r="AP3451" s="6"/>
      <c r="BH3451" s="6"/>
      <c r="BI3451" s="6"/>
      <c r="BJ3451" s="6"/>
      <c r="BK3451" s="6"/>
      <c r="BL3451" s="6"/>
      <c r="BM3451" s="6"/>
      <c r="BN3451" s="6"/>
      <c r="BO3451" s="6"/>
      <c r="BP3451" s="6"/>
      <c r="BQ3451" s="6"/>
      <c r="BR3451" s="6"/>
      <c r="BS3451" s="6"/>
      <c r="BT3451" s="6"/>
      <c r="BU3451" s="6"/>
      <c r="BV3451" s="6"/>
      <c r="BW3451" s="6"/>
      <c r="BX3451" s="6"/>
      <c r="BY3451" s="6"/>
      <c r="BZ3451" s="6"/>
    </row>
    <row r="3452" spans="1:78" ht="21.75" customHeight="1">
      <c r="A3452" s="6"/>
      <c r="B3452" s="6"/>
      <c r="C3452" s="6"/>
      <c r="D3452" s="6"/>
      <c r="E3452" s="6"/>
      <c r="F3452" s="6"/>
      <c r="G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O3452" s="6"/>
      <c r="AP3452" s="6"/>
      <c r="BH3452" s="6"/>
      <c r="BI3452" s="6"/>
      <c r="BJ3452" s="6"/>
      <c r="BK3452" s="6"/>
      <c r="BL3452" s="6"/>
      <c r="BM3452" s="6"/>
      <c r="BN3452" s="6"/>
      <c r="BO3452" s="6"/>
      <c r="BP3452" s="6"/>
      <c r="BQ3452" s="6"/>
      <c r="BR3452" s="6"/>
      <c r="BS3452" s="6"/>
      <c r="BT3452" s="6"/>
      <c r="BU3452" s="6"/>
      <c r="BV3452" s="6"/>
      <c r="BW3452" s="6"/>
      <c r="BX3452" s="6"/>
      <c r="BY3452" s="6"/>
      <c r="BZ3452" s="6"/>
    </row>
    <row r="3453" spans="1:78" ht="21.75" customHeight="1">
      <c r="A3453" s="6"/>
      <c r="B3453" s="6"/>
      <c r="C3453" s="6"/>
      <c r="D3453" s="6"/>
      <c r="E3453" s="6"/>
      <c r="F3453" s="6"/>
      <c r="G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O3453" s="6"/>
      <c r="AP3453" s="6"/>
      <c r="BH3453" s="6"/>
      <c r="BI3453" s="6"/>
      <c r="BJ3453" s="6"/>
      <c r="BK3453" s="6"/>
      <c r="BL3453" s="6"/>
      <c r="BM3453" s="6"/>
      <c r="BN3453" s="6"/>
      <c r="BO3453" s="6"/>
      <c r="BP3453" s="6"/>
      <c r="BQ3453" s="6"/>
      <c r="BR3453" s="6"/>
      <c r="BS3453" s="6"/>
      <c r="BT3453" s="6"/>
      <c r="BU3453" s="6"/>
      <c r="BV3453" s="6"/>
      <c r="BW3453" s="6"/>
      <c r="BX3453" s="6"/>
      <c r="BY3453" s="6"/>
      <c r="BZ3453" s="6"/>
    </row>
    <row r="3454" spans="1:78" ht="21.75" customHeight="1">
      <c r="A3454" s="6"/>
      <c r="B3454" s="6"/>
      <c r="C3454" s="6"/>
      <c r="D3454" s="6"/>
      <c r="E3454" s="6"/>
      <c r="F3454" s="6"/>
      <c r="G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O3454" s="6"/>
      <c r="AP3454" s="6"/>
      <c r="BH3454" s="6"/>
      <c r="BI3454" s="6"/>
      <c r="BJ3454" s="6"/>
      <c r="BK3454" s="6"/>
      <c r="BL3454" s="6"/>
      <c r="BM3454" s="6"/>
      <c r="BN3454" s="6"/>
      <c r="BO3454" s="6"/>
      <c r="BP3454" s="6"/>
      <c r="BQ3454" s="6"/>
      <c r="BR3454" s="6"/>
      <c r="BS3454" s="6"/>
      <c r="BT3454" s="6"/>
      <c r="BU3454" s="6"/>
      <c r="BV3454" s="6"/>
      <c r="BW3454" s="6"/>
      <c r="BX3454" s="6"/>
      <c r="BY3454" s="6"/>
      <c r="BZ3454" s="6"/>
    </row>
    <row r="3455" spans="1:78" s="450" customFormat="1" ht="21.75" customHeight="1"/>
    <row r="3456" spans="1:78" s="448" customFormat="1" ht="21.75" customHeight="1"/>
    <row r="3457" spans="1:78" ht="21.75" customHeight="1">
      <c r="A3457" s="6"/>
      <c r="B3457" s="6"/>
      <c r="C3457" s="6"/>
      <c r="D3457" s="6"/>
      <c r="E3457" s="6"/>
      <c r="F3457" s="6"/>
      <c r="G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O3457" s="6"/>
      <c r="AP3457" s="6"/>
      <c r="BH3457" s="6"/>
      <c r="BI3457" s="6"/>
      <c r="BJ3457" s="6"/>
      <c r="BK3457" s="6"/>
      <c r="BL3457" s="6"/>
      <c r="BM3457" s="6"/>
      <c r="BN3457" s="6"/>
      <c r="BO3457" s="6"/>
      <c r="BP3457" s="6"/>
      <c r="BQ3457" s="6"/>
      <c r="BR3457" s="6"/>
      <c r="BS3457" s="6"/>
      <c r="BT3457" s="6"/>
      <c r="BU3457" s="6"/>
      <c r="BV3457" s="6"/>
      <c r="BW3457" s="6"/>
      <c r="BX3457" s="6"/>
      <c r="BY3457" s="6"/>
      <c r="BZ3457" s="6"/>
    </row>
    <row r="3458" spans="1:78" ht="21.75" customHeight="1">
      <c r="A3458" s="6"/>
      <c r="B3458" s="6"/>
      <c r="C3458" s="6"/>
      <c r="D3458" s="6"/>
      <c r="E3458" s="6"/>
      <c r="F3458" s="6"/>
      <c r="G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O3458" s="6"/>
      <c r="AP3458" s="6"/>
      <c r="BH3458" s="6"/>
      <c r="BI3458" s="6"/>
      <c r="BJ3458" s="6"/>
      <c r="BK3458" s="6"/>
      <c r="BL3458" s="6"/>
      <c r="BM3458" s="6"/>
      <c r="BN3458" s="6"/>
      <c r="BO3458" s="6"/>
      <c r="BP3458" s="6"/>
      <c r="BQ3458" s="6"/>
      <c r="BR3458" s="6"/>
      <c r="BS3458" s="6"/>
      <c r="BT3458" s="6"/>
      <c r="BU3458" s="6"/>
      <c r="BV3458" s="6"/>
      <c r="BW3458" s="6"/>
      <c r="BX3458" s="6"/>
      <c r="BY3458" s="6"/>
      <c r="BZ3458" s="6"/>
    </row>
    <row r="3459" spans="1:78" ht="21.75" customHeight="1">
      <c r="A3459" s="6"/>
      <c r="B3459" s="6"/>
      <c r="C3459" s="6"/>
      <c r="D3459" s="6"/>
      <c r="E3459" s="6"/>
      <c r="F3459" s="6"/>
      <c r="G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O3459" s="6"/>
      <c r="AP3459" s="6"/>
      <c r="BH3459" s="6"/>
      <c r="BI3459" s="6"/>
      <c r="BJ3459" s="6"/>
      <c r="BK3459" s="6"/>
      <c r="BL3459" s="6"/>
      <c r="BM3459" s="6"/>
      <c r="BN3459" s="6"/>
      <c r="BO3459" s="6"/>
      <c r="BP3459" s="6"/>
      <c r="BQ3459" s="6"/>
      <c r="BR3459" s="6"/>
      <c r="BS3459" s="6"/>
      <c r="BT3459" s="6"/>
      <c r="BU3459" s="6"/>
      <c r="BV3459" s="6"/>
      <c r="BW3459" s="6"/>
      <c r="BX3459" s="6"/>
      <c r="BY3459" s="6"/>
      <c r="BZ3459" s="6"/>
    </row>
    <row r="3460" spans="1:78" ht="21.75" customHeight="1">
      <c r="A3460" s="6"/>
      <c r="B3460" s="6"/>
      <c r="C3460" s="6"/>
      <c r="D3460" s="6"/>
      <c r="E3460" s="6"/>
      <c r="F3460" s="6"/>
      <c r="G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O3460" s="6"/>
      <c r="AP3460" s="6"/>
      <c r="BH3460" s="6"/>
      <c r="BI3460" s="6"/>
      <c r="BJ3460" s="6"/>
      <c r="BK3460" s="6"/>
      <c r="BL3460" s="6"/>
      <c r="BM3460" s="6"/>
      <c r="BN3460" s="6"/>
      <c r="BO3460" s="6"/>
      <c r="BP3460" s="6"/>
      <c r="BQ3460" s="6"/>
      <c r="BR3460" s="6"/>
      <c r="BS3460" s="6"/>
      <c r="BT3460" s="6"/>
      <c r="BU3460" s="6"/>
      <c r="BV3460" s="6"/>
      <c r="BW3460" s="6"/>
      <c r="BX3460" s="6"/>
      <c r="BY3460" s="6"/>
      <c r="BZ3460" s="6"/>
    </row>
    <row r="3461" spans="1:78" ht="21.75" customHeight="1">
      <c r="A3461" s="6"/>
      <c r="B3461" s="6"/>
      <c r="C3461" s="6"/>
      <c r="D3461" s="6"/>
      <c r="E3461" s="6"/>
      <c r="F3461" s="6"/>
      <c r="G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O3461" s="6"/>
      <c r="AP3461" s="6"/>
      <c r="BH3461" s="6"/>
      <c r="BI3461" s="6"/>
      <c r="BJ3461" s="6"/>
      <c r="BK3461" s="6"/>
      <c r="BL3461" s="6"/>
      <c r="BM3461" s="6"/>
      <c r="BN3461" s="6"/>
      <c r="BO3461" s="6"/>
      <c r="BP3461" s="6"/>
      <c r="BQ3461" s="6"/>
      <c r="BR3461" s="6"/>
      <c r="BS3461" s="6"/>
      <c r="BT3461" s="6"/>
      <c r="BU3461" s="6"/>
      <c r="BV3461" s="6"/>
      <c r="BW3461" s="6"/>
      <c r="BX3461" s="6"/>
      <c r="BY3461" s="6"/>
      <c r="BZ3461" s="6"/>
    </row>
    <row r="3462" spans="1:78" ht="21.75" customHeight="1">
      <c r="A3462" s="6"/>
      <c r="B3462" s="6"/>
      <c r="C3462" s="6"/>
      <c r="D3462" s="6"/>
      <c r="E3462" s="6"/>
      <c r="F3462" s="6"/>
      <c r="G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O3462" s="6"/>
      <c r="AP3462" s="6"/>
      <c r="BH3462" s="6"/>
      <c r="BI3462" s="6"/>
      <c r="BJ3462" s="6"/>
      <c r="BK3462" s="6"/>
      <c r="BL3462" s="6"/>
      <c r="BM3462" s="6"/>
      <c r="BN3462" s="6"/>
      <c r="BO3462" s="6"/>
      <c r="BP3462" s="6"/>
      <c r="BQ3462" s="6"/>
      <c r="BR3462" s="6"/>
      <c r="BS3462" s="6"/>
      <c r="BT3462" s="6"/>
      <c r="BU3462" s="6"/>
      <c r="BV3462" s="6"/>
      <c r="BW3462" s="6"/>
      <c r="BX3462" s="6"/>
      <c r="BY3462" s="6"/>
      <c r="BZ3462" s="6"/>
    </row>
    <row r="3463" spans="1:78" ht="21.75" customHeight="1">
      <c r="A3463" s="6"/>
      <c r="B3463" s="6"/>
      <c r="C3463" s="6"/>
      <c r="D3463" s="6"/>
      <c r="E3463" s="6"/>
      <c r="F3463" s="6"/>
      <c r="G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O3463" s="6"/>
      <c r="AP3463" s="6"/>
      <c r="BH3463" s="6"/>
      <c r="BI3463" s="6"/>
      <c r="BJ3463" s="6"/>
      <c r="BK3463" s="6"/>
      <c r="BL3463" s="6"/>
      <c r="BM3463" s="6"/>
      <c r="BN3463" s="6"/>
      <c r="BO3463" s="6"/>
      <c r="BP3463" s="6"/>
      <c r="BQ3463" s="6"/>
      <c r="BR3463" s="6"/>
      <c r="BS3463" s="6"/>
      <c r="BT3463" s="6"/>
      <c r="BU3463" s="6"/>
      <c r="BV3463" s="6"/>
      <c r="BW3463" s="6"/>
      <c r="BX3463" s="6"/>
      <c r="BY3463" s="6"/>
      <c r="BZ3463" s="6"/>
    </row>
    <row r="3464" spans="1:78" ht="21.75" customHeight="1">
      <c r="A3464" s="6"/>
      <c r="B3464" s="6"/>
      <c r="C3464" s="6"/>
      <c r="D3464" s="6"/>
      <c r="E3464" s="6"/>
      <c r="F3464" s="6"/>
      <c r="G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O3464" s="6"/>
      <c r="AP3464" s="6"/>
      <c r="BH3464" s="6"/>
      <c r="BI3464" s="6"/>
      <c r="BJ3464" s="6"/>
      <c r="BK3464" s="6"/>
      <c r="BL3464" s="6"/>
      <c r="BM3464" s="6"/>
      <c r="BN3464" s="6"/>
      <c r="BO3464" s="6"/>
      <c r="BP3464" s="6"/>
      <c r="BQ3464" s="6"/>
      <c r="BR3464" s="6"/>
      <c r="BS3464" s="6"/>
      <c r="BT3464" s="6"/>
      <c r="BU3464" s="6"/>
      <c r="BV3464" s="6"/>
      <c r="BW3464" s="6"/>
      <c r="BX3464" s="6"/>
      <c r="BY3464" s="6"/>
      <c r="BZ3464" s="6"/>
    </row>
    <row r="3465" spans="1:78" ht="21.75" customHeight="1">
      <c r="A3465" s="6"/>
      <c r="B3465" s="6"/>
      <c r="C3465" s="6"/>
      <c r="D3465" s="6"/>
      <c r="E3465" s="6"/>
      <c r="F3465" s="6"/>
      <c r="G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O3465" s="6"/>
      <c r="AP3465" s="6"/>
      <c r="BH3465" s="6"/>
      <c r="BI3465" s="6"/>
      <c r="BJ3465" s="6"/>
      <c r="BK3465" s="6"/>
      <c r="BL3465" s="6"/>
      <c r="BM3465" s="6"/>
      <c r="BN3465" s="6"/>
      <c r="BO3465" s="6"/>
      <c r="BP3465" s="6"/>
      <c r="BQ3465" s="6"/>
      <c r="BR3465" s="6"/>
      <c r="BS3465" s="6"/>
      <c r="BT3465" s="6"/>
      <c r="BU3465" s="6"/>
      <c r="BV3465" s="6"/>
      <c r="BW3465" s="6"/>
      <c r="BX3465" s="6"/>
      <c r="BY3465" s="6"/>
      <c r="BZ3465" s="6"/>
    </row>
    <row r="3466" spans="1:78" ht="21.75" customHeight="1">
      <c r="A3466" s="6"/>
      <c r="B3466" s="6"/>
      <c r="C3466" s="6"/>
      <c r="D3466" s="6"/>
      <c r="E3466" s="6"/>
      <c r="F3466" s="6"/>
      <c r="G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O3466" s="6"/>
      <c r="AP3466" s="6"/>
      <c r="BH3466" s="6"/>
      <c r="BI3466" s="6"/>
      <c r="BJ3466" s="6"/>
      <c r="BK3466" s="6"/>
      <c r="BL3466" s="6"/>
      <c r="BM3466" s="6"/>
      <c r="BN3466" s="6"/>
      <c r="BO3466" s="6"/>
      <c r="BP3466" s="6"/>
      <c r="BQ3466" s="6"/>
      <c r="BR3466" s="6"/>
      <c r="BS3466" s="6"/>
      <c r="BT3466" s="6"/>
      <c r="BU3466" s="6"/>
      <c r="BV3466" s="6"/>
      <c r="BW3466" s="6"/>
      <c r="BX3466" s="6"/>
      <c r="BY3466" s="6"/>
      <c r="BZ3466" s="6"/>
    </row>
    <row r="3467" spans="1:78" ht="21.75" customHeight="1">
      <c r="A3467" s="6"/>
      <c r="B3467" s="6"/>
      <c r="C3467" s="6"/>
      <c r="D3467" s="6"/>
      <c r="E3467" s="6"/>
      <c r="F3467" s="6"/>
      <c r="G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O3467" s="6"/>
      <c r="AP3467" s="6"/>
      <c r="BH3467" s="6"/>
      <c r="BI3467" s="6"/>
      <c r="BJ3467" s="6"/>
      <c r="BK3467" s="6"/>
      <c r="BL3467" s="6"/>
      <c r="BM3467" s="6"/>
      <c r="BN3467" s="6"/>
      <c r="BO3467" s="6"/>
      <c r="BP3467" s="6"/>
      <c r="BQ3467" s="6"/>
      <c r="BR3467" s="6"/>
      <c r="BS3467" s="6"/>
      <c r="BT3467" s="6"/>
      <c r="BU3467" s="6"/>
      <c r="BV3467" s="6"/>
      <c r="BW3467" s="6"/>
      <c r="BX3467" s="6"/>
      <c r="BY3467" s="6"/>
      <c r="BZ3467" s="6"/>
    </row>
    <row r="3468" spans="1:78" s="450" customFormat="1" ht="21.75" customHeight="1"/>
    <row r="3469" spans="1:78" s="448" customFormat="1" ht="21.75" customHeight="1"/>
    <row r="3470" spans="1:78" ht="21.75" customHeight="1">
      <c r="A3470" s="6"/>
      <c r="B3470" s="6"/>
      <c r="C3470" s="6"/>
      <c r="D3470" s="6"/>
      <c r="E3470" s="6"/>
      <c r="F3470" s="6"/>
      <c r="G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O3470" s="6"/>
      <c r="AP3470" s="6"/>
      <c r="BH3470" s="6"/>
      <c r="BI3470" s="6"/>
      <c r="BJ3470" s="6"/>
      <c r="BK3470" s="6"/>
      <c r="BL3470" s="6"/>
      <c r="BM3470" s="6"/>
      <c r="BN3470" s="6"/>
      <c r="BO3470" s="6"/>
      <c r="BP3470" s="6"/>
      <c r="BQ3470" s="6"/>
      <c r="BR3470" s="6"/>
      <c r="BS3470" s="6"/>
      <c r="BT3470" s="6"/>
      <c r="BU3470" s="6"/>
      <c r="BV3470" s="6"/>
      <c r="BW3470" s="6"/>
      <c r="BX3470" s="6"/>
      <c r="BY3470" s="6"/>
      <c r="BZ3470" s="6"/>
    </row>
    <row r="3471" spans="1:78" ht="21.75" customHeight="1">
      <c r="A3471" s="6"/>
      <c r="B3471" s="6"/>
      <c r="C3471" s="6"/>
      <c r="D3471" s="6"/>
      <c r="E3471" s="6"/>
      <c r="F3471" s="6"/>
      <c r="G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O3471" s="6"/>
      <c r="AP3471" s="6"/>
      <c r="BH3471" s="6"/>
      <c r="BI3471" s="6"/>
      <c r="BJ3471" s="6"/>
      <c r="BK3471" s="6"/>
      <c r="BL3471" s="6"/>
      <c r="BM3471" s="6"/>
      <c r="BN3471" s="6"/>
      <c r="BO3471" s="6"/>
      <c r="BP3471" s="6"/>
      <c r="BQ3471" s="6"/>
      <c r="BR3471" s="6"/>
      <c r="BS3471" s="6"/>
      <c r="BT3471" s="6"/>
      <c r="BU3471" s="6"/>
      <c r="BV3471" s="6"/>
      <c r="BW3471" s="6"/>
      <c r="BX3471" s="6"/>
      <c r="BY3471" s="6"/>
      <c r="BZ3471" s="6"/>
    </row>
    <row r="3472" spans="1:78" ht="21.75" customHeight="1">
      <c r="A3472" s="6"/>
      <c r="B3472" s="6"/>
      <c r="C3472" s="6"/>
      <c r="D3472" s="6"/>
      <c r="E3472" s="6"/>
      <c r="F3472" s="6"/>
      <c r="G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O3472" s="6"/>
      <c r="AP3472" s="6"/>
      <c r="BH3472" s="6"/>
      <c r="BI3472" s="6"/>
      <c r="BJ3472" s="6"/>
      <c r="BK3472" s="6"/>
      <c r="BL3472" s="6"/>
      <c r="BM3472" s="6"/>
      <c r="BN3472" s="6"/>
      <c r="BO3472" s="6"/>
      <c r="BP3472" s="6"/>
      <c r="BQ3472" s="6"/>
      <c r="BR3472" s="6"/>
      <c r="BS3472" s="6"/>
      <c r="BT3472" s="6"/>
      <c r="BU3472" s="6"/>
      <c r="BV3472" s="6"/>
      <c r="BW3472" s="6"/>
      <c r="BX3472" s="6"/>
      <c r="BY3472" s="6"/>
      <c r="BZ3472" s="6"/>
    </row>
    <row r="3473" spans="1:78" ht="21.75" customHeight="1">
      <c r="A3473" s="6"/>
      <c r="B3473" s="6"/>
      <c r="C3473" s="6"/>
      <c r="D3473" s="6"/>
      <c r="E3473" s="6"/>
      <c r="F3473" s="6"/>
      <c r="G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O3473" s="6"/>
      <c r="AP3473" s="6"/>
      <c r="BH3473" s="6"/>
      <c r="BI3473" s="6"/>
      <c r="BJ3473" s="6"/>
      <c r="BK3473" s="6"/>
      <c r="BL3473" s="6"/>
      <c r="BM3473" s="6"/>
      <c r="BN3473" s="6"/>
      <c r="BO3473" s="6"/>
      <c r="BP3473" s="6"/>
      <c r="BQ3473" s="6"/>
      <c r="BR3473" s="6"/>
      <c r="BS3473" s="6"/>
      <c r="BT3473" s="6"/>
      <c r="BU3473" s="6"/>
      <c r="BV3473" s="6"/>
      <c r="BW3473" s="6"/>
      <c r="BX3473" s="6"/>
      <c r="BY3473" s="6"/>
      <c r="BZ3473" s="6"/>
    </row>
    <row r="3474" spans="1:78" ht="21.75" customHeight="1">
      <c r="A3474" s="6"/>
      <c r="B3474" s="6"/>
      <c r="C3474" s="6"/>
      <c r="D3474" s="6"/>
      <c r="E3474" s="6"/>
      <c r="F3474" s="6"/>
      <c r="G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O3474" s="6"/>
      <c r="AP3474" s="6"/>
      <c r="BH3474" s="6"/>
      <c r="BI3474" s="6"/>
      <c r="BJ3474" s="6"/>
      <c r="BK3474" s="6"/>
      <c r="BL3474" s="6"/>
      <c r="BM3474" s="6"/>
      <c r="BN3474" s="6"/>
      <c r="BO3474" s="6"/>
      <c r="BP3474" s="6"/>
      <c r="BQ3474" s="6"/>
      <c r="BR3474" s="6"/>
      <c r="BS3474" s="6"/>
      <c r="BT3474" s="6"/>
      <c r="BU3474" s="6"/>
      <c r="BV3474" s="6"/>
      <c r="BW3474" s="6"/>
      <c r="BX3474" s="6"/>
      <c r="BY3474" s="6"/>
      <c r="BZ3474" s="6"/>
    </row>
    <row r="3475" spans="1:78" ht="21.75" customHeight="1">
      <c r="A3475" s="6"/>
      <c r="B3475" s="6"/>
      <c r="C3475" s="6"/>
      <c r="D3475" s="6"/>
      <c r="E3475" s="6"/>
      <c r="F3475" s="6"/>
      <c r="G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O3475" s="6"/>
      <c r="AP3475" s="6"/>
      <c r="BH3475" s="6"/>
      <c r="BI3475" s="6"/>
      <c r="BJ3475" s="6"/>
      <c r="BK3475" s="6"/>
      <c r="BL3475" s="6"/>
      <c r="BM3475" s="6"/>
      <c r="BN3475" s="6"/>
      <c r="BO3475" s="6"/>
      <c r="BP3475" s="6"/>
      <c r="BQ3475" s="6"/>
      <c r="BR3475" s="6"/>
      <c r="BS3475" s="6"/>
      <c r="BT3475" s="6"/>
      <c r="BU3475" s="6"/>
      <c r="BV3475" s="6"/>
      <c r="BW3475" s="6"/>
      <c r="BX3475" s="6"/>
      <c r="BY3475" s="6"/>
      <c r="BZ3475" s="6"/>
    </row>
    <row r="3476" spans="1:78" ht="21.75" customHeight="1">
      <c r="A3476" s="6"/>
      <c r="B3476" s="6"/>
      <c r="C3476" s="6"/>
      <c r="D3476" s="6"/>
      <c r="E3476" s="6"/>
      <c r="F3476" s="6"/>
      <c r="G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O3476" s="6"/>
      <c r="AP3476" s="6"/>
      <c r="BH3476" s="6"/>
      <c r="BI3476" s="6"/>
      <c r="BJ3476" s="6"/>
      <c r="BK3476" s="6"/>
      <c r="BL3476" s="6"/>
      <c r="BM3476" s="6"/>
      <c r="BN3476" s="6"/>
      <c r="BO3476" s="6"/>
      <c r="BP3476" s="6"/>
      <c r="BQ3476" s="6"/>
      <c r="BR3476" s="6"/>
      <c r="BS3476" s="6"/>
      <c r="BT3476" s="6"/>
      <c r="BU3476" s="6"/>
      <c r="BV3476" s="6"/>
      <c r="BW3476" s="6"/>
      <c r="BX3476" s="6"/>
      <c r="BY3476" s="6"/>
      <c r="BZ3476" s="6"/>
    </row>
    <row r="3477" spans="1:78" ht="21.75" customHeight="1">
      <c r="A3477" s="6"/>
      <c r="B3477" s="6"/>
      <c r="C3477" s="6"/>
      <c r="D3477" s="6"/>
      <c r="E3477" s="6"/>
      <c r="F3477" s="6"/>
      <c r="G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O3477" s="6"/>
      <c r="AP3477" s="6"/>
      <c r="BH3477" s="6"/>
      <c r="BI3477" s="6"/>
      <c r="BJ3477" s="6"/>
      <c r="BK3477" s="6"/>
      <c r="BL3477" s="6"/>
      <c r="BM3477" s="6"/>
      <c r="BN3477" s="6"/>
      <c r="BO3477" s="6"/>
      <c r="BP3477" s="6"/>
      <c r="BQ3477" s="6"/>
      <c r="BR3477" s="6"/>
      <c r="BS3477" s="6"/>
      <c r="BT3477" s="6"/>
      <c r="BU3477" s="6"/>
      <c r="BV3477" s="6"/>
      <c r="BW3477" s="6"/>
      <c r="BX3477" s="6"/>
      <c r="BY3477" s="6"/>
      <c r="BZ3477" s="6"/>
    </row>
    <row r="3478" spans="1:78" ht="21.75" customHeight="1">
      <c r="A3478" s="6"/>
      <c r="B3478" s="6"/>
      <c r="C3478" s="6"/>
      <c r="D3478" s="6"/>
      <c r="E3478" s="6"/>
      <c r="F3478" s="6"/>
      <c r="G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O3478" s="6"/>
      <c r="AP3478" s="6"/>
      <c r="BH3478" s="6"/>
      <c r="BI3478" s="6"/>
      <c r="BJ3478" s="6"/>
      <c r="BK3478" s="6"/>
      <c r="BL3478" s="6"/>
      <c r="BM3478" s="6"/>
      <c r="BN3478" s="6"/>
      <c r="BO3478" s="6"/>
      <c r="BP3478" s="6"/>
      <c r="BQ3478" s="6"/>
      <c r="BR3478" s="6"/>
      <c r="BS3478" s="6"/>
      <c r="BT3478" s="6"/>
      <c r="BU3478" s="6"/>
      <c r="BV3478" s="6"/>
      <c r="BW3478" s="6"/>
      <c r="BX3478" s="6"/>
      <c r="BY3478" s="6"/>
      <c r="BZ3478" s="6"/>
    </row>
    <row r="3479" spans="1:78" ht="21.75" customHeight="1">
      <c r="A3479" s="6"/>
      <c r="B3479" s="6"/>
      <c r="C3479" s="6"/>
      <c r="D3479" s="6"/>
      <c r="E3479" s="6"/>
      <c r="F3479" s="6"/>
      <c r="G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O3479" s="6"/>
      <c r="AP3479" s="6"/>
      <c r="BH3479" s="6"/>
      <c r="BI3479" s="6"/>
      <c r="BJ3479" s="6"/>
      <c r="BK3479" s="6"/>
      <c r="BL3479" s="6"/>
      <c r="BM3479" s="6"/>
      <c r="BN3479" s="6"/>
      <c r="BO3479" s="6"/>
      <c r="BP3479" s="6"/>
      <c r="BQ3479" s="6"/>
      <c r="BR3479" s="6"/>
      <c r="BS3479" s="6"/>
      <c r="BT3479" s="6"/>
      <c r="BU3479" s="6"/>
      <c r="BV3479" s="6"/>
      <c r="BW3479" s="6"/>
      <c r="BX3479" s="6"/>
      <c r="BY3479" s="6"/>
      <c r="BZ3479" s="6"/>
    </row>
    <row r="3480" spans="1:78" ht="21.75" customHeight="1">
      <c r="A3480" s="6"/>
      <c r="B3480" s="6"/>
      <c r="C3480" s="6"/>
      <c r="D3480" s="6"/>
      <c r="E3480" s="6"/>
      <c r="F3480" s="6"/>
      <c r="G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O3480" s="6"/>
      <c r="AP3480" s="6"/>
      <c r="BH3480" s="6"/>
      <c r="BI3480" s="6"/>
      <c r="BJ3480" s="6"/>
      <c r="BK3480" s="6"/>
      <c r="BL3480" s="6"/>
      <c r="BM3480" s="6"/>
      <c r="BN3480" s="6"/>
      <c r="BO3480" s="6"/>
      <c r="BP3480" s="6"/>
      <c r="BQ3480" s="6"/>
      <c r="BR3480" s="6"/>
      <c r="BS3480" s="6"/>
      <c r="BT3480" s="6"/>
      <c r="BU3480" s="6"/>
      <c r="BV3480" s="6"/>
      <c r="BW3480" s="6"/>
      <c r="BX3480" s="6"/>
      <c r="BY3480" s="6"/>
      <c r="BZ3480" s="6"/>
    </row>
    <row r="3481" spans="1:78" ht="21.75" customHeight="1">
      <c r="A3481" s="6"/>
      <c r="B3481" s="6"/>
      <c r="C3481" s="6"/>
      <c r="D3481" s="6"/>
      <c r="E3481" s="6"/>
      <c r="F3481" s="6"/>
      <c r="G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O3481" s="6"/>
      <c r="AP3481" s="6"/>
      <c r="BH3481" s="6"/>
      <c r="BI3481" s="6"/>
      <c r="BJ3481" s="6"/>
      <c r="BK3481" s="6"/>
      <c r="BL3481" s="6"/>
      <c r="BM3481" s="6"/>
      <c r="BN3481" s="6"/>
      <c r="BO3481" s="6"/>
      <c r="BP3481" s="6"/>
      <c r="BQ3481" s="6"/>
      <c r="BR3481" s="6"/>
      <c r="BS3481" s="6"/>
      <c r="BT3481" s="6"/>
      <c r="BU3481" s="6"/>
      <c r="BV3481" s="6"/>
      <c r="BW3481" s="6"/>
      <c r="BX3481" s="6"/>
      <c r="BY3481" s="6"/>
      <c r="BZ3481" s="6"/>
    </row>
    <row r="3482" spans="1:78" ht="21.75" customHeight="1">
      <c r="A3482" s="6"/>
      <c r="B3482" s="6"/>
      <c r="C3482" s="6"/>
      <c r="D3482" s="6"/>
      <c r="E3482" s="6"/>
      <c r="F3482" s="6"/>
      <c r="G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O3482" s="6"/>
      <c r="AP3482" s="6"/>
      <c r="BH3482" s="6"/>
      <c r="BI3482" s="6"/>
      <c r="BJ3482" s="6"/>
      <c r="BK3482" s="6"/>
      <c r="BL3482" s="6"/>
      <c r="BM3482" s="6"/>
      <c r="BN3482" s="6"/>
      <c r="BO3482" s="6"/>
      <c r="BP3482" s="6"/>
      <c r="BQ3482" s="6"/>
      <c r="BR3482" s="6"/>
      <c r="BS3482" s="6"/>
      <c r="BT3482" s="6"/>
      <c r="BU3482" s="6"/>
      <c r="BV3482" s="6"/>
      <c r="BW3482" s="6"/>
      <c r="BX3482" s="6"/>
      <c r="BY3482" s="6"/>
      <c r="BZ3482" s="6"/>
    </row>
    <row r="3483" spans="1:78" ht="21.75" customHeight="1">
      <c r="A3483" s="6"/>
      <c r="B3483" s="6"/>
      <c r="C3483" s="6"/>
      <c r="D3483" s="6"/>
      <c r="E3483" s="6"/>
      <c r="F3483" s="6"/>
      <c r="G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O3483" s="6"/>
      <c r="AP3483" s="6"/>
      <c r="BH3483" s="6"/>
      <c r="BI3483" s="6"/>
      <c r="BJ3483" s="6"/>
      <c r="BK3483" s="6"/>
      <c r="BL3483" s="6"/>
      <c r="BM3483" s="6"/>
      <c r="BN3483" s="6"/>
      <c r="BO3483" s="6"/>
      <c r="BP3483" s="6"/>
      <c r="BQ3483" s="6"/>
      <c r="BR3483" s="6"/>
      <c r="BS3483" s="6"/>
      <c r="BT3483" s="6"/>
      <c r="BU3483" s="6"/>
      <c r="BV3483" s="6"/>
      <c r="BW3483" s="6"/>
      <c r="BX3483" s="6"/>
      <c r="BY3483" s="6"/>
      <c r="BZ3483" s="6"/>
    </row>
    <row r="3484" spans="1:78" ht="21.75" customHeight="1">
      <c r="A3484" s="6"/>
      <c r="B3484" s="6"/>
      <c r="C3484" s="6"/>
      <c r="D3484" s="6"/>
      <c r="E3484" s="6"/>
      <c r="F3484" s="6"/>
      <c r="G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O3484" s="6"/>
      <c r="AP3484" s="6"/>
      <c r="BH3484" s="6"/>
      <c r="BI3484" s="6"/>
      <c r="BJ3484" s="6"/>
      <c r="BK3484" s="6"/>
      <c r="BL3484" s="6"/>
      <c r="BM3484" s="6"/>
      <c r="BN3484" s="6"/>
      <c r="BO3484" s="6"/>
      <c r="BP3484" s="6"/>
      <c r="BQ3484" s="6"/>
      <c r="BR3484" s="6"/>
      <c r="BS3484" s="6"/>
      <c r="BT3484" s="6"/>
      <c r="BU3484" s="6"/>
      <c r="BV3484" s="6"/>
      <c r="BW3484" s="6"/>
      <c r="BX3484" s="6"/>
      <c r="BY3484" s="6"/>
      <c r="BZ3484" s="6"/>
    </row>
    <row r="3485" spans="1:78" ht="21.75" customHeight="1">
      <c r="A3485" s="6"/>
      <c r="B3485" s="6"/>
      <c r="C3485" s="6"/>
      <c r="D3485" s="6"/>
      <c r="E3485" s="6"/>
      <c r="F3485" s="6"/>
      <c r="G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O3485" s="6"/>
      <c r="AP3485" s="6"/>
      <c r="BH3485" s="6"/>
      <c r="BI3485" s="6"/>
      <c r="BJ3485" s="6"/>
      <c r="BK3485" s="6"/>
      <c r="BL3485" s="6"/>
      <c r="BM3485" s="6"/>
      <c r="BN3485" s="6"/>
      <c r="BO3485" s="6"/>
      <c r="BP3485" s="6"/>
      <c r="BQ3485" s="6"/>
      <c r="BR3485" s="6"/>
      <c r="BS3485" s="6"/>
      <c r="BT3485" s="6"/>
      <c r="BU3485" s="6"/>
      <c r="BV3485" s="6"/>
      <c r="BW3485" s="6"/>
      <c r="BX3485" s="6"/>
      <c r="BY3485" s="6"/>
      <c r="BZ3485" s="6"/>
    </row>
    <row r="3486" spans="1:78" ht="21.75" customHeight="1">
      <c r="A3486" s="6"/>
      <c r="B3486" s="6"/>
      <c r="C3486" s="6"/>
      <c r="D3486" s="6"/>
      <c r="E3486" s="6"/>
      <c r="F3486" s="6"/>
      <c r="G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O3486" s="6"/>
      <c r="AP3486" s="6"/>
      <c r="BH3486" s="6"/>
      <c r="BI3486" s="6"/>
      <c r="BJ3486" s="6"/>
      <c r="BK3486" s="6"/>
      <c r="BL3486" s="6"/>
      <c r="BM3486" s="6"/>
      <c r="BN3486" s="6"/>
      <c r="BO3486" s="6"/>
      <c r="BP3486" s="6"/>
      <c r="BQ3486" s="6"/>
      <c r="BR3486" s="6"/>
      <c r="BS3486" s="6"/>
      <c r="BT3486" s="6"/>
      <c r="BU3486" s="6"/>
      <c r="BV3486" s="6"/>
      <c r="BW3486" s="6"/>
      <c r="BX3486" s="6"/>
      <c r="BY3486" s="6"/>
      <c r="BZ3486" s="6"/>
    </row>
    <row r="3487" spans="1:78" ht="21.75" customHeight="1">
      <c r="A3487" s="6"/>
      <c r="B3487" s="6"/>
      <c r="C3487" s="6"/>
      <c r="D3487" s="6"/>
      <c r="E3487" s="6"/>
      <c r="F3487" s="6"/>
      <c r="G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O3487" s="6"/>
      <c r="AP3487" s="6"/>
      <c r="BH3487" s="6"/>
      <c r="BI3487" s="6"/>
      <c r="BJ3487" s="6"/>
      <c r="BK3487" s="6"/>
      <c r="BL3487" s="6"/>
      <c r="BM3487" s="6"/>
      <c r="BN3487" s="6"/>
      <c r="BO3487" s="6"/>
      <c r="BP3487" s="6"/>
      <c r="BQ3487" s="6"/>
      <c r="BR3487" s="6"/>
      <c r="BS3487" s="6"/>
      <c r="BT3487" s="6"/>
      <c r="BU3487" s="6"/>
      <c r="BV3487" s="6"/>
      <c r="BW3487" s="6"/>
      <c r="BX3487" s="6"/>
      <c r="BY3487" s="6"/>
      <c r="BZ3487" s="6"/>
    </row>
    <row r="3488" spans="1:78" s="450" customFormat="1" ht="21.75" customHeight="1"/>
    <row r="3489" spans="78:78" s="448" customFormat="1" ht="21.75" customHeight="1"/>
    <row r="3490" spans="78:78" ht="21.75" customHeight="1">
      <c r="BZ3490" s="6"/>
    </row>
    <row r="3491" spans="78:78" ht="21.75" customHeight="1">
      <c r="BZ3491" s="6"/>
    </row>
    <row r="3492" spans="78:78" ht="21.75" customHeight="1">
      <c r="BZ3492" s="6"/>
    </row>
    <row r="3493" spans="78:78" ht="21.75" customHeight="1">
      <c r="BZ3493" s="6"/>
    </row>
    <row r="3494" spans="78:78" ht="21.75" customHeight="1">
      <c r="BZ3494" s="6"/>
    </row>
    <row r="3495" spans="78:78" ht="21.75" customHeight="1">
      <c r="BZ3495" s="6"/>
    </row>
    <row r="3496" spans="78:78" ht="21.75" customHeight="1">
      <c r="BZ3496" s="6"/>
    </row>
    <row r="3497" spans="78:78" ht="21.75" customHeight="1">
      <c r="BZ3497" s="6"/>
    </row>
    <row r="3498" spans="78:78" ht="21.75" customHeight="1">
      <c r="BZ3498" s="6"/>
    </row>
    <row r="3499" spans="78:78" ht="21.75" customHeight="1">
      <c r="BZ3499" s="6"/>
    </row>
    <row r="3500" spans="78:78" ht="21.75" customHeight="1">
      <c r="BZ3500" s="6"/>
    </row>
    <row r="3501" spans="78:78" ht="21.75" customHeight="1">
      <c r="BZ3501" s="6"/>
    </row>
    <row r="3502" spans="78:78" ht="21.75" customHeight="1">
      <c r="BZ3502" s="6"/>
    </row>
    <row r="3503" spans="78:78" ht="21.75" customHeight="1">
      <c r="BZ3503" s="6"/>
    </row>
    <row r="3504" spans="78:78" ht="21.75" customHeight="1">
      <c r="BZ3504" s="6"/>
    </row>
    <row r="3505" spans="78:78" ht="21.75" customHeight="1">
      <c r="BZ3505" s="6"/>
    </row>
    <row r="3506" spans="78:78" ht="21.75" customHeight="1">
      <c r="BZ3506" s="6"/>
    </row>
    <row r="3507" spans="78:78" ht="21.75" customHeight="1">
      <c r="BZ3507" s="6"/>
    </row>
    <row r="3508" spans="78:78" ht="21.75" customHeight="1">
      <c r="BZ3508" s="6"/>
    </row>
    <row r="3509" spans="78:78" ht="21.75" customHeight="1">
      <c r="BZ3509" s="6"/>
    </row>
    <row r="3510" spans="78:78" ht="21.75" customHeight="1">
      <c r="BZ3510" s="6"/>
    </row>
    <row r="3511" spans="78:78" ht="21.75" customHeight="1">
      <c r="BZ3511" s="6"/>
    </row>
    <row r="3512" spans="78:78" ht="21.75" customHeight="1">
      <c r="BZ3512" s="6"/>
    </row>
    <row r="3513" spans="78:78" ht="21.75" customHeight="1">
      <c r="BZ3513" s="6"/>
    </row>
    <row r="3514" spans="78:78" ht="21.75" customHeight="1">
      <c r="BZ3514" s="6"/>
    </row>
    <row r="3515" spans="78:78" ht="21.75" customHeight="1">
      <c r="BZ3515" s="6"/>
    </row>
    <row r="3516" spans="78:78" ht="21.75" customHeight="1">
      <c r="BZ3516" s="6"/>
    </row>
    <row r="3517" spans="78:78" ht="21.75" customHeight="1">
      <c r="BZ3517" s="6"/>
    </row>
    <row r="3518" spans="78:78" ht="21.75" customHeight="1">
      <c r="BZ3518" s="6"/>
    </row>
    <row r="3519" spans="78:78" ht="21.75" customHeight="1">
      <c r="BZ3519" s="6"/>
    </row>
    <row r="3520" spans="78:78" ht="21.75" customHeight="1">
      <c r="BZ3520" s="6"/>
    </row>
    <row r="3521" spans="78:78" ht="21.75" customHeight="1">
      <c r="BZ3521" s="6"/>
    </row>
    <row r="3522" spans="78:78" ht="21.75" customHeight="1">
      <c r="BZ3522" s="6"/>
    </row>
    <row r="3523" spans="78:78" ht="21.75" customHeight="1">
      <c r="BZ3523" s="6"/>
    </row>
    <row r="3524" spans="78:78" ht="21.75" customHeight="1">
      <c r="BZ3524" s="6"/>
    </row>
    <row r="3525" spans="78:78" ht="21.75" customHeight="1">
      <c r="BZ3525" s="6"/>
    </row>
    <row r="3526" spans="78:78" ht="21.75" customHeight="1">
      <c r="BZ3526" s="6"/>
    </row>
    <row r="3527" spans="78:78" ht="21.75" customHeight="1">
      <c r="BZ3527" s="6"/>
    </row>
    <row r="3528" spans="78:78" ht="21.75" customHeight="1">
      <c r="BZ3528" s="6"/>
    </row>
    <row r="3529" spans="78:78" ht="21.75" customHeight="1">
      <c r="BZ3529" s="6"/>
    </row>
    <row r="3530" spans="78:78" ht="21.75" customHeight="1">
      <c r="BZ3530" s="6"/>
    </row>
    <row r="3531" spans="78:78" ht="21.75" customHeight="1">
      <c r="BZ3531" s="6"/>
    </row>
    <row r="3532" spans="78:78" ht="21.75" customHeight="1">
      <c r="BZ3532" s="6"/>
    </row>
    <row r="3533" spans="78:78" ht="21.75" customHeight="1">
      <c r="BZ3533" s="6"/>
    </row>
    <row r="3534" spans="78:78" ht="21.75" customHeight="1">
      <c r="BZ3534" s="6"/>
    </row>
    <row r="3535" spans="78:78" ht="21.75" customHeight="1">
      <c r="BZ3535" s="6"/>
    </row>
    <row r="3536" spans="78:78" ht="21.75" customHeight="1">
      <c r="BZ3536" s="6"/>
    </row>
    <row r="3537" spans="78:78" ht="21.75" customHeight="1">
      <c r="BZ3537" s="6"/>
    </row>
    <row r="3538" spans="78:78" ht="21.75" customHeight="1">
      <c r="BZ3538" s="6"/>
    </row>
    <row r="3539" spans="78:78" ht="21.75" customHeight="1">
      <c r="BZ3539" s="6"/>
    </row>
    <row r="3540" spans="78:78" ht="21.75" customHeight="1">
      <c r="BZ3540" s="6"/>
    </row>
    <row r="3541" spans="78:78" ht="21.75" customHeight="1">
      <c r="BZ3541" s="6"/>
    </row>
    <row r="3542" spans="78:78" ht="21.75" customHeight="1">
      <c r="BZ3542" s="6"/>
    </row>
    <row r="3543" spans="78:78" ht="21.75" customHeight="1">
      <c r="BZ3543" s="6"/>
    </row>
    <row r="3544" spans="78:78" ht="21.75" customHeight="1">
      <c r="BZ3544" s="6"/>
    </row>
    <row r="3545" spans="78:78" ht="21.75" customHeight="1">
      <c r="BZ3545" s="6"/>
    </row>
    <row r="3546" spans="78:78" ht="21.75" customHeight="1">
      <c r="BZ3546" s="6"/>
    </row>
    <row r="3547" spans="78:78" ht="21.75" customHeight="1">
      <c r="BZ3547" s="6"/>
    </row>
    <row r="3548" spans="78:78" ht="21.75" customHeight="1">
      <c r="BZ3548" s="6"/>
    </row>
    <row r="3549" spans="78:78" ht="21.75" customHeight="1">
      <c r="BZ3549" s="6"/>
    </row>
    <row r="3550" spans="78:78" ht="21.75" customHeight="1">
      <c r="BZ3550" s="6"/>
    </row>
    <row r="3551" spans="78:78" ht="21.75" customHeight="1">
      <c r="BZ3551" s="6"/>
    </row>
    <row r="3552" spans="78:78" ht="21.75" customHeight="1">
      <c r="BZ3552" s="6"/>
    </row>
    <row r="3553" spans="78:78" ht="21.75" customHeight="1">
      <c r="BZ3553" s="6"/>
    </row>
    <row r="3554" spans="78:78" ht="21.75" customHeight="1">
      <c r="BZ3554" s="6"/>
    </row>
    <row r="3555" spans="78:78" ht="21.75" customHeight="1">
      <c r="BZ3555" s="6"/>
    </row>
    <row r="3556" spans="78:78" ht="21.75" customHeight="1">
      <c r="BZ3556" s="6"/>
    </row>
    <row r="3557" spans="78:78" ht="21.75" customHeight="1">
      <c r="BZ3557" s="6"/>
    </row>
    <row r="3558" spans="78:78" ht="21.75" customHeight="1">
      <c r="BZ3558" s="6"/>
    </row>
    <row r="3559" spans="78:78" ht="21.75" customHeight="1">
      <c r="BZ3559" s="6"/>
    </row>
    <row r="3560" spans="78:78" ht="21.75" customHeight="1">
      <c r="BZ3560" s="6"/>
    </row>
    <row r="3561" spans="78:78" ht="21.75" customHeight="1">
      <c r="BZ3561" s="6"/>
    </row>
    <row r="3562" spans="78:78" ht="21.75" customHeight="1">
      <c r="BZ3562" s="6"/>
    </row>
    <row r="3563" spans="78:78" ht="21.75" customHeight="1">
      <c r="BZ3563" s="6"/>
    </row>
    <row r="3564" spans="78:78" ht="21.75" customHeight="1">
      <c r="BZ3564" s="6"/>
    </row>
    <row r="3565" spans="78:78" ht="21.75" customHeight="1">
      <c r="BZ3565" s="6"/>
    </row>
    <row r="3566" spans="78:78" ht="21.75" customHeight="1">
      <c r="BZ3566" s="6"/>
    </row>
    <row r="3567" spans="78:78" ht="21.75" customHeight="1">
      <c r="BZ3567" s="6"/>
    </row>
    <row r="3568" spans="78:78" ht="21.75" customHeight="1">
      <c r="BZ3568" s="6"/>
    </row>
    <row r="3569" spans="78:78" ht="21.75" customHeight="1">
      <c r="BZ3569" s="6"/>
    </row>
    <row r="3570" spans="78:78" ht="21.75" customHeight="1">
      <c r="BZ3570" s="6"/>
    </row>
    <row r="3571" spans="78:78" ht="21.75" customHeight="1">
      <c r="BZ3571" s="6"/>
    </row>
    <row r="3572" spans="78:78" ht="21.75" customHeight="1">
      <c r="BZ3572" s="6"/>
    </row>
    <row r="3573" spans="78:78" ht="21.75" customHeight="1">
      <c r="BZ3573" s="6"/>
    </row>
    <row r="3574" spans="78:78" ht="21.75" customHeight="1">
      <c r="BZ3574" s="6"/>
    </row>
    <row r="3575" spans="78:78" ht="21.75" customHeight="1">
      <c r="BZ3575" s="6"/>
    </row>
    <row r="3576" spans="78:78" ht="21.75" customHeight="1">
      <c r="BZ3576" s="6"/>
    </row>
    <row r="3577" spans="78:78" ht="21.75" customHeight="1">
      <c r="BZ3577" s="6"/>
    </row>
    <row r="3578" spans="78:78" ht="21.75" customHeight="1">
      <c r="BZ3578" s="6"/>
    </row>
    <row r="3579" spans="78:78" ht="21.75" customHeight="1">
      <c r="BZ3579" s="6"/>
    </row>
    <row r="3580" spans="78:78" ht="21.75" customHeight="1">
      <c r="BZ3580" s="6"/>
    </row>
    <row r="3581" spans="78:78" ht="21.75" customHeight="1">
      <c r="BZ3581" s="6"/>
    </row>
    <row r="3582" spans="78:78" ht="21.75" customHeight="1">
      <c r="BZ3582" s="6"/>
    </row>
    <row r="3583" spans="78:78" ht="21.75" customHeight="1">
      <c r="BZ3583" s="6"/>
    </row>
    <row r="3584" spans="78:78" ht="21.75" customHeight="1">
      <c r="BZ3584" s="6"/>
    </row>
    <row r="3585" spans="78:78" ht="21.75" customHeight="1">
      <c r="BZ3585" s="6"/>
    </row>
    <row r="3586" spans="78:78" ht="21.75" customHeight="1">
      <c r="BZ3586" s="6"/>
    </row>
    <row r="3587" spans="78:78" ht="21.75" customHeight="1">
      <c r="BZ3587" s="6"/>
    </row>
    <row r="3588" spans="78:78" ht="21.75" customHeight="1">
      <c r="BZ3588" s="6"/>
    </row>
    <row r="3589" spans="78:78" ht="21.75" customHeight="1">
      <c r="BZ3589" s="6"/>
    </row>
    <row r="3590" spans="78:78" ht="21.75" customHeight="1">
      <c r="BZ3590" s="6"/>
    </row>
    <row r="3591" spans="78:78" ht="21.75" customHeight="1">
      <c r="BZ3591" s="6"/>
    </row>
    <row r="3592" spans="78:78" ht="21.75" customHeight="1">
      <c r="BZ3592" s="6"/>
    </row>
    <row r="3593" spans="78:78" ht="21.75" customHeight="1">
      <c r="BZ3593" s="6"/>
    </row>
    <row r="3594" spans="78:78" ht="21.75" customHeight="1">
      <c r="BZ3594" s="6"/>
    </row>
    <row r="3595" spans="78:78" ht="21.75" customHeight="1">
      <c r="BZ3595" s="6"/>
    </row>
    <row r="3596" spans="78:78" ht="21.75" customHeight="1">
      <c r="BZ3596" s="6"/>
    </row>
    <row r="3597" spans="78:78" ht="21.75" customHeight="1">
      <c r="BZ3597" s="6"/>
    </row>
    <row r="3598" spans="78:78" ht="21.75" customHeight="1">
      <c r="BZ3598" s="6"/>
    </row>
    <row r="3599" spans="78:78" ht="21.75" customHeight="1">
      <c r="BZ3599" s="6"/>
    </row>
    <row r="3600" spans="78:78" ht="21.75" customHeight="1">
      <c r="BZ3600" s="6"/>
    </row>
    <row r="3601" spans="78:78" ht="21.75" customHeight="1">
      <c r="BZ3601" s="6"/>
    </row>
    <row r="3602" spans="78:78" ht="21.75" customHeight="1">
      <c r="BZ3602" s="6"/>
    </row>
    <row r="3603" spans="78:78" ht="21.75" customHeight="1">
      <c r="BZ3603" s="6"/>
    </row>
    <row r="3604" spans="78:78" ht="21.75" customHeight="1">
      <c r="BZ3604" s="6"/>
    </row>
    <row r="3605" spans="78:78" ht="21.75" customHeight="1">
      <c r="BZ3605" s="6"/>
    </row>
    <row r="3606" spans="78:78" ht="21.75" customHeight="1">
      <c r="BZ3606" s="6"/>
    </row>
    <row r="3607" spans="78:78" ht="21.75" customHeight="1">
      <c r="BZ3607" s="6"/>
    </row>
    <row r="3608" spans="78:78" ht="21.75" customHeight="1">
      <c r="BZ3608" s="6"/>
    </row>
    <row r="3609" spans="78:78" ht="21.75" customHeight="1">
      <c r="BZ3609" s="6"/>
    </row>
    <row r="3610" spans="78:78" ht="21.75" customHeight="1">
      <c r="BZ3610" s="6"/>
    </row>
    <row r="3611" spans="78:78" ht="21.75" customHeight="1">
      <c r="BZ3611" s="6"/>
    </row>
    <row r="3612" spans="78:78" ht="21.75" customHeight="1">
      <c r="BZ3612" s="6"/>
    </row>
    <row r="3613" spans="78:78" ht="21.75" customHeight="1">
      <c r="BZ3613" s="6"/>
    </row>
    <row r="3614" spans="78:78" ht="21.75" customHeight="1">
      <c r="BZ3614" s="6"/>
    </row>
    <row r="3615" spans="78:78" ht="21.75" customHeight="1">
      <c r="BZ3615" s="6"/>
    </row>
    <row r="3616" spans="78:78" ht="21.75" customHeight="1">
      <c r="BZ3616" s="6"/>
    </row>
    <row r="3617" spans="78:78" ht="21.75" customHeight="1">
      <c r="BZ3617" s="6"/>
    </row>
    <row r="3618" spans="78:78" ht="21.75" customHeight="1">
      <c r="BZ3618" s="6"/>
    </row>
    <row r="3619" spans="78:78" ht="21.75" customHeight="1">
      <c r="BZ3619" s="6"/>
    </row>
    <row r="3620" spans="78:78" ht="21.75" customHeight="1">
      <c r="BZ3620" s="6"/>
    </row>
    <row r="3621" spans="78:78" ht="21.75" customHeight="1">
      <c r="BZ3621" s="6"/>
    </row>
    <row r="3622" spans="78:78" ht="21.75" customHeight="1">
      <c r="BZ3622" s="6"/>
    </row>
    <row r="3623" spans="78:78" ht="21.75" customHeight="1">
      <c r="BZ3623" s="6"/>
    </row>
    <row r="3624" spans="78:78" ht="21.75" customHeight="1">
      <c r="BZ3624" s="6"/>
    </row>
    <row r="3625" spans="78:78" ht="21.75" customHeight="1">
      <c r="BZ3625" s="6"/>
    </row>
    <row r="3626" spans="78:78" ht="21.75" customHeight="1">
      <c r="BZ3626" s="6"/>
    </row>
    <row r="3627" spans="78:78" ht="21.75" customHeight="1">
      <c r="BZ3627" s="6"/>
    </row>
    <row r="3628" spans="78:78" ht="21.75" customHeight="1">
      <c r="BZ3628" s="6"/>
    </row>
    <row r="3629" spans="78:78" ht="21.75" customHeight="1">
      <c r="BZ3629" s="6"/>
    </row>
    <row r="3630" spans="78:78" ht="21.75" customHeight="1">
      <c r="BZ3630" s="6"/>
    </row>
    <row r="3631" spans="78:78" ht="21.75" customHeight="1">
      <c r="BZ3631" s="6"/>
    </row>
    <row r="3632" spans="78:78" ht="21.75" customHeight="1">
      <c r="BZ3632" s="6"/>
    </row>
    <row r="3633" spans="78:78" ht="21.75" customHeight="1">
      <c r="BZ3633" s="6"/>
    </row>
    <row r="3634" spans="78:78" ht="21.75" customHeight="1">
      <c r="BZ3634" s="6"/>
    </row>
    <row r="3635" spans="78:78" ht="21.75" customHeight="1">
      <c r="BZ3635" s="6"/>
    </row>
    <row r="3636" spans="78:78" ht="21.75" customHeight="1">
      <c r="BZ3636" s="6"/>
    </row>
    <row r="3637" spans="78:78" ht="21.75" customHeight="1">
      <c r="BZ3637" s="6"/>
    </row>
    <row r="3638" spans="78:78" ht="21.75" customHeight="1">
      <c r="BZ3638" s="6"/>
    </row>
    <row r="3639" spans="78:78" ht="21.75" customHeight="1">
      <c r="BZ3639" s="6"/>
    </row>
    <row r="3640" spans="78:78" ht="21.75" customHeight="1">
      <c r="BZ3640" s="6"/>
    </row>
    <row r="3641" spans="78:78" ht="21.75" customHeight="1">
      <c r="BZ3641" s="6"/>
    </row>
    <row r="3642" spans="78:78" ht="21.75" customHeight="1">
      <c r="BZ3642" s="6"/>
    </row>
    <row r="3643" spans="78:78" ht="21.75" customHeight="1">
      <c r="BZ3643" s="6"/>
    </row>
    <row r="3644" spans="78:78" ht="21.75" customHeight="1">
      <c r="BZ3644" s="6"/>
    </row>
    <row r="3645" spans="78:78" ht="21.75" customHeight="1">
      <c r="BZ3645" s="6"/>
    </row>
    <row r="3646" spans="78:78" ht="21.75" customHeight="1">
      <c r="BZ3646" s="6"/>
    </row>
    <row r="3647" spans="78:78" ht="21.75" customHeight="1">
      <c r="BZ3647" s="6"/>
    </row>
    <row r="3648" spans="78:78" ht="21.75" customHeight="1">
      <c r="BZ3648" s="6"/>
    </row>
    <row r="3649" spans="78:78" ht="21.75" customHeight="1">
      <c r="BZ3649" s="6"/>
    </row>
    <row r="3650" spans="78:78" ht="21.75" customHeight="1">
      <c r="BZ3650" s="6"/>
    </row>
    <row r="3651" spans="78:78" ht="21.75" customHeight="1">
      <c r="BZ3651" s="6"/>
    </row>
    <row r="3652" spans="78:78" ht="21.75" customHeight="1">
      <c r="BZ3652" s="6"/>
    </row>
    <row r="3653" spans="78:78" ht="21.75" customHeight="1">
      <c r="BZ3653" s="6"/>
    </row>
    <row r="3654" spans="78:78" ht="21.75" customHeight="1">
      <c r="BZ3654" s="6"/>
    </row>
    <row r="3655" spans="78:78" ht="21.75" customHeight="1">
      <c r="BZ3655" s="6"/>
    </row>
    <row r="3656" spans="78:78" ht="21.75" customHeight="1">
      <c r="BZ3656" s="6"/>
    </row>
    <row r="3657" spans="78:78" ht="21.75" customHeight="1">
      <c r="BZ3657" s="6"/>
    </row>
    <row r="3658" spans="78:78" ht="21.75" customHeight="1">
      <c r="BZ3658" s="6"/>
    </row>
    <row r="3659" spans="78:78" ht="21.75" customHeight="1">
      <c r="BZ3659" s="6"/>
    </row>
    <row r="3660" spans="78:78" ht="21.75" customHeight="1">
      <c r="BZ3660" s="6"/>
    </row>
    <row r="3661" spans="78:78" ht="21.75" customHeight="1">
      <c r="BZ3661" s="6"/>
    </row>
    <row r="3662" spans="78:78" ht="21.75" customHeight="1">
      <c r="BZ3662" s="6"/>
    </row>
    <row r="3663" spans="78:78" ht="21.75" customHeight="1">
      <c r="BZ3663" s="6"/>
    </row>
    <row r="3664" spans="78:78" ht="21.75" customHeight="1">
      <c r="BZ3664" s="6"/>
    </row>
    <row r="3665" spans="78:78" ht="21.75" customHeight="1">
      <c r="BZ3665" s="6"/>
    </row>
    <row r="3666" spans="78:78" ht="21.75" customHeight="1">
      <c r="BZ3666" s="6"/>
    </row>
    <row r="3667" spans="78:78" ht="21.75" customHeight="1">
      <c r="BZ3667" s="6"/>
    </row>
    <row r="3668" spans="78:78" ht="21.75" customHeight="1">
      <c r="BZ3668" s="6"/>
    </row>
    <row r="3669" spans="78:78" ht="21.75" customHeight="1">
      <c r="BZ3669" s="6"/>
    </row>
    <row r="3670" spans="78:78" ht="21.75" customHeight="1">
      <c r="BZ3670" s="6"/>
    </row>
    <row r="3671" spans="78:78" ht="21.75" customHeight="1">
      <c r="BZ3671" s="6"/>
    </row>
    <row r="3672" spans="78:78" ht="21.75" customHeight="1">
      <c r="BZ3672" s="6"/>
    </row>
    <row r="3673" spans="78:78" ht="21.75" customHeight="1">
      <c r="BZ3673" s="6"/>
    </row>
    <row r="3674" spans="78:78" ht="21.75" customHeight="1">
      <c r="BZ3674" s="6"/>
    </row>
    <row r="3675" spans="78:78" ht="21.75" customHeight="1">
      <c r="BZ3675" s="6"/>
    </row>
    <row r="3676" spans="78:78" ht="21.75" customHeight="1">
      <c r="BZ3676" s="6"/>
    </row>
    <row r="3677" spans="78:78" ht="21.75" customHeight="1">
      <c r="BZ3677" s="6"/>
    </row>
    <row r="3678" spans="78:78" ht="21.75" customHeight="1">
      <c r="BZ3678" s="6"/>
    </row>
    <row r="3679" spans="78:78" ht="21.75" customHeight="1">
      <c r="BZ3679" s="6"/>
    </row>
    <row r="3680" spans="78:78" ht="21.75" customHeight="1">
      <c r="BZ3680" s="6"/>
    </row>
    <row r="3681" spans="78:78" ht="21.75" customHeight="1">
      <c r="BZ3681" s="6"/>
    </row>
    <row r="3682" spans="78:78" ht="21.75" customHeight="1">
      <c r="BZ3682" s="6"/>
    </row>
    <row r="3683" spans="78:78" ht="21.75" customHeight="1">
      <c r="BZ3683" s="6"/>
    </row>
    <row r="3684" spans="78:78" ht="21.75" customHeight="1">
      <c r="BZ3684" s="6"/>
    </row>
    <row r="3685" spans="78:78" ht="21.75" customHeight="1">
      <c r="BZ3685" s="6"/>
    </row>
    <row r="3686" spans="78:78" ht="21.75" customHeight="1">
      <c r="BZ3686" s="6"/>
    </row>
    <row r="3687" spans="78:78" ht="21.75" customHeight="1">
      <c r="BZ3687" s="6"/>
    </row>
    <row r="3688" spans="78:78" ht="21.75" customHeight="1">
      <c r="BZ3688" s="6"/>
    </row>
    <row r="3689" spans="78:78" ht="21.75" customHeight="1">
      <c r="BZ3689" s="6"/>
    </row>
    <row r="3690" spans="78:78" ht="21.75" customHeight="1">
      <c r="BZ3690" s="6"/>
    </row>
    <row r="3691" spans="78:78" ht="21.75" customHeight="1">
      <c r="BZ3691" s="6"/>
    </row>
    <row r="3692" spans="78:78" ht="21.75" customHeight="1">
      <c r="BZ3692" s="6"/>
    </row>
    <row r="3693" spans="78:78" ht="21.75" customHeight="1">
      <c r="BZ3693" s="6"/>
    </row>
    <row r="3694" spans="78:78" ht="21.75" customHeight="1">
      <c r="BZ3694" s="6"/>
    </row>
    <row r="3695" spans="78:78" ht="21.75" customHeight="1">
      <c r="BZ3695" s="6"/>
    </row>
    <row r="3696" spans="78:78" ht="21.75" customHeight="1">
      <c r="BZ3696" s="6"/>
    </row>
    <row r="3697" spans="78:78" ht="21.75" customHeight="1">
      <c r="BZ3697" s="6"/>
    </row>
    <row r="3698" spans="78:78" ht="21.75" customHeight="1">
      <c r="BZ3698" s="6"/>
    </row>
    <row r="3699" spans="78:78" ht="21.75" customHeight="1">
      <c r="BZ3699" s="6"/>
    </row>
    <row r="3700" spans="78:78" ht="21.75" customHeight="1">
      <c r="BZ3700" s="6"/>
    </row>
    <row r="3701" spans="78:78" ht="21.75" customHeight="1">
      <c r="BZ3701" s="6"/>
    </row>
    <row r="3702" spans="78:78" ht="21.75" customHeight="1">
      <c r="BZ3702" s="6"/>
    </row>
    <row r="3703" spans="78:78" ht="21.75" customHeight="1">
      <c r="BZ3703" s="6"/>
    </row>
    <row r="3704" spans="78:78" ht="21.75" customHeight="1">
      <c r="BZ3704" s="6"/>
    </row>
    <row r="3705" spans="78:78" ht="21.75" customHeight="1">
      <c r="BZ3705" s="6"/>
    </row>
    <row r="3706" spans="78:78" ht="21.75" customHeight="1">
      <c r="BZ3706" s="6"/>
    </row>
    <row r="3707" spans="78:78" ht="21.75" customHeight="1">
      <c r="BZ3707" s="6"/>
    </row>
    <row r="3708" spans="78:78" ht="21.75" customHeight="1">
      <c r="BZ3708" s="6"/>
    </row>
    <row r="3709" spans="78:78" ht="21.75" customHeight="1">
      <c r="BZ3709" s="6"/>
    </row>
    <row r="4014" spans="10:11" ht="21.75" customHeight="1">
      <c r="J4014" s="5" t="s">
        <v>221</v>
      </c>
      <c r="K4014" s="7" t="s">
        <v>269</v>
      </c>
    </row>
  </sheetData>
  <autoFilter ref="A3:KA4009" xr:uid="{00000000-0001-0000-0000-000000000000}">
    <filterColumn colId="77" showButton="0"/>
    <filterColumn colId="78" showButton="0"/>
    <filterColumn colId="80" showButton="0"/>
    <filterColumn colId="81" showButton="0"/>
  </autoFilter>
  <mergeCells count="36">
    <mergeCell ref="CU1:CU3"/>
    <mergeCell ref="CJ2:CJ3"/>
    <mergeCell ref="CI2:CI3"/>
    <mergeCell ref="CF1:CF3"/>
    <mergeCell ref="AV2:BA2"/>
    <mergeCell ref="BB2:BI2"/>
    <mergeCell ref="CC1:CE3"/>
    <mergeCell ref="CT1:CT3"/>
    <mergeCell ref="BJ1:BY2"/>
    <mergeCell ref="BZ1:CB3"/>
    <mergeCell ref="A1:J2"/>
    <mergeCell ref="K1:R2"/>
    <mergeCell ref="S1:S3"/>
    <mergeCell ref="T1:W2"/>
    <mergeCell ref="X1:AL2"/>
    <mergeCell ref="AO1:AO3"/>
    <mergeCell ref="AP1:AP3"/>
    <mergeCell ref="AQ1:AQ3"/>
    <mergeCell ref="AR1:BI1"/>
    <mergeCell ref="AR2:AU2"/>
    <mergeCell ref="AM1:AM3"/>
    <mergeCell ref="AN1:AN3"/>
    <mergeCell ref="CV1:CW2"/>
    <mergeCell ref="CG1:CG3"/>
    <mergeCell ref="CH1:CH3"/>
    <mergeCell ref="CI1:CK1"/>
    <mergeCell ref="CK2:CK3"/>
    <mergeCell ref="CN1:CR1"/>
    <mergeCell ref="CN2:CN3"/>
    <mergeCell ref="CO2:CO3"/>
    <mergeCell ref="CP2:CP3"/>
    <mergeCell ref="CQ2:CQ3"/>
    <mergeCell ref="CR2:CR3"/>
    <mergeCell ref="CM1:CM3"/>
    <mergeCell ref="CL1:CL3"/>
    <mergeCell ref="CS1:CS3"/>
  </mergeCells>
  <phoneticPr fontId="22" type="noConversion"/>
  <pageMargins left="0.89" right="1" top="0.86614173228346458" bottom="0.51181102362204722" header="0.31496062992125984" footer="0.15748031496062992"/>
  <pageSetup paperSize="9" scale="80" orientation="portrait" r:id="rId1"/>
  <headerFooter>
    <oddHeader>&amp;C&amp;"TH SarabunPSK,ตัวหนา"&amp;20&amp;KFF0000ลับ&amp;K01+000เรื่องร้องเรียน ห้วงวันที่ 20 - 26 พ.ย. 60</oddHeader>
    <oddFooter>&amp;C&amp;"TH SarabunPSK,Bold"&amp;20&amp;KFF0000ลับ</oddFooter>
  </headerFooter>
  <colBreaks count="2" manualBreakCount="2">
    <brk id="42" max="1048575" man="1"/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5FF75"/>
  </sheetPr>
  <dimension ref="A1:AB1430"/>
  <sheetViews>
    <sheetView zoomScale="80" zoomScaleNormal="80" workbookViewId="0">
      <selection activeCell="G17" sqref="G17"/>
    </sheetView>
  </sheetViews>
  <sheetFormatPr defaultColWidth="9" defaultRowHeight="21"/>
  <cols>
    <col min="1" max="1" width="8.109375" style="10" customWidth="1"/>
    <col min="2" max="2" width="6.88671875" style="10" customWidth="1"/>
    <col min="3" max="3" width="7" style="10" customWidth="1"/>
    <col min="4" max="4" width="9.77734375" style="10" hidden="1" customWidth="1"/>
    <col min="5" max="5" width="7.109375" style="10" customWidth="1"/>
    <col min="6" max="7" width="10.77734375" style="10" customWidth="1"/>
    <col min="8" max="8" width="11.33203125" style="10" customWidth="1"/>
    <col min="9" max="10" width="10.77734375" style="10" customWidth="1"/>
    <col min="11" max="16" width="8.33203125" style="10" customWidth="1"/>
    <col min="17" max="16384" width="9" style="10"/>
  </cols>
  <sheetData>
    <row r="1" spans="1:20" ht="25.8">
      <c r="A1" s="691" t="s">
        <v>262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</row>
    <row r="2" spans="1:20" ht="26.4" thickBot="1">
      <c r="A2" s="692" t="s">
        <v>156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</row>
    <row r="3" spans="1:20" ht="23.4">
      <c r="A3" s="693" t="s">
        <v>6</v>
      </c>
      <c r="B3" s="696" t="s">
        <v>145</v>
      </c>
      <c r="C3" s="697"/>
      <c r="D3" s="697"/>
      <c r="E3" s="698"/>
      <c r="F3" s="696" t="s">
        <v>146</v>
      </c>
      <c r="G3" s="697"/>
      <c r="H3" s="697"/>
      <c r="I3" s="697"/>
      <c r="J3" s="697"/>
      <c r="K3" s="697"/>
      <c r="L3" s="697"/>
      <c r="M3" s="697"/>
      <c r="N3" s="697"/>
      <c r="O3" s="699"/>
      <c r="P3" s="699"/>
    </row>
    <row r="4" spans="1:20" ht="23.25" customHeight="1">
      <c r="A4" s="694"/>
      <c r="B4" s="700" t="s">
        <v>147</v>
      </c>
      <c r="C4" s="703" t="s">
        <v>219</v>
      </c>
      <c r="D4" s="374" t="s">
        <v>148</v>
      </c>
      <c r="E4" s="706" t="s">
        <v>226</v>
      </c>
      <c r="F4" s="709" t="s">
        <v>149</v>
      </c>
      <c r="G4" s="685"/>
      <c r="H4" s="685"/>
      <c r="I4" s="685"/>
      <c r="J4" s="685"/>
      <c r="K4" s="685" t="s">
        <v>150</v>
      </c>
      <c r="L4" s="685"/>
      <c r="M4" s="685"/>
      <c r="N4" s="685"/>
      <c r="O4" s="710"/>
      <c r="P4" s="710"/>
    </row>
    <row r="5" spans="1:20" ht="44.25" customHeight="1">
      <c r="A5" s="694"/>
      <c r="B5" s="701"/>
      <c r="C5" s="704"/>
      <c r="D5" s="375"/>
      <c r="E5" s="707"/>
      <c r="F5" s="681" t="s">
        <v>53</v>
      </c>
      <c r="G5" s="683" t="s">
        <v>54</v>
      </c>
      <c r="H5" s="683" t="s">
        <v>151</v>
      </c>
      <c r="I5" s="685" t="s">
        <v>152</v>
      </c>
      <c r="J5" s="685"/>
      <c r="K5" s="686" t="s">
        <v>56</v>
      </c>
      <c r="L5" s="686" t="s">
        <v>57</v>
      </c>
      <c r="M5" s="686" t="s">
        <v>58</v>
      </c>
      <c r="N5" s="683" t="s">
        <v>153</v>
      </c>
      <c r="O5" s="683" t="s">
        <v>60</v>
      </c>
      <c r="P5" s="688" t="s">
        <v>157</v>
      </c>
    </row>
    <row r="6" spans="1:20" ht="29.25" customHeight="1" thickBot="1">
      <c r="A6" s="695"/>
      <c r="B6" s="702"/>
      <c r="C6" s="705"/>
      <c r="D6" s="378"/>
      <c r="E6" s="708"/>
      <c r="F6" s="682"/>
      <c r="G6" s="684"/>
      <c r="H6" s="684"/>
      <c r="I6" s="377" t="s">
        <v>4</v>
      </c>
      <c r="J6" s="377" t="s">
        <v>155</v>
      </c>
      <c r="K6" s="687"/>
      <c r="L6" s="687"/>
      <c r="M6" s="687"/>
      <c r="N6" s="684"/>
      <c r="O6" s="684"/>
      <c r="P6" s="689"/>
      <c r="S6" s="10" t="s">
        <v>221</v>
      </c>
    </row>
    <row r="7" spans="1:20" s="42" customFormat="1" ht="24" thickBot="1">
      <c r="A7" s="11" t="s">
        <v>152</v>
      </c>
      <c r="B7" s="12">
        <f>SUM(B8:B17)</f>
        <v>0</v>
      </c>
      <c r="C7" s="13">
        <f t="shared" ref="C7:O7" si="0">SUM(C8:C17)</f>
        <v>0</v>
      </c>
      <c r="D7" s="13">
        <f t="shared" si="0"/>
        <v>0</v>
      </c>
      <c r="E7" s="14">
        <f t="shared" si="0"/>
        <v>0</v>
      </c>
      <c r="F7" s="15">
        <f t="shared" si="0"/>
        <v>0</v>
      </c>
      <c r="G7" s="16">
        <f t="shared" si="0"/>
        <v>0</v>
      </c>
      <c r="H7" s="16">
        <f t="shared" si="0"/>
        <v>0</v>
      </c>
      <c r="I7" s="16">
        <f t="shared" si="0"/>
        <v>0</v>
      </c>
      <c r="J7" s="17" t="e">
        <f>I7*100/E7</f>
        <v>#DIV/0!</v>
      </c>
      <c r="K7" s="15">
        <f t="shared" si="0"/>
        <v>0</v>
      </c>
      <c r="L7" s="16">
        <f t="shared" si="0"/>
        <v>0</v>
      </c>
      <c r="M7" s="16">
        <f t="shared" si="0"/>
        <v>0</v>
      </c>
      <c r="N7" s="13">
        <f t="shared" si="0"/>
        <v>0</v>
      </c>
      <c r="O7" s="13">
        <f t="shared" si="0"/>
        <v>0</v>
      </c>
      <c r="P7" s="281">
        <f>SUM(E7-I7)</f>
        <v>0</v>
      </c>
    </row>
    <row r="8" spans="1:20" s="42" customFormat="1" ht="23.4">
      <c r="A8" s="43">
        <v>1</v>
      </c>
      <c r="B8" s="44">
        <f>COUNTIFS(เรื่องร้องเรียน!AO:AO,"1",เรื่องร้องเรียน!E:E,"&lt;5")</f>
        <v>0</v>
      </c>
      <c r="C8" s="45">
        <f>COUNTIFS(เรื่องร้องเรียน!AO:AO,"1",เรื่องร้องเรียน!E:E,"&lt;5",เรื่องร้องเรียน!CL:CL,"1")</f>
        <v>0</v>
      </c>
      <c r="D8" s="45">
        <f>COUNTIFS(เรื่องร้องเรียน!AO:AO,"1",เรื่องร้องเรียน!E:E,"&lt;5",เรื่องร้องเรียน!AN:AN,"")</f>
        <v>0</v>
      </c>
      <c r="E8" s="46">
        <f t="shared" ref="E8:E17" si="1">B8-C8-D8</f>
        <v>0</v>
      </c>
      <c r="F8" s="44">
        <f>COUNTIFS(เรื่องร้องเรียน!AO:AO,"1",เรื่องร้องเรียน!E:E,"&lt;5",เรื่องร้องเรียน!AQ:AQ,"1",เรื่องร้องเรียน!AR:AR,"1",เรื่องร้องเรียน!CL:CL,"")</f>
        <v>0</v>
      </c>
      <c r="G8" s="47">
        <f>COUNTIFS(เรื่องร้องเรียน!AO:AO,"1",เรื่องร้องเรียน!E:E,"&lt;5",เรื่องร้องเรียน!AQ:AQ,"1",เรื่องร้องเรียน!AS:AS,"1",เรื่องร้องเรียน!CL:CL,"")</f>
        <v>0</v>
      </c>
      <c r="H8" s="45">
        <f>COUNTIFS(เรื่องร้องเรียน!AO:AO,"1",เรื่องร้องเรียน!E:E,"&lt;5",เรื่องร้องเรียน!AQ:AQ,"1",เรื่องร้องเรียน!AT:AT,"1",เรื่องร้องเรียน!CL:CL,"")</f>
        <v>0</v>
      </c>
      <c r="I8" s="45">
        <f>SUM(F8:H8)</f>
        <v>0</v>
      </c>
      <c r="J8" s="48" t="e">
        <f>I8*100/E8</f>
        <v>#DIV/0!</v>
      </c>
      <c r="K8" s="44">
        <f>COUNTIFS(เรื่องร้องเรียน!AO:AO,"1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8" s="45">
        <f>COUNTIFS(เรื่องร้องเรียน!AO:AO,"1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8" s="45">
        <f>COUNTIFS(เรื่องร้องเรียน!AO:AO,"1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8" s="45">
        <f>COUNTIFS(เรื่องร้องเรียน!AO:AO,"1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8" s="45">
        <f>COUNTIFS(เรื่องร้องเรียน!AO:AO,"1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8" s="277">
        <f t="shared" ref="P8:P17" si="2">SUM(E8-I8)</f>
        <v>0</v>
      </c>
    </row>
    <row r="9" spans="1:20" s="54" customFormat="1" ht="23.4">
      <c r="A9" s="49">
        <v>2</v>
      </c>
      <c r="B9" s="50">
        <f>COUNTIFS(เรื่องร้องเรียน!AO:AO,"2",เรื่องร้องเรียน!E:E,"&lt;5")</f>
        <v>0</v>
      </c>
      <c r="C9" s="51">
        <f>COUNTIFS(เรื่องร้องเรียน!AO:AO,"2",เรื่องร้องเรียน!E:E,"&lt;5",เรื่องร้องเรียน!CL:CL,"1")</f>
        <v>0</v>
      </c>
      <c r="D9" s="51">
        <f>COUNTIFS(เรื่องร้องเรียน!AO:AO,"2",เรื่องร้องเรียน!E:E,"&lt;5",เรื่องร้องเรียน!AN:AN,"")</f>
        <v>0</v>
      </c>
      <c r="E9" s="52">
        <f t="shared" si="1"/>
        <v>0</v>
      </c>
      <c r="F9" s="50">
        <f>COUNTIFS(เรื่องร้องเรียน!AO:AO,"2",เรื่องร้องเรียน!E:E,"&lt;5",เรื่องร้องเรียน!AQ:AQ,"1",เรื่องร้องเรียน!AR:AR,"1",เรื่องร้องเรียน!CL:CL,"")</f>
        <v>0</v>
      </c>
      <c r="G9" s="51">
        <f>COUNTIFS(เรื่องร้องเรียน!AO:AO,"2",เรื่องร้องเรียน!E:E,"&lt;5",เรื่องร้องเรียน!AQ:AQ,"1",เรื่องร้องเรียน!AS:AS,"1",เรื่องร้องเรียน!CL:CL,"")</f>
        <v>0</v>
      </c>
      <c r="H9" s="51">
        <f>COUNTIFS(เรื่องร้องเรียน!AO:AO,"2",เรื่องร้องเรียน!E:E,"&lt;5",เรื่องร้องเรียน!AQ:AQ,"1",เรื่องร้องเรียน!AT:AT,"1",เรื่องร้องเรียน!CL:CL,"")</f>
        <v>0</v>
      </c>
      <c r="I9" s="51">
        <f t="shared" ref="I9:I17" si="3">SUM(F9:H9)</f>
        <v>0</v>
      </c>
      <c r="J9" s="53" t="e">
        <f t="shared" ref="J9:J17" si="4">I9*100/E9</f>
        <v>#DIV/0!</v>
      </c>
      <c r="K9" s="50">
        <f>COUNTIFS(เรื่องร้องเรียน!AO:AO,"2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9" s="51">
        <f>COUNTIFS(เรื่องร้องเรียน!AO:AO,"2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9" s="51">
        <f>COUNTIFS(เรื่องร้องเรียน!AO:AO,"2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9" s="51">
        <f>COUNTIFS(เรื่องร้องเรียน!AO:AO,"2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9" s="45">
        <f>COUNTIFS(เรื่องร้องเรียน!AO:AO,"2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9" s="278">
        <f t="shared" si="2"/>
        <v>0</v>
      </c>
    </row>
    <row r="10" spans="1:20" s="54" customFormat="1" ht="23.4">
      <c r="A10" s="49">
        <v>3</v>
      </c>
      <c r="B10" s="50">
        <f>COUNTIFS(เรื่องร้องเรียน!AO:AO,"3",เรื่องร้องเรียน!E:E,"&lt;5")</f>
        <v>0</v>
      </c>
      <c r="C10" s="51">
        <f>COUNTIFS(เรื่องร้องเรียน!AO:AO,"3",เรื่องร้องเรียน!E:E,"&lt;5",เรื่องร้องเรียน!CL:CL,"1")</f>
        <v>0</v>
      </c>
      <c r="D10" s="51">
        <f>COUNTIFS(เรื่องร้องเรียน!AO:AO,"3",เรื่องร้องเรียน!E:E,"&lt;5",เรื่องร้องเรียน!AN:AN,"")</f>
        <v>0</v>
      </c>
      <c r="E10" s="52">
        <f>B10-C10-D10</f>
        <v>0</v>
      </c>
      <c r="F10" s="50">
        <f>COUNTIFS(เรื่องร้องเรียน!AO:AO,"3",เรื่องร้องเรียน!E:E,"&lt;5",เรื่องร้องเรียน!AQ:AQ,"1",เรื่องร้องเรียน!AR:AR,"1",เรื่องร้องเรียน!CL:CL,"")</f>
        <v>0</v>
      </c>
      <c r="G10" s="51">
        <f>COUNTIFS(เรื่องร้องเรียน!AO:AO,"3",เรื่องร้องเรียน!E:E,"&lt;5",เรื่องร้องเรียน!AQ:AQ,"1",เรื่องร้องเรียน!AS:AS,"1",เรื่องร้องเรียน!CL:CL,"")</f>
        <v>0</v>
      </c>
      <c r="H10" s="51">
        <f>COUNTIFS(เรื่องร้องเรียน!AO:AO,"3",เรื่องร้องเรียน!E:E,"&lt;5",เรื่องร้องเรียน!AQ:AQ,"1",เรื่องร้องเรียน!AT:AT,"1",เรื่องร้องเรียน!CL:CL,"")</f>
        <v>0</v>
      </c>
      <c r="I10" s="51">
        <f t="shared" si="3"/>
        <v>0</v>
      </c>
      <c r="J10" s="53" t="e">
        <f t="shared" si="4"/>
        <v>#DIV/0!</v>
      </c>
      <c r="K10" s="50">
        <f>COUNTIFS(เรื่องร้องเรียน!AO:AO,"3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0" s="51">
        <f>COUNTIFS(เรื่องร้องเรียน!AO:AO,"3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0" s="51">
        <f>COUNTIFS(เรื่องร้องเรียน!AO:AO,"3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0" s="51">
        <f>COUNTIFS(เรื่องร้องเรียน!AO:AO,"3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0" s="45">
        <f>COUNTIFS(เรื่องร้องเรียน!AO:AO,"3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0" s="278">
        <f t="shared" si="2"/>
        <v>0</v>
      </c>
    </row>
    <row r="11" spans="1:20" s="54" customFormat="1" ht="23.4">
      <c r="A11" s="49">
        <v>4</v>
      </c>
      <c r="B11" s="50">
        <f>COUNTIFS(เรื่องร้องเรียน!AO:AO,"4",เรื่องร้องเรียน!E:E,"&lt;5")</f>
        <v>0</v>
      </c>
      <c r="C11" s="51">
        <f>COUNTIFS(เรื่องร้องเรียน!AO:AO,"4",เรื่องร้องเรียน!E:E,"&lt;5",เรื่องร้องเรียน!CL:CL,"1")</f>
        <v>0</v>
      </c>
      <c r="D11" s="51">
        <f>COUNTIFS(เรื่องร้องเรียน!AO:AO,"4",เรื่องร้องเรียน!E:E,"&lt;5",เรื่องร้องเรียน!AN:AN,"")</f>
        <v>0</v>
      </c>
      <c r="E11" s="52">
        <f t="shared" si="1"/>
        <v>0</v>
      </c>
      <c r="F11" s="50">
        <f>COUNTIFS(เรื่องร้องเรียน!AO:AO,"4",เรื่องร้องเรียน!E:E,"&lt;5",เรื่องร้องเรียน!AQ:AQ,"1",เรื่องร้องเรียน!AR:AR,"1",เรื่องร้องเรียน!CL:CL,"")</f>
        <v>0</v>
      </c>
      <c r="G11" s="51">
        <f>COUNTIFS(เรื่องร้องเรียน!AO:AO,"4",เรื่องร้องเรียน!E:E,"&lt;5",เรื่องร้องเรียน!AQ:AQ,"1",เรื่องร้องเรียน!AS:AS,"1",เรื่องร้องเรียน!CL:CL,"")</f>
        <v>0</v>
      </c>
      <c r="H11" s="51">
        <f>COUNTIFS(เรื่องร้องเรียน!AO:AO,"4",เรื่องร้องเรียน!E:E,"&lt;5",เรื่องร้องเรียน!AQ:AQ,"1",เรื่องร้องเรียน!AT:AT,"1",เรื่องร้องเรียน!CL:CL,"")</f>
        <v>0</v>
      </c>
      <c r="I11" s="51">
        <f t="shared" si="3"/>
        <v>0</v>
      </c>
      <c r="J11" s="53" t="e">
        <f t="shared" si="4"/>
        <v>#DIV/0!</v>
      </c>
      <c r="K11" s="50">
        <f>COUNTIFS(เรื่องร้องเรียน!AO:AO,"4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1" s="51">
        <f>COUNTIFS(เรื่องร้องเรียน!AO:AO,"4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1" s="51">
        <f>COUNTIFS(เรื่องร้องเรียน!AO:AO,"4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1" s="51">
        <f>COUNTIFS(เรื่องร้องเรียน!AO:AO,"4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1" s="45">
        <f>COUNTIFS(เรื่องร้องเรียน!AO:AO,"4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1" s="278">
        <f t="shared" si="2"/>
        <v>0</v>
      </c>
      <c r="Q11" s="55"/>
      <c r="R11" s="55"/>
      <c r="S11" s="55"/>
      <c r="T11" s="55"/>
    </row>
    <row r="12" spans="1:20" s="54" customFormat="1" ht="23.4">
      <c r="A12" s="56">
        <v>5</v>
      </c>
      <c r="B12" s="57">
        <f>COUNTIFS(เรื่องร้องเรียน!AO:AO,"5",เรื่องร้องเรียน!E:E,"&lt;5")</f>
        <v>0</v>
      </c>
      <c r="C12" s="58">
        <f>COUNTIFS(เรื่องร้องเรียน!AO:AO,"5",เรื่องร้องเรียน!E:E,"&lt;5",เรื่องร้องเรียน!CL:CL,"1")</f>
        <v>0</v>
      </c>
      <c r="D12" s="58">
        <f>COUNTIFS(เรื่องร้องเรียน!AO:AO,"5",เรื่องร้องเรียน!E:E,"&lt;5",เรื่องร้องเรียน!AN:AN,"")</f>
        <v>0</v>
      </c>
      <c r="E12" s="59">
        <f>B12-C12-D12</f>
        <v>0</v>
      </c>
      <c r="F12" s="57">
        <f>COUNTIFS(เรื่องร้องเรียน!AO:AO,"5",เรื่องร้องเรียน!E:E,"&lt;5",เรื่องร้องเรียน!AQ:AQ,"1",เรื่องร้องเรียน!AR:AR,"1",เรื่องร้องเรียน!CL:CL,"")</f>
        <v>0</v>
      </c>
      <c r="G12" s="58">
        <f>COUNTIFS(เรื่องร้องเรียน!AO:AO,"5",เรื่องร้องเรียน!E:E,"&lt;5",เรื่องร้องเรียน!AQ:AQ,"1",เรื่องร้องเรียน!AS:AS,"1",เรื่องร้องเรียน!CL:CL,"")</f>
        <v>0</v>
      </c>
      <c r="H12" s="58">
        <f>COUNTIFS(เรื่องร้องเรียน!AO:AO,"5",เรื่องร้องเรียน!E:E,"&lt;5",เรื่องร้องเรียน!AQ:AQ,"1",เรื่องร้องเรียน!AT:AT,"1",เรื่องร้องเรียน!CL:CL,"")</f>
        <v>0</v>
      </c>
      <c r="I12" s="58">
        <f t="shared" si="3"/>
        <v>0</v>
      </c>
      <c r="J12" s="60" t="e">
        <f t="shared" si="4"/>
        <v>#DIV/0!</v>
      </c>
      <c r="K12" s="57">
        <f>COUNTIFS(เรื่องร้องเรียน!AO:AO,"5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2" s="58">
        <f>COUNTIFS(เรื่องร้องเรียน!AO:AO,"5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2" s="58">
        <f>COUNTIFS(เรื่องร้องเรียน!AO:AO,"5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2" s="58">
        <f>COUNTIFS(เรื่องร้องเรียน!AO:AO,"5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2" s="45">
        <f>COUNTIFS(เรื่องร้องเรียน!AO:AO,"5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2" s="278">
        <f t="shared" si="2"/>
        <v>0</v>
      </c>
    </row>
    <row r="13" spans="1:20" s="62" customFormat="1" ht="23.4">
      <c r="A13" s="61">
        <v>6</v>
      </c>
      <c r="B13" s="44">
        <f>COUNTIFS(เรื่องร้องเรียน!AO:AO,"6",เรื่องร้องเรียน!E:E,"&lt;5")</f>
        <v>0</v>
      </c>
      <c r="C13" s="45">
        <f>COUNTIFS(เรื่องร้องเรียน!AO:AO,"6",เรื่องร้องเรียน!E:E,"&lt;5",เรื่องร้องเรียน!CL:CL,"1")</f>
        <v>0</v>
      </c>
      <c r="D13" s="45">
        <f>COUNTIFS(เรื่องร้องเรียน!AO:AO,"6",เรื่องร้องเรียน!E:E,"&lt;5",เรื่องร้องเรียน!AN:AN,"")</f>
        <v>0</v>
      </c>
      <c r="E13" s="46">
        <f t="shared" si="1"/>
        <v>0</v>
      </c>
      <c r="F13" s="44">
        <f>COUNTIFS(เรื่องร้องเรียน!AO:AO,"6",เรื่องร้องเรียน!E:E,"&lt;5",เรื่องร้องเรียน!AQ:AQ,"1",เรื่องร้องเรียน!AR:AR,"1",เรื่องร้องเรียน!CL:CL,"")</f>
        <v>0</v>
      </c>
      <c r="G13" s="45">
        <f>COUNTIFS(เรื่องร้องเรียน!AO:AO,"6",เรื่องร้องเรียน!E:E,"&lt;5",เรื่องร้องเรียน!AQ:AQ,"1",เรื่องร้องเรียน!AS:AS,"1",เรื่องร้องเรียน!CL:CL,"")</f>
        <v>0</v>
      </c>
      <c r="H13" s="45">
        <f>COUNTIFS(เรื่องร้องเรียน!AO:AO,"6",เรื่องร้องเรียน!E:E,"&lt;5",เรื่องร้องเรียน!AQ:AQ,"1",เรื่องร้องเรียน!AT:AT,"1",เรื่องร้องเรียน!CL:CL,"")</f>
        <v>0</v>
      </c>
      <c r="I13" s="45">
        <f t="shared" si="3"/>
        <v>0</v>
      </c>
      <c r="J13" s="48" t="e">
        <f t="shared" si="4"/>
        <v>#DIV/0!</v>
      </c>
      <c r="K13" s="44">
        <f>COUNTIFS(เรื่องร้องเรียน!AO:AO,"6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3" s="45">
        <f>COUNTIFS(เรื่องร้องเรียน!AO:AO,"6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3" s="45">
        <f>COUNTIFS(เรื่องร้องเรียน!AO:AO,"6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3" s="45">
        <f>COUNTIFS(เรื่องร้องเรียน!AO:AO,"6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3" s="45">
        <f>COUNTIFS(เรื่องร้องเรียน!AO:AO,"6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3" s="279">
        <f t="shared" si="2"/>
        <v>0</v>
      </c>
    </row>
    <row r="14" spans="1:20" s="62" customFormat="1" ht="23.4">
      <c r="A14" s="63">
        <v>7</v>
      </c>
      <c r="B14" s="44">
        <f>COUNTIFS(เรื่องร้องเรียน!AO:AO,"7",เรื่องร้องเรียน!E:E,"&lt;5")</f>
        <v>0</v>
      </c>
      <c r="C14" s="45">
        <f>COUNTIFS(เรื่องร้องเรียน!AO:AO,"7",เรื่องร้องเรียน!E:E,"&lt;5",เรื่องร้องเรียน!CL:CL,"1")</f>
        <v>0</v>
      </c>
      <c r="D14" s="45">
        <f>COUNTIFS(เรื่องร้องเรียน!AO:AO,"7",เรื่องร้องเรียน!E:E,"&lt;5",เรื่องร้องเรียน!AN:AN,"")</f>
        <v>0</v>
      </c>
      <c r="E14" s="46">
        <f t="shared" si="1"/>
        <v>0</v>
      </c>
      <c r="F14" s="44">
        <f>COUNTIFS(เรื่องร้องเรียน!AO:AO,"7",เรื่องร้องเรียน!E:E,"&lt;5",เรื่องร้องเรียน!AQ:AQ,"1",เรื่องร้องเรียน!AR:AR,"1",เรื่องร้องเรียน!CL:CL,"")</f>
        <v>0</v>
      </c>
      <c r="G14" s="45">
        <f>COUNTIFS(เรื่องร้องเรียน!AO:AO,"7",เรื่องร้องเรียน!E:E,"&lt;5",เรื่องร้องเรียน!AQ:AQ,"1",เรื่องร้องเรียน!AS:AS,"1",เรื่องร้องเรียน!CL:CL,"")</f>
        <v>0</v>
      </c>
      <c r="H14" s="45">
        <f>COUNTIFS(เรื่องร้องเรียน!AO:AO,"7",เรื่องร้องเรียน!E:E,"&lt;5",เรื่องร้องเรียน!AQ:AQ,"1",เรื่องร้องเรียน!AT:AT,"1",เรื่องร้องเรียน!CL:CL,"")</f>
        <v>0</v>
      </c>
      <c r="I14" s="45">
        <f t="shared" si="3"/>
        <v>0</v>
      </c>
      <c r="J14" s="48" t="e">
        <f t="shared" si="4"/>
        <v>#DIV/0!</v>
      </c>
      <c r="K14" s="44">
        <f>COUNTIFS(เรื่องร้องเรียน!AO:AO,"7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4" s="45">
        <f>COUNTIFS(เรื่องร้องเรียน!AO:AO,"7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4" s="45">
        <f>COUNTIFS(เรื่องร้องเรียน!AO:AO,"7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4" s="45">
        <f>COUNTIFS(เรื่องร้องเรียน!AO:AO,"7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4" s="45">
        <f>COUNTIFS(เรื่องร้องเรียน!AO:AO,"7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4" s="279">
        <f t="shared" si="2"/>
        <v>0</v>
      </c>
    </row>
    <row r="15" spans="1:20" s="62" customFormat="1" ht="23.4">
      <c r="A15" s="61">
        <v>8</v>
      </c>
      <c r="B15" s="64">
        <f>COUNTIFS(เรื่องร้องเรียน!AO:AO,"8",เรื่องร้องเรียน!E:E,"&lt;5")</f>
        <v>0</v>
      </c>
      <c r="C15" s="45">
        <f>COUNTIFS(เรื่องร้องเรียน!AO:AO,"8",เรื่องร้องเรียน!E:E,"&lt;5",เรื่องร้องเรียน!CL:CL,"1")</f>
        <v>0</v>
      </c>
      <c r="D15" s="45">
        <f>COUNTIFS(เรื่องร้องเรียน!AO:AO,"8",เรื่องร้องเรียน!E:E,"&lt;5",เรื่องร้องเรียน!AN:AN,"")</f>
        <v>0</v>
      </c>
      <c r="E15" s="46">
        <f t="shared" si="1"/>
        <v>0</v>
      </c>
      <c r="F15" s="64">
        <f>COUNTIFS(เรื่องร้องเรียน!AO:AO,"8",เรื่องร้องเรียน!E:E,"&lt;5",เรื่องร้องเรียน!AQ:AQ,"1",เรื่องร้องเรียน!AR:AR,"1",เรื่องร้องเรียน!CL:CL,"")</f>
        <v>0</v>
      </c>
      <c r="G15" s="45">
        <f>COUNTIFS(เรื่องร้องเรียน!AO:AO,"8",เรื่องร้องเรียน!E:E,"&lt;5",เรื่องร้องเรียน!AQ:AQ,"1",เรื่องร้องเรียน!AS:AS,"1",เรื่องร้องเรียน!CL:CL,"")</f>
        <v>0</v>
      </c>
      <c r="H15" s="45">
        <f>COUNTIFS(เรื่องร้องเรียน!AO:AO,"8",เรื่องร้องเรียน!E:E,"&lt;5",เรื่องร้องเรียน!AQ:AQ,"1",เรื่องร้องเรียน!AT:AT,"1",เรื่องร้องเรียน!CL:CL,"")</f>
        <v>0</v>
      </c>
      <c r="I15" s="45">
        <f t="shared" si="3"/>
        <v>0</v>
      </c>
      <c r="J15" s="48" t="e">
        <f t="shared" si="4"/>
        <v>#DIV/0!</v>
      </c>
      <c r="K15" s="44">
        <f>COUNTIFS(เรื่องร้องเรียน!AO:AO,"8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5" s="45">
        <f>COUNTIFS(เรื่องร้องเรียน!AO:AO,"8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5" s="45">
        <f>COUNTIFS(เรื่องร้องเรียน!AO:AO,"8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5" s="45">
        <f>COUNTIFS(เรื่องร้องเรียน!AO:AO,"8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5" s="45">
        <f>COUNTIFS(เรื่องร้องเรียน!AO:AO,"8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5" s="279">
        <f t="shared" si="2"/>
        <v>0</v>
      </c>
    </row>
    <row r="16" spans="1:20" s="62" customFormat="1" ht="23.4">
      <c r="A16" s="61">
        <v>9</v>
      </c>
      <c r="B16" s="64">
        <f>COUNTIFS(เรื่องร้องเรียน!AO:AO,"9",เรื่องร้องเรียน!E:E,"&lt;5")</f>
        <v>0</v>
      </c>
      <c r="C16" s="45">
        <f>COUNTIFS(เรื่องร้องเรียน!AO:AO,"9",เรื่องร้องเรียน!E:E,"&lt;5",เรื่องร้องเรียน!CL:CL,"1")</f>
        <v>0</v>
      </c>
      <c r="D16" s="45">
        <f>COUNTIFS(เรื่องร้องเรียน!AO:AO,"9",เรื่องร้องเรียน!E:E,"&lt;5",เรื่องร้องเรียน!AN:AN,"")</f>
        <v>0</v>
      </c>
      <c r="E16" s="46">
        <f t="shared" si="1"/>
        <v>0</v>
      </c>
      <c r="F16" s="64">
        <f>COUNTIFS(เรื่องร้องเรียน!AO:AO,"9",เรื่องร้องเรียน!E:E,"&lt;5",เรื่องร้องเรียน!AQ:AQ,"1",เรื่องร้องเรียน!AR:AR,"1",เรื่องร้องเรียน!CL:CL,"")</f>
        <v>0</v>
      </c>
      <c r="G16" s="45">
        <f>COUNTIFS(เรื่องร้องเรียน!AO:AO,"9",เรื่องร้องเรียน!E:E,"&lt;5",เรื่องร้องเรียน!AQ:AQ,"1",เรื่องร้องเรียน!AS:AS,"1",เรื่องร้องเรียน!CL:CL,"")</f>
        <v>0</v>
      </c>
      <c r="H16" s="45">
        <f>COUNTIFS(เรื่องร้องเรียน!AO:AO,"9",เรื่องร้องเรียน!E:E,"&lt;5",เรื่องร้องเรียน!AQ:AQ,"1",เรื่องร้องเรียน!AT:AT,"1",เรื่องร้องเรียน!CL:CL,"")</f>
        <v>0</v>
      </c>
      <c r="I16" s="45">
        <f t="shared" si="3"/>
        <v>0</v>
      </c>
      <c r="J16" s="48" t="e">
        <f t="shared" si="4"/>
        <v>#DIV/0!</v>
      </c>
      <c r="K16" s="44">
        <f>COUNTIFS(เรื่องร้องเรียน!AO:AO,"9",เรื่องร้องเรียน!E:E,"&lt;5",เรื่องร้องเรียน!AQ:AQ,"1",เรื่องร้องเรียน!AR:AR,"1",เรื่องร้องเรียน!AV:AV,"1",เรื่องร้องเรียน!CL:CL,"")</f>
        <v>0</v>
      </c>
      <c r="L16" s="45">
        <f>COUNTIFS(เรื่องร้องเรียน!AO:AO,"9",เรื่องร้องเรียน!E:E,"&lt;5",เรื่องร้องเรียน!AQ:AQ,"1",เรื่องร้องเรียน!AR:AR,"1",เรื่องร้องเรียน!AW:AW,"1",เรื่องร้องเรียน!CL:CL,"")</f>
        <v>0</v>
      </c>
      <c r="M16" s="45">
        <f>COUNTIFS(เรื่องร้องเรียน!AO:AO,"9",เรื่องร้องเรียน!E:E,"&lt;5",เรื่องร้องเรียน!AQ:AQ,"1",เรื่องร้องเรียน!AR:AR,"1",เรื่องร้องเรียน!AX:AX,"1",เรื่องร้องเรียน!CL:CL,"")</f>
        <v>0</v>
      </c>
      <c r="N16" s="45">
        <f>COUNTIFS(เรื่องร้องเรียน!AO:AO,"9",เรื่องร้องเรียน!E:E,"&lt;5",เรื่องร้องเรียน!AQ:AQ,"1",เรื่องร้องเรียน!AR:AR,"1",เรื่องร้องเรียน!AY:AY,"1",เรื่องร้องเรียน!CL:CL,"")</f>
        <v>0</v>
      </c>
      <c r="O16" s="45">
        <f>COUNTIFS(เรื่องร้องเรียน!AO:AO,"9",เรื่องร้องเรียน!E:E,"&lt;5",เรื่องร้องเรียน!AQ:AQ,"1",เรื่องร้องเรียน!AR:AR,"1",เรื่องร้องเรียน!AZ:AZ,"1",เรื่องร้องเรียน!CL:CL,"")</f>
        <v>0</v>
      </c>
      <c r="P16" s="279">
        <f t="shared" si="2"/>
        <v>0</v>
      </c>
    </row>
    <row r="17" spans="1:16" s="62" customFormat="1" ht="23.4">
      <c r="A17" s="65" t="s">
        <v>20</v>
      </c>
      <c r="B17" s="66">
        <f>COUNTIFS(เรื่องร้องเรียน!AO:AO,"&gt;=1",เรื่องร้องเรียน!E:E,"5")</f>
        <v>0</v>
      </c>
      <c r="C17" s="67">
        <f>COUNTIFS(เรื่องร้องเรียน!AO:AO,"&gt;=1",เรื่องร้องเรียน!E:E,"5",เรื่องร้องเรียน!CL:CL,"1")</f>
        <v>0</v>
      </c>
      <c r="D17" s="67">
        <f>COUNTIFS(เรื่องร้องเรียน!AO:AO,"&gt;=1",เรื่องร้องเรียน!E:E,"5",เรื่องร้องเรียน!AN:AN,"")</f>
        <v>0</v>
      </c>
      <c r="E17" s="68">
        <f t="shared" si="1"/>
        <v>0</v>
      </c>
      <c r="F17" s="66">
        <f>COUNTIFS(เรื่องร้องเรียน!AO:AO,"&gt;=1",เรื่องร้องเรียน!E:E,"5",เรื่องร้องเรียน!AQ:AQ,"1",เรื่องร้องเรียน!AR:AR,"1",เรื่องร้องเรียน!CL:CL,"")</f>
        <v>0</v>
      </c>
      <c r="G17" s="67">
        <f>COUNTIFS(เรื่องร้องเรียน!AO:AO,"&gt;=1",เรื่องร้องเรียน!E:E,"5",เรื่องร้องเรียน!AQ:AQ,"1",เรื่องร้องเรียน!AS:AS,"1",เรื่องร้องเรียน!CL:CL,"")</f>
        <v>0</v>
      </c>
      <c r="H17" s="67">
        <f>COUNTIFS(เรื่องร้องเรียน!AO:AO,"&gt;=1",เรื่องร้องเรียน!E:E,"5",เรื่องร้องเรียน!AQ:AQ,"1",เรื่องร้องเรียน!AT:AT,"1",เรื่องร้องเรียน!CL:CL,"")</f>
        <v>0</v>
      </c>
      <c r="I17" s="67">
        <f t="shared" si="3"/>
        <v>0</v>
      </c>
      <c r="J17" s="69" t="e">
        <f t="shared" si="4"/>
        <v>#DIV/0!</v>
      </c>
      <c r="K17" s="70">
        <f>COUNTIFS(เรื่องร้องเรียน!AO:AO,"&gt;=1",เรื่องร้องเรียน!E:E,"5",เรื่องร้องเรียน!AQ:AQ,"1",เรื่องร้องเรียน!AR:AR,"1",เรื่องร้องเรียน!AV:AV,"1",เรื่องร้องเรียน!CL:CL,"")</f>
        <v>0</v>
      </c>
      <c r="L17" s="67">
        <f>COUNTIFS(เรื่องร้องเรียน!AO:AO,"&gt;=1",เรื่องร้องเรียน!E:E,"5",เรื่องร้องเรียน!AQ:AQ,"1",เรื่องร้องเรียน!AR:AR,"1",เรื่องร้องเรียน!AW:AW,"1",เรื่องร้องเรียน!CL:CL,"")</f>
        <v>0</v>
      </c>
      <c r="M17" s="67">
        <f>COUNTIFS(เรื่องร้องเรียน!AO:AO,"&gt;=1",เรื่องร้องเรียน!E:E,"5",เรื่องร้องเรียน!AQ:AQ,"1",เรื่องร้องเรียน!AR:AR,"1",เรื่องร้องเรียน!AX:AX,"1",เรื่องร้องเรียน!CL:CL,"")</f>
        <v>0</v>
      </c>
      <c r="N17" s="67">
        <f>COUNTIFS(เรื่องร้องเรียน!AO:AO,"&gt;=1",เรื่องร้องเรียน!E:E,"5",เรื่องร้องเรียน!AQ:AQ,"1",เรื่องร้องเรียน!AR:AR,"1",เรื่องร้องเรียน!AY:AY,"1",เรื่องร้องเรียน!CL:CL,"")</f>
        <v>0</v>
      </c>
      <c r="O17" s="67">
        <f>COUNTIFS(เรื่องร้องเรียน!AO:AO,"&gt;=1",เรื่องร้องเรียน!E:E,"5",เรื่องร้องเรียน!AQ:AQ,"1",เรื่องร้องเรียน!AR:AR,"1",เรื่องร้องเรียน!AZ:AZ,"1",เรื่องร้องเรียน!CL:CL,"")</f>
        <v>0</v>
      </c>
      <c r="P17" s="280">
        <f t="shared" si="2"/>
        <v>0</v>
      </c>
    </row>
    <row r="18" spans="1:16" s="42" customFormat="1" ht="23.4"/>
    <row r="19" spans="1:16" ht="23.4">
      <c r="J19" s="690"/>
      <c r="K19" s="690"/>
      <c r="L19" s="690"/>
      <c r="M19" s="690"/>
      <c r="N19" s="690"/>
      <c r="O19" s="690"/>
      <c r="P19" s="690"/>
    </row>
    <row r="20" spans="1:16" ht="23.4">
      <c r="J20" s="680"/>
      <c r="K20" s="680"/>
      <c r="L20" s="680"/>
      <c r="M20" s="680"/>
      <c r="N20" s="680"/>
      <c r="O20" s="680"/>
      <c r="P20" s="680"/>
    </row>
    <row r="23" spans="1:16">
      <c r="I23" s="10" t="s">
        <v>158</v>
      </c>
    </row>
    <row r="1430" spans="28:28">
      <c r="AB1430" s="41" t="s">
        <v>102</v>
      </c>
    </row>
  </sheetData>
  <mergeCells count="22">
    <mergeCell ref="A1:P1"/>
    <mergeCell ref="A2:P2"/>
    <mergeCell ref="A3:A6"/>
    <mergeCell ref="B3:E3"/>
    <mergeCell ref="F3:P3"/>
    <mergeCell ref="B4:B6"/>
    <mergeCell ref="C4:C6"/>
    <mergeCell ref="E4:E6"/>
    <mergeCell ref="F4:J4"/>
    <mergeCell ref="K4:P4"/>
    <mergeCell ref="J20:P20"/>
    <mergeCell ref="F5:F6"/>
    <mergeCell ref="G5:G6"/>
    <mergeCell ref="H5:H6"/>
    <mergeCell ref="I5:J5"/>
    <mergeCell ref="K5:K6"/>
    <mergeCell ref="L5:L6"/>
    <mergeCell ref="M5:M6"/>
    <mergeCell ref="N5:N6"/>
    <mergeCell ref="O5:O6"/>
    <mergeCell ref="P5:P6"/>
    <mergeCell ref="J19:P19"/>
  </mergeCells>
  <printOptions verticalCentered="1"/>
  <pageMargins left="0.24" right="0.118110236220472" top="0.49" bottom="3.14" header="0.47244094488188998" footer="0.31496062992126"/>
  <pageSetup paperSize="9" scale="75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FF75"/>
  </sheetPr>
  <dimension ref="A1:AB1430"/>
  <sheetViews>
    <sheetView zoomScale="80" zoomScaleNormal="80" workbookViewId="0">
      <selection activeCell="E9" sqref="E9"/>
    </sheetView>
  </sheetViews>
  <sheetFormatPr defaultColWidth="9" defaultRowHeight="21"/>
  <cols>
    <col min="1" max="1" width="8.21875" style="10" customWidth="1"/>
    <col min="2" max="2" width="6.88671875" style="10" customWidth="1"/>
    <col min="3" max="3" width="6.33203125" style="10" customWidth="1"/>
    <col min="4" max="4" width="12.6640625" style="10" hidden="1" customWidth="1"/>
    <col min="5" max="5" width="7.33203125" style="10" customWidth="1"/>
    <col min="6" max="7" width="10.77734375" style="10" customWidth="1"/>
    <col min="8" max="8" width="11.33203125" style="10" customWidth="1"/>
    <col min="9" max="10" width="10.77734375" style="10" customWidth="1"/>
    <col min="11" max="16" width="8.33203125" style="10" customWidth="1"/>
    <col min="17" max="16384" width="9" style="10"/>
  </cols>
  <sheetData>
    <row r="1" spans="1:18" ht="25.8">
      <c r="A1" s="691" t="s">
        <v>261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</row>
    <row r="2" spans="1:18" ht="26.4" thickBot="1">
      <c r="A2" s="692" t="s">
        <v>144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</row>
    <row r="3" spans="1:18" ht="23.4">
      <c r="A3" s="693" t="s">
        <v>27</v>
      </c>
      <c r="B3" s="696" t="s">
        <v>145</v>
      </c>
      <c r="C3" s="697"/>
      <c r="D3" s="697"/>
      <c r="E3" s="698"/>
      <c r="F3" s="696" t="s">
        <v>146</v>
      </c>
      <c r="G3" s="697"/>
      <c r="H3" s="697"/>
      <c r="I3" s="697"/>
      <c r="J3" s="697"/>
      <c r="K3" s="697"/>
      <c r="L3" s="697"/>
      <c r="M3" s="697"/>
      <c r="N3" s="697"/>
      <c r="O3" s="699"/>
      <c r="P3" s="699"/>
    </row>
    <row r="4" spans="1:18" ht="23.4">
      <c r="A4" s="694"/>
      <c r="B4" s="700" t="s">
        <v>147</v>
      </c>
      <c r="C4" s="683" t="s">
        <v>219</v>
      </c>
      <c r="D4" s="374" t="s">
        <v>148</v>
      </c>
      <c r="E4" s="714" t="s">
        <v>226</v>
      </c>
      <c r="F4" s="709" t="s">
        <v>149</v>
      </c>
      <c r="G4" s="685"/>
      <c r="H4" s="685"/>
      <c r="I4" s="685"/>
      <c r="J4" s="685"/>
      <c r="K4" s="685" t="s">
        <v>150</v>
      </c>
      <c r="L4" s="685"/>
      <c r="M4" s="685"/>
      <c r="N4" s="685"/>
      <c r="O4" s="710"/>
      <c r="P4" s="710"/>
    </row>
    <row r="5" spans="1:18" ht="46.5" customHeight="1">
      <c r="A5" s="694"/>
      <c r="B5" s="701"/>
      <c r="C5" s="713"/>
      <c r="D5" s="375"/>
      <c r="E5" s="715"/>
      <c r="F5" s="681" t="s">
        <v>53</v>
      </c>
      <c r="G5" s="683" t="s">
        <v>54</v>
      </c>
      <c r="H5" s="683" t="s">
        <v>151</v>
      </c>
      <c r="I5" s="685" t="s">
        <v>152</v>
      </c>
      <c r="J5" s="685"/>
      <c r="K5" s="686" t="s">
        <v>56</v>
      </c>
      <c r="L5" s="686" t="s">
        <v>57</v>
      </c>
      <c r="M5" s="686" t="s">
        <v>58</v>
      </c>
      <c r="N5" s="683" t="s">
        <v>153</v>
      </c>
      <c r="O5" s="683" t="s">
        <v>60</v>
      </c>
      <c r="P5" s="711" t="s">
        <v>154</v>
      </c>
    </row>
    <row r="6" spans="1:18" ht="24" thickBot="1">
      <c r="A6" s="695"/>
      <c r="B6" s="702"/>
      <c r="C6" s="684"/>
      <c r="D6" s="376"/>
      <c r="E6" s="716"/>
      <c r="F6" s="682"/>
      <c r="G6" s="684"/>
      <c r="H6" s="684"/>
      <c r="I6" s="377" t="s">
        <v>4</v>
      </c>
      <c r="J6" s="377" t="s">
        <v>155</v>
      </c>
      <c r="K6" s="687"/>
      <c r="L6" s="687"/>
      <c r="M6" s="687"/>
      <c r="N6" s="684"/>
      <c r="O6" s="684"/>
      <c r="P6" s="712"/>
    </row>
    <row r="7" spans="1:18" ht="24" thickBot="1">
      <c r="A7" s="11" t="s">
        <v>152</v>
      </c>
      <c r="B7" s="12">
        <f t="shared" ref="B7:I7" si="0">SUM(B8:B12)</f>
        <v>0</v>
      </c>
      <c r="C7" s="13">
        <f t="shared" si="0"/>
        <v>0</v>
      </c>
      <c r="D7" s="13">
        <f t="shared" si="0"/>
        <v>0</v>
      </c>
      <c r="E7" s="14">
        <f t="shared" si="0"/>
        <v>0</v>
      </c>
      <c r="F7" s="15">
        <f t="shared" si="0"/>
        <v>0</v>
      </c>
      <c r="G7" s="16">
        <f t="shared" si="0"/>
        <v>0</v>
      </c>
      <c r="H7" s="16">
        <f t="shared" si="0"/>
        <v>0</v>
      </c>
      <c r="I7" s="16">
        <f t="shared" si="0"/>
        <v>0</v>
      </c>
      <c r="J7" s="17" t="e">
        <f t="shared" ref="J7:J12" si="1">I7*100/E7</f>
        <v>#DIV/0!</v>
      </c>
      <c r="K7" s="15">
        <f>SUM(K8:K12)</f>
        <v>0</v>
      </c>
      <c r="L7" s="16">
        <f>SUM(L8:L12)</f>
        <v>0</v>
      </c>
      <c r="M7" s="16">
        <f>SUM(M8:M12)</f>
        <v>0</v>
      </c>
      <c r="N7" s="13">
        <f>SUM(N8:N12)</f>
        <v>0</v>
      </c>
      <c r="O7" s="13">
        <f>SUM(O8:O12)</f>
        <v>0</v>
      </c>
      <c r="P7" s="18">
        <f t="shared" ref="P7:P12" si="2">SUM(E7-I7)</f>
        <v>0</v>
      </c>
      <c r="R7" s="19"/>
    </row>
    <row r="8" spans="1:18" ht="23.4">
      <c r="A8" s="20">
        <v>1</v>
      </c>
      <c r="B8" s="21">
        <f>COUNTIF(เรื่องร้องเรียน!E:E,"1")</f>
        <v>0</v>
      </c>
      <c r="C8" s="22">
        <f>COUNTIFS(เรื่องร้องเรียน!E:E,"1",เรื่องร้องเรียน!CL:CL,"1")</f>
        <v>0</v>
      </c>
      <c r="D8" s="22">
        <f>COUNTIFS(เรื่องร้องเรียน!E:E,"1",เรื่องร้องเรียน!AN:AN,"")</f>
        <v>0</v>
      </c>
      <c r="E8" s="23">
        <f>B8-C8-D8</f>
        <v>0</v>
      </c>
      <c r="F8" s="21">
        <f>COUNTIFS(เรื่องร้องเรียน!E:E,"1",เรื่องร้องเรียน!AQ:AQ,"1",เรื่องร้องเรียน!AR:AR,"1",เรื่องร้องเรียน!CL:CL,"")</f>
        <v>0</v>
      </c>
      <c r="G8" s="22">
        <f>COUNTIFS(เรื่องร้องเรียน!E:E,"1",เรื่องร้องเรียน!AQ:AQ,"1",เรื่องร้องเรียน!AS:AS,"1",เรื่องร้องเรียน!CL:CL,"")</f>
        <v>0</v>
      </c>
      <c r="H8" s="22">
        <f>COUNTIFS(เรื่องร้องเรียน!E:E,"1",เรื่องร้องเรียน!AQ:AQ,"1",เรื่องร้องเรียน!AT:AT,"1",เรื่องร้องเรียน!CL:CL,"")</f>
        <v>0</v>
      </c>
      <c r="I8" s="22">
        <f>SUM(F8:H8)</f>
        <v>0</v>
      </c>
      <c r="J8" s="24" t="e">
        <f t="shared" si="1"/>
        <v>#DIV/0!</v>
      </c>
      <c r="K8" s="21">
        <f>COUNTIFS(เรื่องร้องเรียน!E:E,"1",เรื่องร้องเรียน!AQ:AQ,"1",เรื่องร้องเรียน!AR:AR,"1",เรื่องร้องเรียน!AV:AV,"1",เรื่องร้องเรียน!CL:CL,"")</f>
        <v>0</v>
      </c>
      <c r="L8" s="22">
        <f>COUNTIFS(เรื่องร้องเรียน!E:E,"1",เรื่องร้องเรียน!AQ:AQ,"1",เรื่องร้องเรียน!AR:AR,"1",เรื่องร้องเรียน!AW:AW,"1",เรื่องร้องเรียน!CL:CL,"")</f>
        <v>0</v>
      </c>
      <c r="M8" s="22">
        <f>COUNTIFS(เรื่องร้องเรียน!E:E,"1",เรื่องร้องเรียน!AQ:AQ,"1",เรื่องร้องเรียน!AR:AR,"1",เรื่องร้องเรียน!AX:AX,"1",เรื่องร้องเรียน!CL:CL,"")</f>
        <v>0</v>
      </c>
      <c r="N8" s="22">
        <f>COUNTIFS(เรื่องร้องเรียน!E:E,"1",เรื่องร้องเรียน!AQ:AQ,"1",เรื่องร้องเรียน!AR:AR,"1",เรื่องร้องเรียน!AY:AY,"1",เรื่องร้องเรียน!CL:CL,"")</f>
        <v>0</v>
      </c>
      <c r="O8" s="22">
        <f>COUNTIFS(เรื่องร้องเรียน!E:E,"1",เรื่องร้องเรียน!AQ:AQ,"1",เรื่องร้องเรียน!AR:AR,"1",เรื่องร้องเรียน!AZ:AZ,"1",เรื่องร้องเรียน!CL:CL,"")</f>
        <v>0</v>
      </c>
      <c r="P8" s="25">
        <f t="shared" si="2"/>
        <v>0</v>
      </c>
      <c r="R8" s="19"/>
    </row>
    <row r="9" spans="1:18" ht="23.4">
      <c r="A9" s="26">
        <v>2</v>
      </c>
      <c r="B9" s="27">
        <f>COUNTIF(เรื่องร้องเรียน!E:E,"2")</f>
        <v>0</v>
      </c>
      <c r="C9" s="28">
        <f>COUNTIFS(เรื่องร้องเรียน!E:E,"2",เรื่องร้องเรียน!CL:CL,"1")</f>
        <v>0</v>
      </c>
      <c r="D9" s="28">
        <f>COUNTIFS(เรื่องร้องเรียน!E:E,"2",เรื่องร้องเรียน!AN:AN,"")</f>
        <v>0</v>
      </c>
      <c r="E9" s="29">
        <f>B9-C9-D9</f>
        <v>0</v>
      </c>
      <c r="F9" s="27">
        <f>COUNTIFS(เรื่องร้องเรียน!E:E,"2",เรื่องร้องเรียน!AQ:AQ,"1",เรื่องร้องเรียน!AR:AR,"1",เรื่องร้องเรียน!CL:CL,"")</f>
        <v>0</v>
      </c>
      <c r="G9" s="28">
        <f>COUNTIFS(เรื่องร้องเรียน!E:E,"2",เรื่องร้องเรียน!AQ:AQ,"1",เรื่องร้องเรียน!AS:AS,"1",เรื่องร้องเรียน!CL:CL,"")</f>
        <v>0</v>
      </c>
      <c r="H9" s="28">
        <f>COUNTIFS(เรื่องร้องเรียน!E:E,"2",เรื่องร้องเรียน!AQ:AQ,"1",เรื่องร้องเรียน!AT:AT,"1",เรื่องร้องเรียน!CL:CL,"")</f>
        <v>0</v>
      </c>
      <c r="I9" s="28">
        <f>SUM(F9:H9)</f>
        <v>0</v>
      </c>
      <c r="J9" s="30" t="e">
        <f t="shared" si="1"/>
        <v>#DIV/0!</v>
      </c>
      <c r="K9" s="27">
        <f>COUNTIFS(เรื่องร้องเรียน!E:E,"2",เรื่องร้องเรียน!AQ:AQ,"1",เรื่องร้องเรียน!AR:AR,"1",เรื่องร้องเรียน!AV:AV,"1",เรื่องร้องเรียน!CL:CL,"")</f>
        <v>0</v>
      </c>
      <c r="L9" s="28">
        <f>COUNTIFS(เรื่องร้องเรียน!E:E,"2",เรื่องร้องเรียน!AQ:AQ,"1",เรื่องร้องเรียน!AR:AR,"1",เรื่องร้องเรียน!AW:AW,"1",เรื่องร้องเรียน!CL:CL,"")</f>
        <v>0</v>
      </c>
      <c r="M9" s="28">
        <f>COUNTIFS(เรื่องร้องเรียน!E:E,"2",เรื่องร้องเรียน!AQ:AQ,"1",เรื่องร้องเรียน!AR:AR,"1",เรื่องร้องเรียน!AX:AX,"1",เรื่องร้องเรียน!CL:CL,"")</f>
        <v>0</v>
      </c>
      <c r="N9" s="28">
        <f>COUNTIFS(เรื่องร้องเรียน!E:E,"2",เรื่องร้องเรียน!AQ:AQ,"1",เรื่องร้องเรียน!AR:AR,"1",เรื่องร้องเรียน!AY:AY,"1",เรื่องร้องเรียน!CL:CL,"")</f>
        <v>0</v>
      </c>
      <c r="O9" s="22">
        <f>COUNTIFS(เรื่องร้องเรียน!E:E,"2",เรื่องร้องเรียน!AQ:AQ,"1",เรื่องร้องเรียน!AR:AR,"1",เรื่องร้องเรียน!AZ:AZ,"1",เรื่องร้องเรียน!CL:CL,"")</f>
        <v>0</v>
      </c>
      <c r="P9" s="31">
        <f t="shared" si="2"/>
        <v>0</v>
      </c>
      <c r="R9" s="19"/>
    </row>
    <row r="10" spans="1:18" ht="23.4">
      <c r="A10" s="26">
        <v>3</v>
      </c>
      <c r="B10" s="27">
        <f>COUNTIF(เรื่องร้องเรียน!E:E,"3")</f>
        <v>0</v>
      </c>
      <c r="C10" s="28">
        <f>COUNTIFS(เรื่องร้องเรียน!E:E,"3",เรื่องร้องเรียน!CL:CL,"1")</f>
        <v>0</v>
      </c>
      <c r="D10" s="28">
        <f>COUNTIFS(เรื่องร้องเรียน!E:E,"3",เรื่องร้องเรียน!AN:AN,"")</f>
        <v>0</v>
      </c>
      <c r="E10" s="29">
        <f>B10-C10-D10</f>
        <v>0</v>
      </c>
      <c r="F10" s="27">
        <f>COUNTIFS(เรื่องร้องเรียน!E:E,"3",เรื่องร้องเรียน!AQ:AQ,"1",เรื่องร้องเรียน!AR:AR,"1",เรื่องร้องเรียน!CL:CL,"")</f>
        <v>0</v>
      </c>
      <c r="G10" s="28">
        <f>COUNTIFS(เรื่องร้องเรียน!E:E,"3",เรื่องร้องเรียน!AQ:AQ,"1",เรื่องร้องเรียน!AS:AS,"1",เรื่องร้องเรียน!CL:CL,"")</f>
        <v>0</v>
      </c>
      <c r="H10" s="28">
        <f>COUNTIFS(เรื่องร้องเรียน!E:E,"3",เรื่องร้องเรียน!AQ:AQ,"1",เรื่องร้องเรียน!AT:AT,"1",เรื่องร้องเรียน!CL:CL,"")</f>
        <v>0</v>
      </c>
      <c r="I10" s="28">
        <f>SUM(F10:H10)</f>
        <v>0</v>
      </c>
      <c r="J10" s="30" t="e">
        <f t="shared" si="1"/>
        <v>#DIV/0!</v>
      </c>
      <c r="K10" s="27">
        <f>COUNTIFS(เรื่องร้องเรียน!E:E,"3",เรื่องร้องเรียน!AQ:AQ,"1",เรื่องร้องเรียน!AR:AR,"1",เรื่องร้องเรียน!AV:AV,"1",เรื่องร้องเรียน!CL:CL,"")</f>
        <v>0</v>
      </c>
      <c r="L10" s="28">
        <f>COUNTIFS(เรื่องร้องเรียน!E:E,"3",เรื่องร้องเรียน!AQ:AQ,"1",เรื่องร้องเรียน!AR:AR,"1",เรื่องร้องเรียน!AW:AW,"1",เรื่องร้องเรียน!CL:CL,"")</f>
        <v>0</v>
      </c>
      <c r="M10" s="28">
        <f>COUNTIFS(เรื่องร้องเรียน!E:E,"3",เรื่องร้องเรียน!AQ:AQ,"1",เรื่องร้องเรียน!AR:AR,"1",เรื่องร้องเรียน!AX:AX,"1",เรื่องร้องเรียน!CL:CL,"")</f>
        <v>0</v>
      </c>
      <c r="N10" s="28">
        <f>COUNTIFS(เรื่องร้องเรียน!E:E,"3",เรื่องร้องเรียน!AQ:AQ,"1",เรื่องร้องเรียน!AR:AR,"1",เรื่องร้องเรียน!AY:AY,"1",เรื่องร้องเรียน!CL:CL,"")</f>
        <v>0</v>
      </c>
      <c r="O10" s="22">
        <f>COUNTIFS(เรื่องร้องเรียน!E:E,"3",เรื่องร้องเรียน!AQ:AQ,"1",เรื่องร้องเรียน!AR:AR,"1",เรื่องร้องเรียน!AZ:AZ,"1",เรื่องร้องเรียน!CL:CL,"")</f>
        <v>0</v>
      </c>
      <c r="P10" s="31">
        <f t="shared" si="2"/>
        <v>0</v>
      </c>
      <c r="R10" s="19"/>
    </row>
    <row r="11" spans="1:18" ht="23.4">
      <c r="A11" s="26">
        <v>4</v>
      </c>
      <c r="B11" s="21">
        <f>COUNTIF(เรื่องร้องเรียน!E:E,"4")</f>
        <v>0</v>
      </c>
      <c r="C11" s="22">
        <f>COUNTIFS(เรื่องร้องเรียน!E:E,"4",เรื่องร้องเรียน!CL:CL,"1")</f>
        <v>0</v>
      </c>
      <c r="D11" s="22">
        <f>COUNTIFS(เรื่องร้องเรียน!E:E,"4",เรื่องร้องเรียน!AN:AN,"")</f>
        <v>0</v>
      </c>
      <c r="E11" s="23">
        <f>B11-C11-D11</f>
        <v>0</v>
      </c>
      <c r="F11" s="21">
        <f>COUNTIFS(เรื่องร้องเรียน!E:E,"4",เรื่องร้องเรียน!AQ:AQ,"1",เรื่องร้องเรียน!AR:AR,"1",เรื่องร้องเรียน!CL:CL,"")</f>
        <v>0</v>
      </c>
      <c r="G11" s="22">
        <f>COUNTIFS(เรื่องร้องเรียน!E:E,"4",เรื่องร้องเรียน!AQ:AQ,"1",เรื่องร้องเรียน!AS:AS,"1",เรื่องร้องเรียน!CL:CL,"")</f>
        <v>0</v>
      </c>
      <c r="H11" s="22">
        <f>COUNTIFS(เรื่องร้องเรียน!E:E,"4",เรื่องร้องเรียน!AQ:AQ,"1",เรื่องร้องเรียน!AT:AT,"1",เรื่องร้องเรียน!CL:CL,"")</f>
        <v>0</v>
      </c>
      <c r="I11" s="22">
        <f>SUM(F11:H11)</f>
        <v>0</v>
      </c>
      <c r="J11" s="24" t="e">
        <f t="shared" si="1"/>
        <v>#DIV/0!</v>
      </c>
      <c r="K11" s="21">
        <f>COUNTIFS(เรื่องร้องเรียน!E:E,"4",เรื่องร้องเรียน!AQ:AQ,"1",เรื่องร้องเรียน!AR:AR,"1",เรื่องร้องเรียน!AV:AV,"1",เรื่องร้องเรียน!CL:CL,"")</f>
        <v>0</v>
      </c>
      <c r="L11" s="22">
        <f>COUNTIFS(เรื่องร้องเรียน!E:E,"4",เรื่องร้องเรียน!AQ:AQ,"1",เรื่องร้องเรียน!AR:AR,"1",เรื่องร้องเรียน!AW:AW,"1",เรื่องร้องเรียน!CL:CL,"")</f>
        <v>0</v>
      </c>
      <c r="M11" s="25">
        <f>COUNTIFS(เรื่องร้องเรียน!E:E,"4",เรื่องร้องเรียน!AQ:AQ,"1",เรื่องร้องเรียน!AR:AR,"1",เรื่องร้องเรียน!AX:AX,"1",เรื่องร้องเรียน!CL:CL,"")</f>
        <v>0</v>
      </c>
      <c r="N11" s="28">
        <f>COUNTIFS(เรื่องร้องเรียน!E:E,"4",เรื่องร้องเรียน!AQ:AQ,"1",เรื่องร้องเรียน!AR:AR,"1",เรื่องร้องเรียน!AY:AY,"1",เรื่องร้องเรียน!CL:CL,"")</f>
        <v>0</v>
      </c>
      <c r="O11" s="22">
        <f>COUNTIFS(เรื่องร้องเรียน!E:E,"4",เรื่องร้องเรียน!AQ:AQ,"1",เรื่องร้องเรียน!AR:AR,"1",เรื่องร้องเรียน!AZ:AZ,"1",เรื่องร้องเรียน!CL:CL,"")</f>
        <v>0</v>
      </c>
      <c r="P11" s="31">
        <f t="shared" si="2"/>
        <v>0</v>
      </c>
      <c r="R11" s="19"/>
    </row>
    <row r="12" spans="1:18" s="39" customFormat="1" ht="23.4">
      <c r="A12" s="32">
        <v>5</v>
      </c>
      <c r="B12" s="33">
        <f>COUNTIF(เรื่องร้องเรียน!E:E,"5")</f>
        <v>0</v>
      </c>
      <c r="C12" s="34">
        <f>COUNTIFS(เรื่องร้องเรียน!E:E,"5",เรื่องร้องเรียน!CL:CL,"1")</f>
        <v>0</v>
      </c>
      <c r="D12" s="34">
        <f>COUNTIFS(เรื่องร้องเรียน!E:E,"5",เรื่องร้องเรียน!AN:AN,"")</f>
        <v>0</v>
      </c>
      <c r="E12" s="35">
        <f>B12-C12-D12</f>
        <v>0</v>
      </c>
      <c r="F12" s="33">
        <f>COUNTIFS(เรื่องร้องเรียน!E:E,"5",เรื่องร้องเรียน!AQ:AQ,"1",เรื่องร้องเรียน!AR:AR,"1",เรื่องร้องเรียน!CL:CL,"")</f>
        <v>0</v>
      </c>
      <c r="G12" s="34">
        <f>COUNTIFS(เรื่องร้องเรียน!E:E,"5",เรื่องร้องเรียน!AQ:AQ,"1",เรื่องร้องเรียน!AS:AS,"1",เรื่องร้องเรียน!CL:CL,"")</f>
        <v>0</v>
      </c>
      <c r="H12" s="34">
        <f>COUNTIFS(เรื่องร้องเรียน!E:E,"5",เรื่องร้องเรียน!AQ:AQ,"1",เรื่องร้องเรียน!AT:AT,"1",เรื่องร้องเรียน!CL:CL,"")</f>
        <v>0</v>
      </c>
      <c r="I12" s="34">
        <f>SUM(F12:H12)</f>
        <v>0</v>
      </c>
      <c r="J12" s="36" t="e">
        <f t="shared" si="1"/>
        <v>#DIV/0!</v>
      </c>
      <c r="K12" s="33">
        <f>COUNTIFS(เรื่องร้องเรียน!E:E,"5",เรื่องร้องเรียน!AQ:AQ,"1",เรื่องร้องเรียน!AR:AR,"1",เรื่องร้องเรียน!AV:AV,"1",เรื่องร้องเรียน!CL:CL,"")</f>
        <v>0</v>
      </c>
      <c r="L12" s="34">
        <f>COUNTIFS(เรื่องร้องเรียน!E:E,"5",เรื่องร้องเรียน!AQ:AQ,"1",เรื่องร้องเรียน!AR:AR,"1",เรื่องร้องเรียน!AW:AW,"1",เรื่องร้องเรียน!CL:CL,"")</f>
        <v>0</v>
      </c>
      <c r="M12" s="37">
        <f>COUNTIFS(เรื่องร้องเรียน!E:E,"5",เรื่องร้องเรียน!AQ:AQ,"1",เรื่องร้องเรียน!AR:AR,"1",เรื่องร้องเรียน!AX:AX,"1",เรื่องร้องเรียน!CL:CL,"")</f>
        <v>0</v>
      </c>
      <c r="N12" s="34">
        <f>COUNTIFS(เรื่องร้องเรียน!E:E,"5",เรื่องร้องเรียน!AQ:AQ,"1",เรื่องร้องเรียน!AR:AR,"1",เรื่องร้องเรียน!AY:AY,"1",เรื่องร้องเรียน!CL:CL,"")</f>
        <v>0</v>
      </c>
      <c r="O12" s="38">
        <f>COUNTIFS(เรื่องร้องเรียน!E:E,"5",เรื่องร้องเรียน!AQ:AQ,"1",เรื่องร้องเรียน!AR:AR,"1",เรื่องร้องเรียน!AZ:AZ,"1",เรื่องร้องเรียน!CL:CL,"")</f>
        <v>0</v>
      </c>
      <c r="P12" s="37">
        <f t="shared" si="2"/>
        <v>0</v>
      </c>
      <c r="R12" s="40"/>
    </row>
    <row r="14" spans="1:18" ht="23.4">
      <c r="J14" s="690"/>
      <c r="K14" s="690"/>
      <c r="L14" s="690"/>
      <c r="M14" s="690"/>
      <c r="N14" s="690"/>
      <c r="O14" s="690"/>
      <c r="P14" s="690"/>
    </row>
    <row r="15" spans="1:18" ht="23.4">
      <c r="J15" s="680"/>
      <c r="K15" s="680"/>
      <c r="L15" s="680"/>
      <c r="M15" s="680"/>
      <c r="N15" s="680"/>
      <c r="O15" s="680"/>
      <c r="P15" s="680"/>
    </row>
    <row r="1430" spans="28:28">
      <c r="AB1430" s="41" t="s">
        <v>102</v>
      </c>
    </row>
  </sheetData>
  <mergeCells count="22">
    <mergeCell ref="A1:P1"/>
    <mergeCell ref="A2:P2"/>
    <mergeCell ref="A3:A6"/>
    <mergeCell ref="B3:E3"/>
    <mergeCell ref="F3:P3"/>
    <mergeCell ref="B4:B6"/>
    <mergeCell ref="C4:C6"/>
    <mergeCell ref="E4:E6"/>
    <mergeCell ref="F4:J4"/>
    <mergeCell ref="K4:P4"/>
    <mergeCell ref="J15:P15"/>
    <mergeCell ref="F5:F6"/>
    <mergeCell ref="G5:G6"/>
    <mergeCell ref="H5:H6"/>
    <mergeCell ref="I5:J5"/>
    <mergeCell ref="K5:K6"/>
    <mergeCell ref="L5:L6"/>
    <mergeCell ref="M5:M6"/>
    <mergeCell ref="N5:N6"/>
    <mergeCell ref="O5:O6"/>
    <mergeCell ref="P5:P6"/>
    <mergeCell ref="J14:P14"/>
  </mergeCells>
  <pageMargins left="0.21" right="0.15748031496063" top="1.02362204724409" bottom="1.58" header="0.31496062992126" footer="1.25"/>
  <pageSetup paperSize="9" scale="75" orientation="portrait" r:id="rId1"/>
  <headerFooter>
    <oddFooter>&amp;L&amp;"TH SarabunPSK,Regular"&amp;10ที่มา : สำนักงาน ปปส.กทม.&amp;R&amp;"TH SarabunPSK,Regular"&amp;10ข้อมูล ณ วันที่ 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5FF75"/>
  </sheetPr>
  <dimension ref="A1:AA1478"/>
  <sheetViews>
    <sheetView zoomScale="90" zoomScaleNormal="90" workbookViewId="0">
      <pane ySplit="5" topLeftCell="A168" activePane="bottomLeft" state="frozen"/>
      <selection pane="bottomLeft" activeCell="O4" sqref="O4:O5"/>
    </sheetView>
  </sheetViews>
  <sheetFormatPr defaultColWidth="9" defaultRowHeight="21"/>
  <cols>
    <col min="1" max="1" width="15.21875" style="10" customWidth="1"/>
    <col min="2" max="2" width="14.33203125" style="10" customWidth="1"/>
    <col min="3" max="6" width="4.77734375" style="10" customWidth="1"/>
    <col min="7" max="7" width="6" style="10" customWidth="1"/>
    <col min="8" max="12" width="4.77734375" style="10" customWidth="1"/>
    <col min="13" max="13" width="6.33203125" style="10" customWidth="1"/>
    <col min="14" max="14" width="4.77734375" style="10" customWidth="1"/>
    <col min="15" max="20" width="6.6640625" style="10" customWidth="1"/>
    <col min="21" max="21" width="9" style="10" customWidth="1"/>
    <col min="22" max="22" width="11.33203125" style="10" customWidth="1"/>
    <col min="23" max="23" width="10.6640625" style="10" customWidth="1"/>
    <col min="24" max="16384" width="9" style="10"/>
  </cols>
  <sheetData>
    <row r="1" spans="1:25">
      <c r="A1" s="729" t="s">
        <v>270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</row>
    <row r="2" spans="1:25" ht="21.6" thickBot="1">
      <c r="A2" s="729" t="s">
        <v>200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</row>
    <row r="3" spans="1:25">
      <c r="A3" s="730" t="s">
        <v>35</v>
      </c>
      <c r="B3" s="733" t="s">
        <v>5</v>
      </c>
      <c r="C3" s="736" t="s">
        <v>145</v>
      </c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737"/>
      <c r="O3" s="738" t="s">
        <v>201</v>
      </c>
      <c r="P3" s="739"/>
      <c r="Q3" s="739"/>
      <c r="R3" s="739"/>
      <c r="S3" s="740"/>
      <c r="T3" s="740"/>
      <c r="U3" s="717" t="s">
        <v>161</v>
      </c>
      <c r="W3" s="720" t="s">
        <v>202</v>
      </c>
    </row>
    <row r="4" spans="1:25">
      <c r="A4" s="731"/>
      <c r="B4" s="734"/>
      <c r="C4" s="721" t="s">
        <v>162</v>
      </c>
      <c r="D4" s="721"/>
      <c r="E4" s="722" t="s">
        <v>163</v>
      </c>
      <c r="F4" s="721"/>
      <c r="G4" s="722" t="s">
        <v>164</v>
      </c>
      <c r="H4" s="721"/>
      <c r="I4" s="722" t="s">
        <v>165</v>
      </c>
      <c r="J4" s="721"/>
      <c r="K4" s="722" t="s">
        <v>166</v>
      </c>
      <c r="L4" s="723"/>
      <c r="M4" s="722" t="s">
        <v>152</v>
      </c>
      <c r="N4" s="724"/>
      <c r="O4" s="725" t="s">
        <v>162</v>
      </c>
      <c r="P4" s="727" t="s">
        <v>163</v>
      </c>
      <c r="Q4" s="727" t="s">
        <v>164</v>
      </c>
      <c r="R4" s="727" t="s">
        <v>165</v>
      </c>
      <c r="S4" s="727" t="s">
        <v>166</v>
      </c>
      <c r="T4" s="727" t="s">
        <v>152</v>
      </c>
      <c r="U4" s="718"/>
      <c r="W4" s="720"/>
    </row>
    <row r="5" spans="1:25" ht="21.6" thickBot="1">
      <c r="A5" s="732"/>
      <c r="B5" s="735"/>
      <c r="C5" s="380" t="s">
        <v>147</v>
      </c>
      <c r="D5" s="381" t="s">
        <v>11</v>
      </c>
      <c r="E5" s="381" t="s">
        <v>147</v>
      </c>
      <c r="F5" s="381" t="s">
        <v>11</v>
      </c>
      <c r="G5" s="381" t="s">
        <v>147</v>
      </c>
      <c r="H5" s="381" t="s">
        <v>11</v>
      </c>
      <c r="I5" s="381" t="s">
        <v>147</v>
      </c>
      <c r="J5" s="381" t="s">
        <v>11</v>
      </c>
      <c r="K5" s="381" t="s">
        <v>147</v>
      </c>
      <c r="L5" s="381" t="s">
        <v>11</v>
      </c>
      <c r="M5" s="381" t="s">
        <v>147</v>
      </c>
      <c r="N5" s="379" t="s">
        <v>11</v>
      </c>
      <c r="O5" s="726"/>
      <c r="P5" s="728"/>
      <c r="Q5" s="728"/>
      <c r="R5" s="728"/>
      <c r="S5" s="728"/>
      <c r="T5" s="728"/>
      <c r="U5" s="719"/>
      <c r="W5" s="720"/>
    </row>
    <row r="6" spans="1:25" s="71" customFormat="1" ht="21.6" thickBot="1">
      <c r="A6" s="72" t="s">
        <v>152</v>
      </c>
      <c r="B6" s="127"/>
      <c r="C6" s="77">
        <f t="shared" ref="C6:T6" si="0">SUM(C7,C15,C21,C27,C33,C42,C48,C51,C56,C64,C70,C76,C81,C88,C95,C99,C107,C115,C121,C125,C132,C137,C140,C147,C153,C158,C164,C168,C174,C181,C187,C191,C197,C203,C208,C213,C219,C225,C232,C237,C242,C248,C255,C259,C265,C270,C276,C280,C288,C293)</f>
        <v>0</v>
      </c>
      <c r="D6" s="75">
        <f t="shared" si="0"/>
        <v>0</v>
      </c>
      <c r="E6" s="75">
        <f t="shared" si="0"/>
        <v>0</v>
      </c>
      <c r="F6" s="75">
        <f t="shared" si="0"/>
        <v>0</v>
      </c>
      <c r="G6" s="75">
        <f t="shared" si="0"/>
        <v>0</v>
      </c>
      <c r="H6" s="75">
        <f t="shared" si="0"/>
        <v>0</v>
      </c>
      <c r="I6" s="75">
        <f t="shared" si="0"/>
        <v>0</v>
      </c>
      <c r="J6" s="75">
        <f t="shared" si="0"/>
        <v>0</v>
      </c>
      <c r="K6" s="75">
        <f t="shared" si="0"/>
        <v>0</v>
      </c>
      <c r="L6" s="75">
        <f t="shared" si="0"/>
        <v>0</v>
      </c>
      <c r="M6" s="75">
        <f t="shared" si="0"/>
        <v>0</v>
      </c>
      <c r="N6" s="85">
        <f t="shared" si="0"/>
        <v>0</v>
      </c>
      <c r="O6" s="77">
        <f t="shared" si="0"/>
        <v>0</v>
      </c>
      <c r="P6" s="75">
        <f t="shared" si="0"/>
        <v>0</v>
      </c>
      <c r="Q6" s="75">
        <f t="shared" si="0"/>
        <v>0</v>
      </c>
      <c r="R6" s="75">
        <f t="shared" si="0"/>
        <v>0</v>
      </c>
      <c r="S6" s="75">
        <f t="shared" si="0"/>
        <v>0</v>
      </c>
      <c r="T6" s="78">
        <f t="shared" si="0"/>
        <v>0</v>
      </c>
      <c r="U6" s="128">
        <f t="shared" ref="U6:U78" si="1">M6-N6-T6</f>
        <v>0</v>
      </c>
      <c r="W6" s="129">
        <f>SUM(M6-N6)</f>
        <v>0</v>
      </c>
    </row>
    <row r="7" spans="1:25" ht="21.6" thickBot="1">
      <c r="A7" s="130" t="s">
        <v>97</v>
      </c>
      <c r="B7" s="169" t="s">
        <v>152</v>
      </c>
      <c r="C7" s="132">
        <f>SUM(C8:C14)</f>
        <v>0</v>
      </c>
      <c r="D7" s="131">
        <f t="shared" ref="D7:T7" si="2">SUM(D8:D14)</f>
        <v>0</v>
      </c>
      <c r="E7" s="131">
        <f t="shared" si="2"/>
        <v>0</v>
      </c>
      <c r="F7" s="131">
        <f t="shared" si="2"/>
        <v>0</v>
      </c>
      <c r="G7" s="131">
        <f t="shared" si="2"/>
        <v>0</v>
      </c>
      <c r="H7" s="131">
        <f t="shared" si="2"/>
        <v>0</v>
      </c>
      <c r="I7" s="131">
        <f t="shared" si="2"/>
        <v>0</v>
      </c>
      <c r="J7" s="131">
        <f t="shared" si="2"/>
        <v>0</v>
      </c>
      <c r="K7" s="131">
        <f t="shared" si="2"/>
        <v>0</v>
      </c>
      <c r="L7" s="131">
        <f t="shared" si="2"/>
        <v>0</v>
      </c>
      <c r="M7" s="131">
        <f t="shared" si="2"/>
        <v>0</v>
      </c>
      <c r="N7" s="163">
        <f t="shared" si="2"/>
        <v>0</v>
      </c>
      <c r="O7" s="132">
        <f t="shared" si="2"/>
        <v>0</v>
      </c>
      <c r="P7" s="132">
        <f t="shared" si="2"/>
        <v>0</v>
      </c>
      <c r="Q7" s="132">
        <f t="shared" si="2"/>
        <v>0</v>
      </c>
      <c r="R7" s="132">
        <f t="shared" si="2"/>
        <v>0</v>
      </c>
      <c r="S7" s="132">
        <f t="shared" si="2"/>
        <v>0</v>
      </c>
      <c r="T7" s="133">
        <f t="shared" si="2"/>
        <v>0</v>
      </c>
      <c r="U7" s="134">
        <f t="shared" si="1"/>
        <v>0</v>
      </c>
      <c r="W7" s="135">
        <f t="shared" ref="W7:W72" si="3">SUM(M7-N7)</f>
        <v>0</v>
      </c>
    </row>
    <row r="8" spans="1:25">
      <c r="A8" s="136"/>
      <c r="B8" s="137" t="s">
        <v>20</v>
      </c>
      <c r="C8" s="140"/>
      <c r="D8" s="138"/>
      <c r="E8" s="138"/>
      <c r="F8" s="138"/>
      <c r="G8" s="138"/>
      <c r="H8" s="138"/>
      <c r="I8" s="138"/>
      <c r="J8" s="138"/>
      <c r="K8" s="138">
        <f>COUNTIFS(เรื่องร้องเรียน!E:E,"5",เรื่องร้องเรียน!N:N,"คลองเตย")</f>
        <v>0</v>
      </c>
      <c r="L8" s="138">
        <f>COUNTIFS(เรื่องร้องเรียน!E:E,"5",เรื่องร้องเรียน!N:N,"คลองเตย",เรื่องร้องเรียน!CL:CL,"1")</f>
        <v>0</v>
      </c>
      <c r="M8" s="138">
        <f t="shared" ref="M8:N13" si="4">SUM(C8,E8,G8,I8,K8)</f>
        <v>0</v>
      </c>
      <c r="N8" s="139">
        <f t="shared" si="4"/>
        <v>0</v>
      </c>
      <c r="O8" s="140"/>
      <c r="P8" s="138"/>
      <c r="Q8" s="138"/>
      <c r="R8" s="138"/>
      <c r="S8" s="138">
        <f>COUNTIFS(เรื่องร้องเรียน!E:E,"5",เรื่องร้องเรียน!N:N,"คลองเตย",เรื่องร้องเรียน!AQ:AQ,"1",เรื่องร้องเรียน!CL:CL,"")</f>
        <v>0</v>
      </c>
      <c r="T8" s="141">
        <f>SUM(O8:S8)</f>
        <v>0</v>
      </c>
      <c r="U8" s="129">
        <f t="shared" si="1"/>
        <v>0</v>
      </c>
      <c r="V8" s="10" t="s">
        <v>98</v>
      </c>
      <c r="W8" s="129">
        <f t="shared" si="3"/>
        <v>0</v>
      </c>
    </row>
    <row r="9" spans="1:25">
      <c r="A9" s="142"/>
      <c r="B9" s="143" t="s">
        <v>128</v>
      </c>
      <c r="C9" s="246">
        <f>COUNTIFS(เรื่องร้องเรียน!E:E,"1",เรื่องร้องเรียน!N:N,"คลองเตย",เรื่องร้องเรียน!AN:AN,"คลองตัน")</f>
        <v>0</v>
      </c>
      <c r="D9" s="109">
        <f>COUNTIFS(เรื่องร้องเรียน!E:E,"1",เรื่องร้องเรียน!N:N,"คลองเตย",เรื่องร้องเรียน!AN:AN,"คลองตัน",เรื่องร้องเรียน!CL:CL,"1")</f>
        <v>0</v>
      </c>
      <c r="E9" s="109">
        <f>COUNTIFS(เรื่องร้องเรียน!E:E,"2",เรื่องร้องเรียน!N:N,"คลองเตย",เรื่องร้องเรียน!AN:AN,"คลองตัน")</f>
        <v>0</v>
      </c>
      <c r="F9" s="109">
        <f>COUNTIFS(เรื่องร้องเรียน!E:E,"2",เรื่องร้องเรียน!N:N,"คลองเตย",เรื่องร้องเรียน!AN:AN,"คลองตัน",เรื่องร้องเรียน!CL:CL,"1")</f>
        <v>0</v>
      </c>
      <c r="G9" s="109">
        <f>COUNTIFS(เรื่องร้องเรียน!E:E,"3",เรื่องร้องเรียน!N:N,"คลองเตย",เรื่องร้องเรียน!AN:AN,"คลองตัน")</f>
        <v>0</v>
      </c>
      <c r="H9" s="109">
        <f>COUNTIFS(เรื่องร้องเรียน!E:E,"3",เรื่องร้องเรียน!N:N,"คลองเตย",เรื่องร้องเรียน!AN:AN,"คลองตัน",เรื่องร้องเรียน!CL:CL,"1")</f>
        <v>0</v>
      </c>
      <c r="I9" s="109">
        <f>COUNTIFS(เรื่องร้องเรียน!E:E,"4",เรื่องร้องเรียน!N:N,"คลองเตย",เรื่องร้องเรียน!AN:AN,"คลองตัน")</f>
        <v>0</v>
      </c>
      <c r="J9" s="144">
        <f>COUNTIFS(เรื่องร้องเรียน!E:E,"4",เรื่องร้องเรียน!N:N,"คลองเตย",เรื่องร้องเรียน!AN:AN,"คลองตัน",เรื่องร้องเรียน!CL:CL,"1")</f>
        <v>0</v>
      </c>
      <c r="K9" s="144"/>
      <c r="L9" s="144"/>
      <c r="M9" s="109">
        <f t="shared" si="4"/>
        <v>0</v>
      </c>
      <c r="N9" s="145">
        <f t="shared" si="4"/>
        <v>0</v>
      </c>
      <c r="O9" s="146">
        <f>COUNTIFS(เรื่องร้องเรียน!E:E,"1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P9" s="144">
        <f>COUNTIFS(เรื่องร้องเรียน!E:E,"2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Q9" s="144">
        <f>COUNTIFS(เรื่องร้องเรียน!E:E,"3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R9" s="144">
        <f>COUNTIFS(เรื่องร้องเรียน!E:E,"4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S9" s="144"/>
      <c r="T9" s="147">
        <f t="shared" ref="T9:T83" si="5">SUM(O9:S9)</f>
        <v>0</v>
      </c>
      <c r="U9" s="129">
        <f t="shared" si="1"/>
        <v>0</v>
      </c>
      <c r="W9" s="129">
        <f t="shared" si="3"/>
        <v>0</v>
      </c>
      <c r="Y9" s="10" t="s">
        <v>98</v>
      </c>
    </row>
    <row r="10" spans="1:25">
      <c r="A10" s="148"/>
      <c r="B10" s="149" t="s">
        <v>137</v>
      </c>
      <c r="C10" s="246">
        <f>COUNTIFS(เรื่องร้องเรียน!E:E,"1",เรื่องร้องเรียน!N:N,"คลองเตย",เรื่องร้องเรียน!AN:AN,"ทองหล่อ")</f>
        <v>0</v>
      </c>
      <c r="D10" s="109">
        <f>COUNTIFS(เรื่องร้องเรียน!E:E,"1",เรื่องร้องเรียน!N:N,"คลองเตย",เรื่องร้องเรียน!AN:AN,"ทองหล่อ",เรื่องร้องเรียน!CL:CL,"1")</f>
        <v>0</v>
      </c>
      <c r="E10" s="109">
        <f>COUNTIFS(เรื่องร้องเรียน!E:E,"2",เรื่องร้องเรียน!N:N,"คลองเตย",เรื่องร้องเรียน!AN:AN,"ทองหล่อ")</f>
        <v>0</v>
      </c>
      <c r="F10" s="109">
        <f>COUNTIFS(เรื่องร้องเรียน!E:E,"2",เรื่องร้องเรียน!N:N,"คลองเตย",เรื่องร้องเรียน!AN:AN,"ทองหล่อ",เรื่องร้องเรียน!CL:CL,"1")</f>
        <v>0</v>
      </c>
      <c r="G10" s="109">
        <f>COUNTIFS(เรื่องร้องเรียน!E:E,"3",เรื่องร้องเรียน!N:N,"คลองเตย",เรื่องร้องเรียน!AN:AN,"ทองหล่อ")</f>
        <v>0</v>
      </c>
      <c r="H10" s="109">
        <f>COUNTIFS(เรื่องร้องเรียน!E:E,"3",เรื่องร้องเรียน!N:N,"คลองเตย",เรื่องร้องเรียน!AN:AN,"ทองหล่อ",เรื่องร้องเรียน!CL:CL,"1")</f>
        <v>0</v>
      </c>
      <c r="I10" s="109">
        <f>COUNTIFS(เรื่องร้องเรียน!E:E,"4",เรื่องร้องเรียน!N:N,"คลองเตย",เรื่องร้องเรียน!AN:AN,"ทองหล่อ")</f>
        <v>0</v>
      </c>
      <c r="J10" s="144">
        <f>COUNTIFS(เรื่องร้องเรียน!E:E,"4",เรื่องร้องเรียน!N:N,"คลองเตย",เรื่องร้องเรียน!AN:AN,"ทองหล่อ",เรื่องร้องเรียน!CL:CL,"1")</f>
        <v>0</v>
      </c>
      <c r="K10" s="144"/>
      <c r="L10" s="144"/>
      <c r="M10" s="109">
        <f t="shared" si="4"/>
        <v>0</v>
      </c>
      <c r="N10" s="145">
        <f t="shared" si="4"/>
        <v>0</v>
      </c>
      <c r="O10" s="146">
        <f>COUNTIFS(เรื่องร้องเรียน!E:E,"1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P10" s="144">
        <f>COUNTIFS(เรื่องร้องเรียน!E:E,"2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Q10" s="144">
        <f>COUNTIFS(เรื่องร้องเรียน!E:E,"3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R10" s="144">
        <f>COUNTIFS(เรื่องร้องเรียน!E:E,"4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S10" s="144"/>
      <c r="T10" s="147">
        <f t="shared" si="5"/>
        <v>0</v>
      </c>
      <c r="U10" s="129">
        <f t="shared" si="1"/>
        <v>0</v>
      </c>
      <c r="W10" s="129">
        <f t="shared" si="3"/>
        <v>0</v>
      </c>
    </row>
    <row r="11" spans="1:25">
      <c r="A11" s="148"/>
      <c r="B11" s="149" t="s">
        <v>103</v>
      </c>
      <c r="C11" s="246">
        <f>COUNTIFS(เรื่องร้องเรียน!E:E,"1",เรื่องร้องเรียน!N:N,"คลองเตย",เรื่องร้องเรียน!AN:AN,"ท่าเรือ")</f>
        <v>0</v>
      </c>
      <c r="D11" s="109">
        <f>COUNTIFS(เรื่องร้องเรียน!E:E,"1",เรื่องร้องเรียน!N:N,"คลองเตย",เรื่องร้องเรียน!AN:AN,"ท่าเรือ",เรื่องร้องเรียน!CL:CL,"1")</f>
        <v>0</v>
      </c>
      <c r="E11" s="109">
        <f>COUNTIFS(เรื่องร้องเรียน!E:E,"2",เรื่องร้องเรียน!N:N,"คลองเตย",เรื่องร้องเรียน!AN:AN,"ท่าเรือ")</f>
        <v>0</v>
      </c>
      <c r="F11" s="109">
        <f>COUNTIFS(เรื่องร้องเรียน!E:E,"2",เรื่องร้องเรียน!N:N,"คลองเตย",เรื่องร้องเรียน!AN:AN,"ท่าเรือ",เรื่องร้องเรียน!CL:CL,"1")</f>
        <v>0</v>
      </c>
      <c r="G11" s="109">
        <f>COUNTIFS(เรื่องร้องเรียน!E:E,"3",เรื่องร้องเรียน!N:N,"คลองเตย",เรื่องร้องเรียน!AN:AN,"ท่าเรือ")</f>
        <v>0</v>
      </c>
      <c r="H11" s="109">
        <f>COUNTIFS(เรื่องร้องเรียน!E:E,"3",เรื่องร้องเรียน!N:N,"คลองเตย",เรื่องร้องเรียน!AN:AN,"ท่าเรือ",เรื่องร้องเรียน!CL:CL,"1")</f>
        <v>0</v>
      </c>
      <c r="I11" s="109">
        <f>COUNTIFS(เรื่องร้องเรียน!E:E,"4",เรื่องร้องเรียน!N:N,"คลองเตย",เรื่องร้องเรียน!AN:AN,"ท่าเรือ")</f>
        <v>0</v>
      </c>
      <c r="J11" s="144">
        <f>COUNTIFS(เรื่องร้องเรียน!E:E,"4",เรื่องร้องเรียน!N:N,"คลองเตย",เรื่องร้องเรียน!AN:AN,"ท่าเรือ",เรื่องร้องเรียน!CL:CL,"1")</f>
        <v>0</v>
      </c>
      <c r="K11" s="144"/>
      <c r="L11" s="144"/>
      <c r="M11" s="109">
        <f t="shared" si="4"/>
        <v>0</v>
      </c>
      <c r="N11" s="145">
        <f t="shared" si="4"/>
        <v>0</v>
      </c>
      <c r="O11" s="146">
        <f>COUNTIFS(เรื่องร้องเรียน!E:E,"1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P11" s="144">
        <f>COUNTIFS(เรื่องร้องเรียน!E:E,"2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Q11" s="144">
        <f>COUNTIFS(เรื่องร้องเรียน!E:E,"3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R11" s="144">
        <f>COUNTIFS(เรื่องร้องเรียน!E:E,"4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S11" s="144"/>
      <c r="T11" s="147">
        <f t="shared" si="5"/>
        <v>0</v>
      </c>
      <c r="U11" s="129">
        <f t="shared" si="1"/>
        <v>0</v>
      </c>
      <c r="W11" s="129">
        <f t="shared" si="3"/>
        <v>0</v>
      </c>
    </row>
    <row r="12" spans="1:25">
      <c r="A12" s="148"/>
      <c r="B12" s="149" t="s">
        <v>142</v>
      </c>
      <c r="C12" s="246">
        <f>COUNTIFS(เรื่องร้องเรียน!E:E,"1",เรื่องร้องเรียน!N:N,"คลองเตย",เรื่องร้องเรียน!AN:AN,"ทุ่งมหาเมฆ")</f>
        <v>0</v>
      </c>
      <c r="D12" s="109">
        <f>COUNTIFS(เรื่องร้องเรียน!E:E,"1",เรื่องร้องเรียน!N:N,"คลองเตย",เรื่องร้องเรียน!AN:AN,"ทุ่งมหาเมฆ",เรื่องร้องเรียน!CL:CL,"1")</f>
        <v>0</v>
      </c>
      <c r="E12" s="109">
        <f>COUNTIFS(เรื่องร้องเรียน!E:E,"2",เรื่องร้องเรียน!N:N,"คลองเตย",เรื่องร้องเรียน!AN:AN,"ทุ่งมหาเมฆ")</f>
        <v>0</v>
      </c>
      <c r="F12" s="109">
        <f>COUNTIFS(เรื่องร้องเรียน!E:E,"2",เรื่องร้องเรียน!N:N,"คลองเตย",เรื่องร้องเรียน!AN:AN,"ทุ่งมหาเมฆ",เรื่องร้องเรียน!CL:CL,"1")</f>
        <v>0</v>
      </c>
      <c r="G12" s="109">
        <f>COUNTIFS(เรื่องร้องเรียน!E:E,"3",เรื่องร้องเรียน!N:N,"คลองเตย",เรื่องร้องเรียน!AN:AN,"ทุ่งมหาเมฆ")</f>
        <v>0</v>
      </c>
      <c r="H12" s="109">
        <f>COUNTIFS(เรื่องร้องเรียน!E:E,"3",เรื่องร้องเรียน!N:N,"คลองเตย",เรื่องร้องเรียน!AN:AN,"ทุ่งมหาเมฆ",เรื่องร้องเรียน!CL:CL,"1")</f>
        <v>0</v>
      </c>
      <c r="I12" s="109">
        <f>COUNTIFS(เรื่องร้องเรียน!E:E,"4",เรื่องร้องเรียน!N:N,"คลองเตย",เรื่องร้องเรียน!AN:AN,"ทุ่งมหาเมฆ")</f>
        <v>0</v>
      </c>
      <c r="J12" s="144">
        <f>COUNTIFS(เรื่องร้องเรียน!E:E,"4",เรื่องร้องเรียน!N:N,"คลองเตย",เรื่องร้องเรียน!AN:AN,"ทุ่งมหาเมฆ",เรื่องร้องเรียน!CL:CL,"1")</f>
        <v>0</v>
      </c>
      <c r="K12" s="144"/>
      <c r="L12" s="144"/>
      <c r="M12" s="109">
        <f t="shared" si="4"/>
        <v>0</v>
      </c>
      <c r="N12" s="145">
        <f t="shared" si="4"/>
        <v>0</v>
      </c>
      <c r="O12" s="146">
        <f>COUNTIFS(เรื่องร้องเรียน!E:E,"1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P12" s="144">
        <f>COUNTIFS(เรื่องร้องเรียน!E:E,"2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Q12" s="144">
        <f>COUNTIFS(เรื่องร้องเรียน!E:E,"3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R12" s="144">
        <f>COUNTIFS(เรื่องร้องเรียน!E:E,"4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S12" s="144"/>
      <c r="T12" s="147">
        <f t="shared" si="5"/>
        <v>0</v>
      </c>
      <c r="U12" s="129">
        <f t="shared" si="1"/>
        <v>0</v>
      </c>
      <c r="W12" s="129">
        <f t="shared" si="3"/>
        <v>0</v>
      </c>
    </row>
    <row r="13" spans="1:25">
      <c r="A13" s="150"/>
      <c r="B13" s="151" t="s">
        <v>115</v>
      </c>
      <c r="C13" s="123">
        <f>COUNTIFS(เรื่องร้องเรียน!E:E,"1",เรื่องร้องเรียน!N:N,"คลองเตย",เรื่องร้องเรียน!AN:AN,"พระโขนง")</f>
        <v>0</v>
      </c>
      <c r="D13" s="117">
        <f>COUNTIFS(เรื่องร้องเรียน!E:E,"1",เรื่องร้องเรียน!N:N,"คลองเตย",เรื่องร้องเรียน!AN:AN,"พระโขนง",เรื่องร้องเรียน!CL:CL,"1")</f>
        <v>0</v>
      </c>
      <c r="E13" s="117">
        <f>COUNTIFS(เรื่องร้องเรียน!E:E,"2",เรื่องร้องเรียน!N:N,"คลองเตย",เรื่องร้องเรียน!AN:AN,"พระโขนง")</f>
        <v>0</v>
      </c>
      <c r="F13" s="117">
        <f>COUNTIFS(เรื่องร้องเรียน!E:E,"2",เรื่องร้องเรียน!N:N,"คลองเตย",เรื่องร้องเรียน!AN:AN,"พระโขนง",เรื่องร้องเรียน!CL:CL,"1")</f>
        <v>0</v>
      </c>
      <c r="G13" s="117">
        <f>COUNTIFS(เรื่องร้องเรียน!E:E,"3",เรื่องร้องเรียน!N:N,"คลองเตย",เรื่องร้องเรียน!AN:AN,"พระโขนง")</f>
        <v>0</v>
      </c>
      <c r="H13" s="117">
        <f>COUNTIFS(เรื่องร้องเรียน!E:E,"3",เรื่องร้องเรียน!N:N,"คลองเตย",เรื่องร้องเรียน!AN:AN,"พระโขนง",เรื่องร้องเรียน!CL:CL,"1")</f>
        <v>0</v>
      </c>
      <c r="I13" s="117">
        <f>COUNTIFS(เรื่องร้องเรียน!E:E,"4",เรื่องร้องเรียน!N:N,"คลองเตย",เรื่องร้องเรียน!AN:AN,"พระโขนง")</f>
        <v>0</v>
      </c>
      <c r="J13" s="152">
        <f>COUNTIFS(เรื่องร้องเรียน!E:E,"4",เรื่องร้องเรียน!N:N,"คลองเตย",เรื่องร้องเรียน!AN:AN,"พระโขนง",เรื่องร้องเรียน!CL:CL,"1")</f>
        <v>0</v>
      </c>
      <c r="K13" s="152"/>
      <c r="L13" s="152"/>
      <c r="M13" s="117">
        <f t="shared" si="4"/>
        <v>0</v>
      </c>
      <c r="N13" s="122">
        <f t="shared" si="4"/>
        <v>0</v>
      </c>
      <c r="O13" s="153">
        <f>COUNTIFS(เรื่องร้องเรียน!E:E,"1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P13" s="152">
        <f>COUNTIFS(เรื่องร้องเรียน!E:E,"2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Q13" s="152">
        <f>COUNTIFS(เรื่องร้องเรียน!E:E,"3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R13" s="152">
        <f>COUNTIFS(เรื่องร้องเรียน!E:E,"4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S13" s="152"/>
      <c r="T13" s="154">
        <f t="shared" si="5"/>
        <v>0</v>
      </c>
      <c r="U13" s="129">
        <f t="shared" si="1"/>
        <v>0</v>
      </c>
      <c r="W13" s="129">
        <f t="shared" si="3"/>
        <v>0</v>
      </c>
    </row>
    <row r="14" spans="1:25" ht="21.6" thickBot="1">
      <c r="A14" s="155"/>
      <c r="B14" s="156" t="s">
        <v>98</v>
      </c>
      <c r="C14" s="231">
        <f>COUNTIFS(เรื่องร้องเรียน!E:E,"1",เรื่องร้องเรียน!N:N,"คลองเตย",เรื่องร้องเรียน!AN:AN,"ลุมพินี")</f>
        <v>0</v>
      </c>
      <c r="D14" s="124">
        <f>COUNTIFS(เรื่องร้องเรียน!E:E,"1",เรื่องร้องเรียน!N:N,"คลองเตย",เรื่องร้องเรียน!AN:AN,"ลุมพินี",เรื่องร้องเรียน!CL:CL,"1")</f>
        <v>0</v>
      </c>
      <c r="E14" s="124">
        <f>COUNTIFS(เรื่องร้องเรียน!E:E,"2",เรื่องร้องเรียน!N:N,"คลองเตย",เรื่องร้องเรียน!AN:AN,"ลุมพินี")</f>
        <v>0</v>
      </c>
      <c r="F14" s="124">
        <f>COUNTIFS(เรื่องร้องเรียน!E:E,"2",เรื่องร้องเรียน!N:N,"คลองเตย",เรื่องร้องเรียน!AN:AN,"ลุมพินี",เรื่องร้องเรียน!CL:CL,"1")</f>
        <v>0</v>
      </c>
      <c r="G14" s="124">
        <f>COUNTIFS(เรื่องร้องเรียน!E:E,"3",เรื่องร้องเรียน!N:N,"คลองเตย",เรื่องร้องเรียน!AN:AN,"ลุมพินี")</f>
        <v>0</v>
      </c>
      <c r="H14" s="124">
        <f>COUNTIFS(เรื่องร้องเรียน!E:E,"3",เรื่องร้องเรียน!N:N,"คลองเตย",เรื่องร้องเรียน!AN:AN,"ลุมพินี",เรื่องร้องเรียน!CL:CL,"1")</f>
        <v>0</v>
      </c>
      <c r="I14" s="124">
        <f>COUNTIFS(เรื่องร้องเรียน!E:E,"4",เรื่องร้องเรียน!N:N,"คลองเตย",เรื่องร้องเรียน!AN:AN,"ลุมพินี")</f>
        <v>0</v>
      </c>
      <c r="J14" s="157">
        <f>COUNTIFS(เรื่องร้องเรียน!E:E,"4",เรื่องร้องเรียน!N:N,"คลองเตย",เรื่องร้องเรียน!AN:AN,"ลุมพินี",เรื่องร้องเรียน!CL:CL,"1")</f>
        <v>0</v>
      </c>
      <c r="K14" s="157"/>
      <c r="L14" s="157"/>
      <c r="M14" s="124">
        <f>SUM(C14,E14,G14,I14,K14)</f>
        <v>0</v>
      </c>
      <c r="N14" s="158">
        <f>SUM(D14,F14,H14,J14,L14)</f>
        <v>0</v>
      </c>
      <c r="O14" s="159">
        <f>COUNTIFS(เรื่องร้องเรียน!E:E,"1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P14" s="157">
        <f>COUNTIFS(เรื่องร้องเรียน!E:E,"2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Q14" s="157">
        <f>COUNTIFS(เรื่องร้องเรียน!E:E,"3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R14" s="157">
        <f>COUNTIFS(เรื่องร้องเรียน!E:E,"4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S14" s="157"/>
      <c r="T14" s="160">
        <f>SUM(O14:S14)</f>
        <v>0</v>
      </c>
      <c r="U14" s="128">
        <f>M14-N14-T14</f>
        <v>0</v>
      </c>
      <c r="W14" s="129">
        <f t="shared" si="3"/>
        <v>0</v>
      </c>
    </row>
    <row r="15" spans="1:25" ht="21.6" thickBot="1">
      <c r="A15" s="161" t="s">
        <v>81</v>
      </c>
      <c r="B15" s="162" t="s">
        <v>152</v>
      </c>
      <c r="C15" s="132">
        <f>SUM(C16:C20)</f>
        <v>0</v>
      </c>
      <c r="D15" s="131">
        <f t="shared" ref="D15:N15" si="6">SUM(D16:D20)</f>
        <v>0</v>
      </c>
      <c r="E15" s="131">
        <f t="shared" si="6"/>
        <v>0</v>
      </c>
      <c r="F15" s="131">
        <f t="shared" si="6"/>
        <v>0</v>
      </c>
      <c r="G15" s="131">
        <f t="shared" si="6"/>
        <v>0</v>
      </c>
      <c r="H15" s="131">
        <f t="shared" si="6"/>
        <v>0</v>
      </c>
      <c r="I15" s="131">
        <f t="shared" si="6"/>
        <v>0</v>
      </c>
      <c r="J15" s="131">
        <f t="shared" si="6"/>
        <v>0</v>
      </c>
      <c r="K15" s="131">
        <f t="shared" si="6"/>
        <v>0</v>
      </c>
      <c r="L15" s="131">
        <f t="shared" si="6"/>
        <v>0</v>
      </c>
      <c r="M15" s="131">
        <f t="shared" si="6"/>
        <v>0</v>
      </c>
      <c r="N15" s="163">
        <f t="shared" si="6"/>
        <v>0</v>
      </c>
      <c r="O15" s="164">
        <f t="shared" ref="O15:T15" si="7">SUM(O16:O20)</f>
        <v>0</v>
      </c>
      <c r="P15" s="164">
        <f t="shared" si="7"/>
        <v>0</v>
      </c>
      <c r="Q15" s="164">
        <f t="shared" si="7"/>
        <v>0</v>
      </c>
      <c r="R15" s="164">
        <f t="shared" si="7"/>
        <v>0</v>
      </c>
      <c r="S15" s="164">
        <f t="shared" si="7"/>
        <v>0</v>
      </c>
      <c r="T15" s="133">
        <f t="shared" si="7"/>
        <v>0</v>
      </c>
      <c r="U15" s="134">
        <f t="shared" si="1"/>
        <v>0</v>
      </c>
      <c r="W15" s="135">
        <f t="shared" si="3"/>
        <v>0</v>
      </c>
    </row>
    <row r="16" spans="1:25">
      <c r="A16" s="165"/>
      <c r="B16" s="166" t="s">
        <v>20</v>
      </c>
      <c r="C16" s="140"/>
      <c r="D16" s="138"/>
      <c r="E16" s="138"/>
      <c r="F16" s="138"/>
      <c r="G16" s="138"/>
      <c r="H16" s="138"/>
      <c r="I16" s="138"/>
      <c r="J16" s="138"/>
      <c r="K16" s="138">
        <f>COUNTIFS(เรื่องร้องเรียน!E:E,"5",เรื่องร้องเรียน!N:N,"คลองสาน")</f>
        <v>0</v>
      </c>
      <c r="L16" s="138">
        <f>COUNTIFS(เรื่องร้องเรียน!E:E,"5",เรื่องร้องเรียน!N:N,"คลองสาน",เรื่องร้องเรียน!CL:CL,"1")</f>
        <v>0</v>
      </c>
      <c r="M16" s="138">
        <f t="shared" ref="M16:N19" si="8">SUM(C16,E16,G16,I16,K16)</f>
        <v>0</v>
      </c>
      <c r="N16" s="139">
        <f t="shared" si="8"/>
        <v>0</v>
      </c>
      <c r="O16" s="140"/>
      <c r="P16" s="138"/>
      <c r="Q16" s="138"/>
      <c r="R16" s="138"/>
      <c r="S16" s="138">
        <f>COUNTIFS(เรื่องร้องเรียน!E:E,"5",เรื่องร้องเรียน!N:N,"คลองสาน",เรื่องร้องเรียน!AQ:AQ,"1",เรื่องร้องเรียน!CL:CL,"")</f>
        <v>0</v>
      </c>
      <c r="T16" s="141">
        <f t="shared" si="5"/>
        <v>0</v>
      </c>
      <c r="U16" s="129">
        <f t="shared" si="1"/>
        <v>0</v>
      </c>
      <c r="W16" s="129">
        <f t="shared" si="3"/>
        <v>0</v>
      </c>
    </row>
    <row r="17" spans="1:23">
      <c r="A17" s="142"/>
      <c r="B17" s="167" t="s">
        <v>123</v>
      </c>
      <c r="C17" s="246">
        <f>COUNTIFS(เรื่องร้องเรียน!E:E,"1",เรื่องร้องเรียน!N:N,"คลองสาน",เรื่องร้องเรียน!AN:AN,"บุปผาราม")</f>
        <v>0</v>
      </c>
      <c r="D17" s="109">
        <f>COUNTIFS(เรื่องร้องเรียน!E:E,"1",เรื่องร้องเรียน!N:N,"คลองสาน",เรื่องร้องเรียน!AN:AN,"บุปผาราม",เรื่องร้องเรียน!CL:CL,"1")</f>
        <v>0</v>
      </c>
      <c r="E17" s="109">
        <f>COUNTIFS(เรื่องร้องเรียน!E:E,"2",เรื่องร้องเรียน!N:N,"คลองสาน",เรื่องร้องเรียน!AN:AN,"บุปผาราม")</f>
        <v>0</v>
      </c>
      <c r="F17" s="109">
        <f>COUNTIFS(เรื่องร้องเรียน!E:E,"2",เรื่องร้องเรียน!N:N,"คลองสาน",เรื่องร้องเรียน!AN:AN,"บุปผาราม",เรื่องร้องเรียน!CL:CL,"1")</f>
        <v>0</v>
      </c>
      <c r="G17" s="109">
        <f>COUNTIFS(เรื่องร้องเรียน!E:E,"3",เรื่องร้องเรียน!N:N,"คลองสาน",เรื่องร้องเรียน!AN:AN,"บุปผาราม")</f>
        <v>0</v>
      </c>
      <c r="H17" s="109">
        <f>COUNTIFS(เรื่องร้องเรียน!E:E,"3",เรื่องร้องเรียน!N:N,"คลองสาน",เรื่องร้องเรียน!AN:AN,"บุปผาราม",เรื่องร้องเรียน!CL:CL,"1")</f>
        <v>0</v>
      </c>
      <c r="I17" s="109">
        <f>COUNTIFS(เรื่องร้องเรียน!E:E,"4",เรื่องร้องเรียน!N:N,"คลองสาน",เรื่องร้องเรียน!AN:AN,"บุปผาราม")</f>
        <v>0</v>
      </c>
      <c r="J17" s="144">
        <f>COUNTIFS(เรื่องร้องเรียน!E:E,"4",เรื่องร้องเรียน!N:N,"คลองสาน",เรื่องร้องเรียน!AN:AN,"บุปผาราม",เรื่องร้องเรียน!CL:CL,"1")</f>
        <v>0</v>
      </c>
      <c r="K17" s="144"/>
      <c r="L17" s="144"/>
      <c r="M17" s="109">
        <f t="shared" si="8"/>
        <v>0</v>
      </c>
      <c r="N17" s="145">
        <f t="shared" si="8"/>
        <v>0</v>
      </c>
      <c r="O17" s="146">
        <f>COUNTIFS(เรื่องร้องเรียน!E:E,"1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P17" s="144">
        <f>COUNTIFS(เรื่องร้องเรียน!E:E,"2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Q17" s="144">
        <f>COUNTIFS(เรื่องร้องเรียน!E:E,"3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R17" s="144">
        <f>COUNTIFS(เรื่องร้องเรียน!E:E,"4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S17" s="144"/>
      <c r="T17" s="147">
        <f t="shared" si="5"/>
        <v>0</v>
      </c>
      <c r="U17" s="129">
        <f t="shared" si="1"/>
        <v>0</v>
      </c>
      <c r="V17" s="10" t="s">
        <v>198</v>
      </c>
      <c r="W17" s="129">
        <f t="shared" si="3"/>
        <v>0</v>
      </c>
    </row>
    <row r="18" spans="1:23">
      <c r="A18" s="148"/>
      <c r="B18" s="149" t="s">
        <v>83</v>
      </c>
      <c r="C18" s="246">
        <f>COUNTIFS(เรื่องร้องเรียน!E:E,"1",เรื่องร้องเรียน!N:N,"คลองสาน",เรื่องร้องเรียน!AN:AN,"สมเด็จเจ้าพระยา")</f>
        <v>0</v>
      </c>
      <c r="D18" s="109">
        <f>COUNTIFS(เรื่องร้องเรียน!E:E,"1",เรื่องร้องเรียน!N:N,"คลองสาน",เรื่องร้องเรียน!AN:AN,"สมเด็จเจ้าพระยา",เรื่องร้องเรียน!CL:CL,"1")</f>
        <v>0</v>
      </c>
      <c r="E18" s="109">
        <f>COUNTIFS(เรื่องร้องเรียน!E:E,"2",เรื่องร้องเรียน!N:N,"คลองสาน",เรื่องร้องเรียน!AN:AN,"สมเด็จเจ้าพระยา")</f>
        <v>0</v>
      </c>
      <c r="F18" s="109">
        <f>COUNTIFS(เรื่องร้องเรียน!E:E,"2",เรื่องร้องเรียน!N:N,"คลองสาน",เรื่องร้องเรียน!AN:AN,"สมเด็จเจ้าพระยา",เรื่องร้องเรียน!CL:CL,"1")</f>
        <v>0</v>
      </c>
      <c r="G18" s="109">
        <f>COUNTIFS(เรื่องร้องเรียน!E:E,"3",เรื่องร้องเรียน!N:N,"คลองสาน",เรื่องร้องเรียน!AN:AN,"สมเด็จเจ้าพระยา")</f>
        <v>0</v>
      </c>
      <c r="H18" s="109">
        <f>COUNTIFS(เรื่องร้องเรียน!E:E,"3",เรื่องร้องเรียน!N:N,"คลองสาน",เรื่องร้องเรียน!AN:AN,"สมเด็จเจ้าพระยา",เรื่องร้องเรียน!CL:CL,"1")</f>
        <v>0</v>
      </c>
      <c r="I18" s="109">
        <f>COUNTIFS(เรื่องร้องเรียน!E:E,"4",เรื่องร้องเรียน!N:N,"คลองสาน",เรื่องร้องเรียน!AN:AN,"สมเด็จเจ้าพระยา")</f>
        <v>0</v>
      </c>
      <c r="J18" s="144">
        <f>COUNTIFS(เรื่องร้องเรียน!E:E,"4",เรื่องร้องเรียน!N:N,"คลองสาน",เรื่องร้องเรียน!AN:AN,"สมเด็จเจ้าพระยา",เรื่องร้องเรียน!CL:CL,"1")</f>
        <v>0</v>
      </c>
      <c r="K18" s="144"/>
      <c r="L18" s="144"/>
      <c r="M18" s="109">
        <f t="shared" si="8"/>
        <v>0</v>
      </c>
      <c r="N18" s="145">
        <f t="shared" si="8"/>
        <v>0</v>
      </c>
      <c r="O18" s="146">
        <f>COUNTIFS(เรื่องร้องเรียน!E:E,"1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P18" s="144">
        <f>COUNTIFS(เรื่องร้องเรียน!E:E,"2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Q18" s="144">
        <f>COUNTIFS(เรื่องร้องเรียน!E:E,"3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R18" s="144">
        <f>COUNTIFS(เรื่องร้องเรียน!E:E,"4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S18" s="144"/>
      <c r="T18" s="147">
        <f t="shared" si="5"/>
        <v>0</v>
      </c>
      <c r="U18" s="129">
        <f t="shared" si="1"/>
        <v>0</v>
      </c>
      <c r="W18" s="129">
        <f t="shared" si="3"/>
        <v>0</v>
      </c>
    </row>
    <row r="19" spans="1:23">
      <c r="A19" s="150"/>
      <c r="B19" s="151" t="s">
        <v>197</v>
      </c>
      <c r="C19" s="123">
        <f>COUNTIFS(เรื่องร้องเรียน!E:E,"1",เรื่องร้องเรียน!N:N,"คลองสาน",เรื่องร้องเรียน!AN:AN,"สำเหร่")</f>
        <v>0</v>
      </c>
      <c r="D19" s="117">
        <f>COUNTIFS(เรื่องร้องเรียน!E:E,"1",เรื่องร้องเรียน!N:N,"คลองสาน",เรื่องร้องเรียน!AN:AN,"สำเหร่",เรื่องร้องเรียน!CL:CL,"1")</f>
        <v>0</v>
      </c>
      <c r="E19" s="117">
        <f>COUNTIFS(เรื่องร้องเรียน!E:E,"2",เรื่องร้องเรียน!N:N,"คลองสาน",เรื่องร้องเรียน!AN:AN,"สำเหร่")</f>
        <v>0</v>
      </c>
      <c r="F19" s="117">
        <f>COUNTIFS(เรื่องร้องเรียน!E:E,"2",เรื่องร้องเรียน!N:N,"คลองสาน",เรื่องร้องเรียน!AN:AN,"สำเหร่",เรื่องร้องเรียน!CL:CL,"1")</f>
        <v>0</v>
      </c>
      <c r="G19" s="117">
        <f>COUNTIFS(เรื่องร้องเรียน!E:E,"3",เรื่องร้องเรียน!N:N,"คลองสาน",เรื่องร้องเรียน!AN:AN,"สำเหร่")</f>
        <v>0</v>
      </c>
      <c r="H19" s="117">
        <f>COUNTIFS(เรื่องร้องเรียน!E:E,"3",เรื่องร้องเรียน!N:N,"คลองสาน",เรื่องร้องเรียน!AN:AN,"สำเหร่",เรื่องร้องเรียน!CL:CL,"1")</f>
        <v>0</v>
      </c>
      <c r="I19" s="117">
        <f>COUNTIFS(เรื่องร้องเรียน!E:E,"4",เรื่องร้องเรียน!N:N,"คลองสาน",เรื่องร้องเรียน!AN:AN,"สำเหร่")</f>
        <v>0</v>
      </c>
      <c r="J19" s="152">
        <f>COUNTIFS(เรื่องร้องเรียน!E:E,"4",เรื่องร้องเรียน!N:N,"คลองสาน",เรื่องร้องเรียน!AN:AN,"สำเหร่",เรื่องร้องเรียน!CL:CL,"1")</f>
        <v>0</v>
      </c>
      <c r="K19" s="152"/>
      <c r="L19" s="152"/>
      <c r="M19" s="117">
        <f t="shared" si="8"/>
        <v>0</v>
      </c>
      <c r="N19" s="122">
        <f t="shared" si="8"/>
        <v>0</v>
      </c>
      <c r="O19" s="153">
        <f>COUNTIFS(เรื่องร้องเรียน!E:E,"1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P19" s="152">
        <f>COUNTIFS(เรื่องร้องเรียน!E:E,"2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Q19" s="152">
        <f>COUNTIFS(เรื่องร้องเรียน!E:E,"3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R19" s="152">
        <f>COUNTIFS(เรื่องร้องเรียน!E:E,"4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S19" s="152"/>
      <c r="T19" s="154">
        <f t="shared" si="5"/>
        <v>0</v>
      </c>
      <c r="U19" s="129">
        <f t="shared" si="1"/>
        <v>0</v>
      </c>
      <c r="W19" s="129">
        <f t="shared" si="3"/>
        <v>0</v>
      </c>
    </row>
    <row r="20" spans="1:23" ht="21.6" thickBot="1">
      <c r="A20" s="168"/>
      <c r="B20" s="143" t="s">
        <v>198</v>
      </c>
      <c r="C20" s="123">
        <f>COUNTIFS(เรื่องร้องเรียน!E:E,"1",เรื่องร้องเรียน!N:N,"คลองสาน",เรื่องร้องเรียน!AN:AN,"ปากคลองสาน")</f>
        <v>0</v>
      </c>
      <c r="D20" s="117">
        <f>COUNTIFS(เรื่องร้องเรียน!E:E,"1",เรื่องร้องเรียน!N:N,"คลองสาน",เรื่องร้องเรียน!AN:AN,"ปากคลองสาน",เรื่องร้องเรียน!CL:CL,"1")</f>
        <v>0</v>
      </c>
      <c r="E20" s="117">
        <f>COUNTIFS(เรื่องร้องเรียน!E:E,"2",เรื่องร้องเรียน!N:N,"คลองสาน",เรื่องร้องเรียน!AN:AN,"ปากคลองสาน")</f>
        <v>0</v>
      </c>
      <c r="F20" s="117">
        <f>COUNTIFS(เรื่องร้องเรียน!E:E,"2",เรื่องร้องเรียน!N:N,"คลองสาน",เรื่องร้องเรียน!AN:AN,"ปากคลองสาน",เรื่องร้องเรียน!CL:CL,"1")</f>
        <v>0</v>
      </c>
      <c r="G20" s="117">
        <f>COUNTIFS(เรื่องร้องเรียน!E:E,"3",เรื่องร้องเรียน!N:N,"คลองสาน",เรื่องร้องเรียน!AN:AN,"ปากคลองสาน")</f>
        <v>0</v>
      </c>
      <c r="H20" s="117">
        <f>COUNTIFS(เรื่องร้องเรียน!E:E,"3",เรื่องร้องเรียน!N:N,"คลองสาน",เรื่องร้องเรียน!AN:AN,"ปากคลองสาน",เรื่องร้องเรียน!CL:CL,"1")</f>
        <v>0</v>
      </c>
      <c r="I20" s="117">
        <f>COUNTIFS(เรื่องร้องเรียน!E:E,"4",เรื่องร้องเรียน!N:N,"คลองสาน",เรื่องร้องเรียน!AN:AN,"ปากคลองสาน")</f>
        <v>0</v>
      </c>
      <c r="J20" s="152">
        <f>COUNTIFS(เรื่องร้องเรียน!E:E,"4",เรื่องร้องเรียน!N:N,"คลองสาน",เรื่องร้องเรียน!AN:AN,"ปากคลองสาน",เรื่องร้องเรียน!CL:CL,"1")</f>
        <v>0</v>
      </c>
      <c r="K20" s="152"/>
      <c r="L20" s="152"/>
      <c r="M20" s="117">
        <f>SUM(C20,E20,G20,I20,K20)</f>
        <v>0</v>
      </c>
      <c r="N20" s="122">
        <f>SUM(D20,F20,H20,J20,L20)</f>
        <v>0</v>
      </c>
      <c r="O20" s="153">
        <f>COUNTIFS(เรื่องร้องเรียน!E:E,"1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P20" s="152">
        <f>COUNTIFS(เรื่องร้องเรียน!E:E,"2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Q20" s="152">
        <f>COUNTIFS(เรื่องร้องเรียน!E:E,"3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R20" s="152">
        <f>COUNTIFS(เรื่องร้องเรียน!E:E,"4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S20" s="152"/>
      <c r="T20" s="154">
        <f>SUM(O20:S20)</f>
        <v>0</v>
      </c>
      <c r="U20" s="128">
        <f>M20-N20-T20</f>
        <v>0</v>
      </c>
      <c r="W20" s="129">
        <f t="shared" si="3"/>
        <v>0</v>
      </c>
    </row>
    <row r="21" spans="1:23" ht="21.6" thickBot="1">
      <c r="A21" s="130" t="s">
        <v>109</v>
      </c>
      <c r="B21" s="169" t="s">
        <v>152</v>
      </c>
      <c r="C21" s="132">
        <f>SUM(C22:C26 )</f>
        <v>0</v>
      </c>
      <c r="D21" s="131">
        <f t="shared" ref="D21:T21" si="9">SUM(D22:D26 )</f>
        <v>0</v>
      </c>
      <c r="E21" s="131">
        <f t="shared" si="9"/>
        <v>0</v>
      </c>
      <c r="F21" s="131">
        <f t="shared" si="9"/>
        <v>0</v>
      </c>
      <c r="G21" s="131">
        <f t="shared" si="9"/>
        <v>0</v>
      </c>
      <c r="H21" s="131">
        <f t="shared" si="9"/>
        <v>0</v>
      </c>
      <c r="I21" s="131">
        <f t="shared" si="9"/>
        <v>0</v>
      </c>
      <c r="J21" s="131">
        <f t="shared" si="9"/>
        <v>0</v>
      </c>
      <c r="K21" s="131">
        <f t="shared" si="9"/>
        <v>0</v>
      </c>
      <c r="L21" s="131">
        <f t="shared" si="9"/>
        <v>0</v>
      </c>
      <c r="M21" s="131">
        <f t="shared" si="9"/>
        <v>0</v>
      </c>
      <c r="N21" s="163">
        <f t="shared" si="9"/>
        <v>0</v>
      </c>
      <c r="O21" s="132">
        <f t="shared" si="9"/>
        <v>0</v>
      </c>
      <c r="P21" s="131">
        <f t="shared" si="9"/>
        <v>0</v>
      </c>
      <c r="Q21" s="131">
        <f t="shared" si="9"/>
        <v>0</v>
      </c>
      <c r="R21" s="131">
        <f t="shared" si="9"/>
        <v>0</v>
      </c>
      <c r="S21" s="131">
        <f t="shared" si="9"/>
        <v>0</v>
      </c>
      <c r="T21" s="133">
        <f t="shared" si="9"/>
        <v>0</v>
      </c>
      <c r="U21" s="134">
        <f t="shared" si="1"/>
        <v>0</v>
      </c>
      <c r="W21" s="135">
        <f t="shared" si="3"/>
        <v>0</v>
      </c>
    </row>
    <row r="22" spans="1:23">
      <c r="A22" s="165"/>
      <c r="B22" s="166" t="s">
        <v>20</v>
      </c>
      <c r="C22" s="140"/>
      <c r="D22" s="138"/>
      <c r="E22" s="138"/>
      <c r="F22" s="138"/>
      <c r="G22" s="138"/>
      <c r="H22" s="138"/>
      <c r="I22" s="138"/>
      <c r="J22" s="138"/>
      <c r="K22" s="138">
        <f>COUNTIFS(เรื่องร้องเรียน!E:E,"5",เรื่องร้องเรียน!N:N,"คลองสามวา")</f>
        <v>0</v>
      </c>
      <c r="L22" s="138">
        <f>COUNTIFS(เรื่องร้องเรียน!E:E,"5",เรื่องร้องเรียน!N:N,"คลองสามวา",เรื่องร้องเรียน!CL:CL,"1")</f>
        <v>0</v>
      </c>
      <c r="M22" s="138">
        <f t="shared" ref="M22:N26" si="10">SUM(C22,E22,G22,I22,K22)</f>
        <v>0</v>
      </c>
      <c r="N22" s="139">
        <f t="shared" si="10"/>
        <v>0</v>
      </c>
      <c r="O22" s="140"/>
      <c r="P22" s="138"/>
      <c r="Q22" s="138"/>
      <c r="R22" s="138"/>
      <c r="S22" s="138">
        <f>COUNTIFS(เรื่องร้องเรียน!E:E,"5",เรื่องร้องเรียน!N:N,"คลองสามวา",เรื่องร้องเรียน!AQ:AQ,"1",เรื่องร้องเรียน!CL:CL,"")</f>
        <v>0</v>
      </c>
      <c r="T22" s="141">
        <f t="shared" si="5"/>
        <v>0</v>
      </c>
      <c r="U22" s="129">
        <f t="shared" si="1"/>
        <v>0</v>
      </c>
      <c r="W22" s="129">
        <f t="shared" si="3"/>
        <v>0</v>
      </c>
    </row>
    <row r="23" spans="1:23">
      <c r="A23" s="148"/>
      <c r="B23" s="149" t="s">
        <v>77</v>
      </c>
      <c r="C23" s="246">
        <f>COUNTIFS(เรื่องร้องเรียน!E:E,"1",เรื่องร้องเรียน!N:N,"คลองสามวา",เรื่องร้องเรียน!AN:AN,"คันนายาว")</f>
        <v>0</v>
      </c>
      <c r="D23" s="109">
        <f>COUNTIFS(เรื่องร้องเรียน!E:E,"1",เรื่องร้องเรียน!N:N,"คลองสามวา",เรื่องร้องเรียน!AN:AN,"คันนายาว",เรื่องร้องเรียน!CL:CL,"1")</f>
        <v>0</v>
      </c>
      <c r="E23" s="109">
        <f>COUNTIFS(เรื่องร้องเรียน!E:E,"2",เรื่องร้องเรียน!N:N,"คลองสามวา",เรื่องร้องเรียน!AN:AN,"คันนายาว")</f>
        <v>0</v>
      </c>
      <c r="F23" s="109">
        <f>COUNTIFS(เรื่องร้องเรียน!E:E,"2",เรื่องร้องเรียน!N:N,"คลองสามวา",เรื่องร้องเรียน!AN:AN,"คันนายาว",เรื่องร้องเรียน!CL:CL,"1")</f>
        <v>0</v>
      </c>
      <c r="G23" s="109">
        <f>COUNTIFS(เรื่องร้องเรียน!E:E,"3",เรื่องร้องเรียน!N:N,"คลองสามวา",เรื่องร้องเรียน!AN:AN,"คันนายาว")</f>
        <v>0</v>
      </c>
      <c r="H23" s="109">
        <f>COUNTIFS(เรื่องร้องเรียน!E:E,"3",เรื่องร้องเรียน!N:N,"คลองสามวา",เรื่องร้องเรียน!AN:AN,"คันนายาว",เรื่องร้องเรียน!CL:CL,"1")</f>
        <v>0</v>
      </c>
      <c r="I23" s="109">
        <f>COUNTIFS(เรื่องร้องเรียน!E:E,"4",เรื่องร้องเรียน!N:N,"คลองสามวา",เรื่องร้องเรียน!AN:AN,"คันนายาว")</f>
        <v>0</v>
      </c>
      <c r="J23" s="144">
        <f>COUNTIFS(เรื่องร้องเรียน!E:E,"4",เรื่องร้องเรียน!N:N,"คลองสามวา",เรื่องร้องเรียน!AN:AN,"คันนายาว",เรื่องร้องเรียน!CL:CL,"1")</f>
        <v>0</v>
      </c>
      <c r="K23" s="144"/>
      <c r="L23" s="144"/>
      <c r="M23" s="109">
        <f t="shared" si="10"/>
        <v>0</v>
      </c>
      <c r="N23" s="145">
        <f t="shared" si="10"/>
        <v>0</v>
      </c>
      <c r="O23" s="146">
        <f>COUNTIFS(เรื่องร้องเรียน!E:E,"1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P23" s="144">
        <f>COUNTIFS(เรื่องร้องเรียน!E:E,"2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Q23" s="144">
        <f>COUNTIFS(เรื่องร้องเรียน!E:E,"3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R23" s="144">
        <f>COUNTIFS(เรื่องร้องเรียน!E:E,"4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S23" s="144"/>
      <c r="T23" s="147">
        <f t="shared" si="5"/>
        <v>0</v>
      </c>
      <c r="U23" s="129">
        <f t="shared" si="1"/>
        <v>0</v>
      </c>
      <c r="W23" s="129">
        <f t="shared" si="3"/>
        <v>0</v>
      </c>
    </row>
    <row r="24" spans="1:23">
      <c r="A24" s="148"/>
      <c r="B24" s="149" t="s">
        <v>131</v>
      </c>
      <c r="C24" s="246">
        <f>COUNTIFS(เรื่องร้องเรียน!E:E,"1",เรื่องร้องเรียน!N:N,"คลองสามวา",เรื่องร้องเรียน!AN:AN,"นิมิตรใหม่")</f>
        <v>0</v>
      </c>
      <c r="D24" s="109">
        <f>COUNTIFS(เรื่องร้องเรียน!E:E,"1",เรื่องร้องเรียน!N:N,"คลองสามวา",เรื่องร้องเรียน!AN:AN,"นิมิตรใหม่",เรื่องร้องเรียน!CL:CL,"1")</f>
        <v>0</v>
      </c>
      <c r="E24" s="109">
        <f>COUNTIFS(เรื่องร้องเรียน!E:E,"2",เรื่องร้องเรียน!N:N,"คลองสามวา",เรื่องร้องเรียน!AN:AN,"นิมิตรใหม่")</f>
        <v>0</v>
      </c>
      <c r="F24" s="109">
        <f>COUNTIFS(เรื่องร้องเรียน!E:E,"2",เรื่องร้องเรียน!N:N,"คลองสามวา",เรื่องร้องเรียน!AN:AN,"นิมิตรใหม่",เรื่องร้องเรียน!CL:CL,"1")</f>
        <v>0</v>
      </c>
      <c r="G24" s="109">
        <f>COUNTIFS(เรื่องร้องเรียน!E:E,"3",เรื่องร้องเรียน!N:N,"คลองสามวา",เรื่องร้องเรียน!AN:AN,"นิมิตรใหม่")</f>
        <v>0</v>
      </c>
      <c r="H24" s="109">
        <f>COUNTIFS(เรื่องร้องเรียน!E:E,"3",เรื่องร้องเรียน!N:N,"คลองสามวา",เรื่องร้องเรียน!AN:AN,"นิมิตรใหม่",เรื่องร้องเรียน!CL:CL,"1")</f>
        <v>0</v>
      </c>
      <c r="I24" s="109">
        <f>COUNTIFS(เรื่องร้องเรียน!E:E,"4",เรื่องร้องเรียน!N:N,"คลองสามวา",เรื่องร้องเรียน!AN:AN,"นิมิตรใหม่")</f>
        <v>0</v>
      </c>
      <c r="J24" s="144">
        <f>COUNTIFS(เรื่องร้องเรียน!E:E,"4",เรื่องร้องเรียน!N:N,"คลองสามวา",เรื่องร้องเรียน!AN:AN,"นิมิตรใหม่",เรื่องร้องเรียน!CL:CL,"1")</f>
        <v>0</v>
      </c>
      <c r="K24" s="144"/>
      <c r="L24" s="144"/>
      <c r="M24" s="109">
        <f t="shared" si="10"/>
        <v>0</v>
      </c>
      <c r="N24" s="145">
        <f t="shared" si="10"/>
        <v>0</v>
      </c>
      <c r="O24" s="146">
        <f>COUNTIFS(เรื่องร้องเรียน!E:E,"1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P24" s="144">
        <f>COUNTIFS(เรื่องร้องเรียน!E:E,"2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Q24" s="144">
        <f>COUNTIFS(เรื่องร้องเรียน!E:E,"3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R24" s="144">
        <f>COUNTIFS(เรื่องร้องเรียน!E:E,"4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S24" s="144"/>
      <c r="T24" s="147">
        <f t="shared" si="5"/>
        <v>0</v>
      </c>
      <c r="U24" s="129">
        <f t="shared" si="1"/>
        <v>0</v>
      </c>
      <c r="W24" s="129">
        <f t="shared" si="3"/>
        <v>0</v>
      </c>
    </row>
    <row r="25" spans="1:23">
      <c r="A25" s="148"/>
      <c r="B25" s="149" t="s">
        <v>102</v>
      </c>
      <c r="C25" s="246">
        <f>COUNTIFS(เรื่องร้องเรียน!E:E,"1",เรื่องร้องเรียน!N:N,"คลองสามวา",เรื่องร้องเรียน!AN:AN,"บางชัน")</f>
        <v>0</v>
      </c>
      <c r="D25" s="109">
        <f>COUNTIFS(เรื่องร้องเรียน!E:E,"1",เรื่องร้องเรียน!N:N,"คลองสามวา",เรื่องร้องเรียน!AN:AN,"บางชัน",เรื่องร้องเรียน!CL:CL,"1")</f>
        <v>0</v>
      </c>
      <c r="E25" s="109">
        <f>COUNTIFS(เรื่องร้องเรียน!E:E,"2",เรื่องร้องเรียน!N:N,"คลองสามวา",เรื่องร้องเรียน!AN:AN,"บางชัน")</f>
        <v>0</v>
      </c>
      <c r="F25" s="109">
        <f>COUNTIFS(เรื่องร้องเรียน!E:E,"2",เรื่องร้องเรียน!N:N,"คลองสามวา",เรื่องร้องเรียน!AN:AN,"บางชัน",เรื่องร้องเรียน!CL:CL,"1")</f>
        <v>0</v>
      </c>
      <c r="G25" s="109">
        <f>COUNTIFS(เรื่องร้องเรียน!E:E,"3",เรื่องร้องเรียน!N:N,"คลองสามวา",เรื่องร้องเรียน!AN:AN,"บางชัน")</f>
        <v>0</v>
      </c>
      <c r="H25" s="109">
        <f>COUNTIFS(เรื่องร้องเรียน!E:E,"3",เรื่องร้องเรียน!N:N,"คลองสามวา",เรื่องร้องเรียน!AN:AN,"บางชัน",เรื่องร้องเรียน!CL:CL,"1")</f>
        <v>0</v>
      </c>
      <c r="I25" s="109">
        <f>COUNTIFS(เรื่องร้องเรียน!E:E,"4",เรื่องร้องเรียน!N:N,"คลองสามวา",เรื่องร้องเรียน!AN:AN,"บางชัน")</f>
        <v>0</v>
      </c>
      <c r="J25" s="144">
        <f>COUNTIFS(เรื่องร้องเรียน!E:E,"4",เรื่องร้องเรียน!N:N,"คลองสามวา",เรื่องร้องเรียน!AN:AN,"บางชัน",เรื่องร้องเรียน!CL:CL,"1")</f>
        <v>0</v>
      </c>
      <c r="K25" s="144"/>
      <c r="L25" s="144"/>
      <c r="M25" s="109">
        <f t="shared" si="10"/>
        <v>0</v>
      </c>
      <c r="N25" s="145">
        <f t="shared" si="10"/>
        <v>0</v>
      </c>
      <c r="O25" s="146">
        <f>COUNTIFS(เรื่องร้องเรียน!E:E,"1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P25" s="144">
        <f>COUNTIFS(เรื่องร้องเรียน!E:E,"2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Q25" s="144">
        <f>COUNTIFS(เรื่องร้องเรียน!E:E,"3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R25" s="144">
        <f>COUNTIFS(เรื่องร้องเรียน!E:E,"4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S25" s="144"/>
      <c r="T25" s="147">
        <f t="shared" si="5"/>
        <v>0</v>
      </c>
      <c r="U25" s="129">
        <f t="shared" si="1"/>
        <v>0</v>
      </c>
      <c r="W25" s="129">
        <f t="shared" si="3"/>
        <v>0</v>
      </c>
    </row>
    <row r="26" spans="1:23" ht="21.6" thickBot="1">
      <c r="A26" s="150"/>
      <c r="B26" s="151" t="s">
        <v>116</v>
      </c>
      <c r="C26" s="123">
        <f>COUNTIFS(เรื่องร้องเรียน!E:E,"1",เรื่องร้องเรียน!N:N,"คลองสามวา",เรื่องร้องเรียน!AN:AN,"มีนบุรี")</f>
        <v>0</v>
      </c>
      <c r="D26" s="117">
        <f>COUNTIFS(เรื่องร้องเรียน!E:E,"1",เรื่องร้องเรียน!N:N,"คลองสามวา",เรื่องร้องเรียน!AN:AN,"มีนบุรี",เรื่องร้องเรียน!CL:CL,"1")</f>
        <v>0</v>
      </c>
      <c r="E26" s="117">
        <f>COUNTIFS(เรื่องร้องเรียน!E:E,"2",เรื่องร้องเรียน!N:N,"คลองสามวา",เรื่องร้องเรียน!AN:AN,"มีนบุรี")</f>
        <v>0</v>
      </c>
      <c r="F26" s="117">
        <f>COUNTIFS(เรื่องร้องเรียน!E:E,"2",เรื่องร้องเรียน!N:N,"คลองสามวา",เรื่องร้องเรียน!AN:AN,"มีนบุรี",เรื่องร้องเรียน!CL:CL,"1")</f>
        <v>0</v>
      </c>
      <c r="G26" s="117">
        <f>COUNTIFS(เรื่องร้องเรียน!E:E,"3",เรื่องร้องเรียน!N:N,"คลองสามวา",เรื่องร้องเรียน!AN:AN,"มีนบุรี")</f>
        <v>0</v>
      </c>
      <c r="H26" s="117">
        <f>COUNTIFS(เรื่องร้องเรียน!E:E,"3",เรื่องร้องเรียน!N:N,"คลองสามวา",เรื่องร้องเรียน!AN:AN,"มีนบุรี",เรื่องร้องเรียน!CL:CL,"1")</f>
        <v>0</v>
      </c>
      <c r="I26" s="117">
        <f>COUNTIFS(เรื่องร้องเรียน!E:E,"4",เรื่องร้องเรียน!N:N,"คลองสามวา",เรื่องร้องเรียน!AN:AN,"มีนบุรี")</f>
        <v>0</v>
      </c>
      <c r="J26" s="152">
        <f>COUNTIFS(เรื่องร้องเรียน!E:E,"4",เรื่องร้องเรียน!N:N,"คลองสามวา",เรื่องร้องเรียน!AN:AN,"มีนบุรี",เรื่องร้องเรียน!CL:CL,"1")</f>
        <v>0</v>
      </c>
      <c r="K26" s="152"/>
      <c r="L26" s="152"/>
      <c r="M26" s="117">
        <f t="shared" si="10"/>
        <v>0</v>
      </c>
      <c r="N26" s="122">
        <f t="shared" si="10"/>
        <v>0</v>
      </c>
      <c r="O26" s="153">
        <f>COUNTIFS(เรื่องร้องเรียน!E:E,"1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P26" s="152">
        <f>COUNTIFS(เรื่องร้องเรียน!E:E,"2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Q26" s="152">
        <f>COUNTIFS(เรื่องร้องเรียน!E:E,"3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R26" s="152">
        <f>COUNTIFS(เรื่องร้องเรียน!E:E,"4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S26" s="152"/>
      <c r="T26" s="154">
        <f t="shared" si="5"/>
        <v>0</v>
      </c>
      <c r="U26" s="129">
        <f t="shared" si="1"/>
        <v>0</v>
      </c>
      <c r="W26" s="129">
        <f t="shared" si="3"/>
        <v>0</v>
      </c>
    </row>
    <row r="27" spans="1:23" ht="21.6" thickBot="1">
      <c r="A27" s="130" t="s">
        <v>77</v>
      </c>
      <c r="B27" s="169" t="s">
        <v>152</v>
      </c>
      <c r="C27" s="132">
        <f>SUM(C28:C32 )</f>
        <v>0</v>
      </c>
      <c r="D27" s="131">
        <f t="shared" ref="D27:T27" si="11">SUM(D28:D32 )</f>
        <v>0</v>
      </c>
      <c r="E27" s="131">
        <f t="shared" si="11"/>
        <v>0</v>
      </c>
      <c r="F27" s="131">
        <f t="shared" si="11"/>
        <v>0</v>
      </c>
      <c r="G27" s="131">
        <f t="shared" si="11"/>
        <v>0</v>
      </c>
      <c r="H27" s="131">
        <f t="shared" si="11"/>
        <v>0</v>
      </c>
      <c r="I27" s="131">
        <f t="shared" si="11"/>
        <v>0</v>
      </c>
      <c r="J27" s="131">
        <f t="shared" si="11"/>
        <v>0</v>
      </c>
      <c r="K27" s="131">
        <f t="shared" si="11"/>
        <v>0</v>
      </c>
      <c r="L27" s="131">
        <f t="shared" si="11"/>
        <v>0</v>
      </c>
      <c r="M27" s="131">
        <f t="shared" si="11"/>
        <v>0</v>
      </c>
      <c r="N27" s="163">
        <f t="shared" si="11"/>
        <v>0</v>
      </c>
      <c r="O27" s="132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3">
        <f t="shared" si="11"/>
        <v>0</v>
      </c>
      <c r="U27" s="134">
        <f t="shared" si="1"/>
        <v>0</v>
      </c>
      <c r="W27" s="135">
        <f t="shared" si="3"/>
        <v>0</v>
      </c>
    </row>
    <row r="28" spans="1:23">
      <c r="A28" s="165"/>
      <c r="B28" s="170" t="s">
        <v>20</v>
      </c>
      <c r="C28" s="140"/>
      <c r="D28" s="138"/>
      <c r="E28" s="138"/>
      <c r="F28" s="138"/>
      <c r="G28" s="138"/>
      <c r="H28" s="138"/>
      <c r="I28" s="138"/>
      <c r="J28" s="138"/>
      <c r="K28" s="138">
        <f>COUNTIFS(เรื่องร้องเรียน!E:E,"5",เรื่องร้องเรียน!N:N,"คันนายาว")</f>
        <v>0</v>
      </c>
      <c r="L28" s="138">
        <f>COUNTIFS(เรื่องร้องเรียน!E:E,"5",เรื่องร้องเรียน!N:N,"คันนายาว",เรื่องร้องเรียน!CL:CL,"1")</f>
        <v>0</v>
      </c>
      <c r="M28" s="138">
        <f t="shared" ref="M28:N32" si="12">SUM(C28,E28,G28,I28,K28)</f>
        <v>0</v>
      </c>
      <c r="N28" s="139">
        <f t="shared" si="12"/>
        <v>0</v>
      </c>
      <c r="O28" s="140"/>
      <c r="P28" s="138"/>
      <c r="Q28" s="138"/>
      <c r="R28" s="138"/>
      <c r="S28" s="138">
        <f>COUNTIFS(เรื่องร้องเรียน!E:E,"5",เรื่องร้องเรียน!N:N,"คันนายาว",เรื่องร้องเรียน!AQ:AQ,"1",เรื่องร้องเรียน!CL:CL,"")</f>
        <v>0</v>
      </c>
      <c r="T28" s="141">
        <f t="shared" si="5"/>
        <v>0</v>
      </c>
      <c r="U28" s="129">
        <f t="shared" si="1"/>
        <v>0</v>
      </c>
      <c r="W28" s="129">
        <f t="shared" si="3"/>
        <v>0</v>
      </c>
    </row>
    <row r="29" spans="1:23">
      <c r="A29" s="148"/>
      <c r="B29" s="171" t="s">
        <v>77</v>
      </c>
      <c r="C29" s="246">
        <f>COUNTIFS(เรื่องร้องเรียน!E:E,"1",เรื่องร้องเรียน!N:N,"คันนายาว",เรื่องร้องเรียน!AN:AN,"คันนายาว")</f>
        <v>0</v>
      </c>
      <c r="D29" s="109">
        <f>COUNTIFS(เรื่องร้องเรียน!E:E,"1",เรื่องร้องเรียน!N:N,"คันนายาว",เรื่องร้องเรียน!AN:AN,"คันนายาว",เรื่องร้องเรียน!CL:CL,"1")</f>
        <v>0</v>
      </c>
      <c r="E29" s="109">
        <f>COUNTIFS(เรื่องร้องเรียน!E:E,"2",เรื่องร้องเรียน!N:N,"คันนายาว",เรื่องร้องเรียน!AN:AN,"คันนายาว")</f>
        <v>0</v>
      </c>
      <c r="F29" s="109">
        <f>COUNTIFS(เรื่องร้องเรียน!E:E,"2",เรื่องร้องเรียน!N:N,"คันนายาว",เรื่องร้องเรียน!AN:AN,"คันนายาว",เรื่องร้องเรียน!CL:CL,"1")</f>
        <v>0</v>
      </c>
      <c r="G29" s="109">
        <f>COUNTIFS(เรื่องร้องเรียน!E:E,"3",เรื่องร้องเรียน!N:N,"คันนายาว",เรื่องร้องเรียน!AN:AN,"คันนายาว")</f>
        <v>0</v>
      </c>
      <c r="H29" s="109">
        <f>COUNTIFS(เรื่องร้องเรียน!E:E,"3",เรื่องร้องเรียน!N:N,"คันนายาว",เรื่องร้องเรียน!AN:AN,"คันนายาว",เรื่องร้องเรียน!CL:CL,"1")</f>
        <v>0</v>
      </c>
      <c r="I29" s="109">
        <f>COUNTIFS(เรื่องร้องเรียน!E:E,"4",เรื่องร้องเรียน!N:N,"คันนายาว",เรื่องร้องเรียน!AN:AN,"คันนายาว")</f>
        <v>0</v>
      </c>
      <c r="J29" s="144">
        <f>COUNTIFS(เรื่องร้องเรียน!E:E,"4",เรื่องร้องเรียน!N:N,"คันนายาว",เรื่องร้องเรียน!AN:AN,"คันนายาว",เรื่องร้องเรียน!CL:CL,"1")</f>
        <v>0</v>
      </c>
      <c r="K29" s="144"/>
      <c r="L29" s="144"/>
      <c r="M29" s="109">
        <f t="shared" si="12"/>
        <v>0</v>
      </c>
      <c r="N29" s="145">
        <f t="shared" si="12"/>
        <v>0</v>
      </c>
      <c r="O29" s="146">
        <f>COUNTIFS(เรื่องร้องเรียน!E:E,"1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P29" s="144">
        <f>COUNTIFS(เรื่องร้องเรียน!E:E,"2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Q29" s="144">
        <f>COUNTIFS(เรื่องร้องเรียน!E:E,"3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R29" s="144">
        <f>COUNTIFS(เรื่องร้องเรียน!E:E,"4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S29" s="144"/>
      <c r="T29" s="147">
        <f t="shared" si="5"/>
        <v>0</v>
      </c>
      <c r="U29" s="129">
        <f t="shared" si="1"/>
        <v>0</v>
      </c>
      <c r="W29" s="129">
        <f t="shared" si="3"/>
        <v>0</v>
      </c>
    </row>
    <row r="30" spans="1:23">
      <c r="A30" s="148"/>
      <c r="B30" s="171" t="s">
        <v>69</v>
      </c>
      <c r="C30" s="246">
        <f>COUNTIFS(เรื่องร้องเรียน!E:E,"1",เรื่องร้องเรียน!N:N,"คันนายาว",เรื่องร้องเรียน!AN:AN,"โคกคราม")</f>
        <v>0</v>
      </c>
      <c r="D30" s="109">
        <f>COUNTIFS(เรื่องร้องเรียน!E:E,"1",เรื่องร้องเรียน!N:N,"คันนายาว",เรื่องร้องเรียน!AN:AN,"โคกคราม",เรื่องร้องเรียน!CL:CL,"1")</f>
        <v>0</v>
      </c>
      <c r="E30" s="109">
        <f>COUNTIFS(เรื่องร้องเรียน!E:E,"2",เรื่องร้องเรียน!N:N,"คันนายาว",เรื่องร้องเรียน!AN:AN,"โคกคราม")</f>
        <v>0</v>
      </c>
      <c r="F30" s="109">
        <f>COUNTIFS(เรื่องร้องเรียน!E:E,"2",เรื่องร้องเรียน!N:N,"คันนายาว",เรื่องร้องเรียน!AN:AN,"โคกคราม",เรื่องร้องเรียน!CL:CL,"1")</f>
        <v>0</v>
      </c>
      <c r="G30" s="109">
        <f>COUNTIFS(เรื่องร้องเรียน!E:E,"3",เรื่องร้องเรียน!N:N,"คันนายาว",เรื่องร้องเรียน!AN:AN,"โคกคราม")</f>
        <v>0</v>
      </c>
      <c r="H30" s="109">
        <f>COUNTIFS(เรื่องร้องเรียน!E:E,"3",เรื่องร้องเรียน!N:N,"คันนายาว",เรื่องร้องเรียน!AN:AN,"โคกคราม",เรื่องร้องเรียน!CL:CL,"1")</f>
        <v>0</v>
      </c>
      <c r="I30" s="109">
        <f>COUNTIFS(เรื่องร้องเรียน!E:E,"4",เรื่องร้องเรียน!N:N,"คันนายาว",เรื่องร้องเรียน!AN:AN,"โคกคราม")</f>
        <v>0</v>
      </c>
      <c r="J30" s="144">
        <f>COUNTIFS(เรื่องร้องเรียน!E:E,"4",เรื่องร้องเรียน!N:N,"คันนายาว",เรื่องร้องเรียน!AN:AN,"โคกคราม",เรื่องร้องเรียน!CL:CL,"1")</f>
        <v>0</v>
      </c>
      <c r="K30" s="144"/>
      <c r="L30" s="144"/>
      <c r="M30" s="109">
        <f t="shared" si="12"/>
        <v>0</v>
      </c>
      <c r="N30" s="145">
        <f t="shared" si="12"/>
        <v>0</v>
      </c>
      <c r="O30" s="146">
        <f>COUNTIFS(เรื่องร้องเรียน!E:E,"1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P30" s="144">
        <f>COUNTIFS(เรื่องร้องเรียน!E:E,"2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Q30" s="144">
        <f>COUNTIFS(เรื่องร้องเรียน!E:E,"3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R30" s="144">
        <f>COUNTIFS(เรื่องร้องเรียน!E:E,"4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S30" s="144"/>
      <c r="T30" s="147">
        <f t="shared" si="5"/>
        <v>0</v>
      </c>
      <c r="U30" s="129">
        <f t="shared" si="1"/>
        <v>0</v>
      </c>
      <c r="W30" s="129">
        <f t="shared" si="3"/>
        <v>0</v>
      </c>
    </row>
    <row r="31" spans="1:23">
      <c r="A31" s="148"/>
      <c r="B31" s="171" t="s">
        <v>102</v>
      </c>
      <c r="C31" s="246">
        <f>COUNTIFS(เรื่องร้องเรียน!E:E,"1",เรื่องร้องเรียน!N:N,"คันนายาว",เรื่องร้องเรียน!AN:AN,"บางชัน")</f>
        <v>0</v>
      </c>
      <c r="D31" s="109">
        <f>COUNTIFS(เรื่องร้องเรียน!E:E,"1",เรื่องร้องเรียน!N:N,"คันนายาว",เรื่องร้องเรียน!AN:AN,"บางชัน",เรื่องร้องเรียน!CL:CL,"1")</f>
        <v>0</v>
      </c>
      <c r="E31" s="109">
        <f>COUNTIFS(เรื่องร้องเรียน!E:E,"2",เรื่องร้องเรียน!N:N,"คันนายาว",เรื่องร้องเรียน!AN:AN,"บางชัน")</f>
        <v>0</v>
      </c>
      <c r="F31" s="109">
        <f>COUNTIFS(เรื่องร้องเรียน!E:E,"2",เรื่องร้องเรียน!N:N,"คันนายาว",เรื่องร้องเรียน!AN:AN,"บางชัน",เรื่องร้องเรียน!CL:CL,"1")</f>
        <v>0</v>
      </c>
      <c r="G31" s="109">
        <f>COUNTIFS(เรื่องร้องเรียน!E:E,"3",เรื่องร้องเรียน!N:N,"คันนายาว",เรื่องร้องเรียน!AN:AN,"บางชัน")</f>
        <v>0</v>
      </c>
      <c r="H31" s="109">
        <f>COUNTIFS(เรื่องร้องเรียน!E:E,"3",เรื่องร้องเรียน!N:N,"คันนายาว",เรื่องร้องเรียน!AN:AN,"บางชัน",เรื่องร้องเรียน!CL:CL,"1")</f>
        <v>0</v>
      </c>
      <c r="I31" s="109">
        <f>COUNTIFS(เรื่องร้องเรียน!E:E,"4",เรื่องร้องเรียน!N:N,"คันนายาว",เรื่องร้องเรียน!AN:AN,"บางชัน")</f>
        <v>0</v>
      </c>
      <c r="J31" s="144">
        <f>COUNTIFS(เรื่องร้องเรียน!E:E,"4",เรื่องร้องเรียน!N:N,"คันนายาว",เรื่องร้องเรียน!AN:AN,"บางชัน",เรื่องร้องเรียน!CL:CL,"1")</f>
        <v>0</v>
      </c>
      <c r="K31" s="144"/>
      <c r="L31" s="144"/>
      <c r="M31" s="109">
        <f t="shared" si="12"/>
        <v>0</v>
      </c>
      <c r="N31" s="145">
        <f t="shared" si="12"/>
        <v>0</v>
      </c>
      <c r="O31" s="146">
        <f>COUNTIFS(เรื่องร้องเรียน!E:E,"1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P31" s="144">
        <f>COUNTIFS(เรื่องร้องเรียน!E:E,"2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Q31" s="144">
        <f>COUNTIFS(เรื่องร้องเรียน!E:E,"3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R31" s="144">
        <f>COUNTIFS(เรื่องร้องเรียน!E:E,"4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S31" s="144"/>
      <c r="T31" s="147">
        <f t="shared" si="5"/>
        <v>0</v>
      </c>
      <c r="U31" s="129">
        <f t="shared" si="1"/>
        <v>0</v>
      </c>
      <c r="W31" s="129">
        <f t="shared" si="3"/>
        <v>0</v>
      </c>
    </row>
    <row r="32" spans="1:23" ht="21.6" thickBot="1">
      <c r="A32" s="150"/>
      <c r="B32" s="172" t="s">
        <v>67</v>
      </c>
      <c r="C32" s="123">
        <f>COUNTIFS(เรื่องร้องเรียน!E:E,"1",เรื่องร้องเรียน!N:N,"คันนายาว",เรื่องร้องเรียน!AN:AN,"บึงกุ่ม")</f>
        <v>0</v>
      </c>
      <c r="D32" s="117">
        <f>COUNTIFS(เรื่องร้องเรียน!E:E,"1",เรื่องร้องเรียน!N:N,"คันนายาว",เรื่องร้องเรียน!AN:AN,"บึงกุ่ม",เรื่องร้องเรียน!CL:CL,"1")</f>
        <v>0</v>
      </c>
      <c r="E32" s="117">
        <f>COUNTIFS(เรื่องร้องเรียน!E:E,"2",เรื่องร้องเรียน!N:N,"คันนายาว",เรื่องร้องเรียน!AN:AN,"บึงกุ่ม")</f>
        <v>0</v>
      </c>
      <c r="F32" s="117">
        <f>COUNTIFS(เรื่องร้องเรียน!E:E,"2",เรื่องร้องเรียน!N:N,"คันนายาว",เรื่องร้องเรียน!AN:AN,"บึงกุ่ม",เรื่องร้องเรียน!CL:CL,"1")</f>
        <v>0</v>
      </c>
      <c r="G32" s="117">
        <f>COUNTIFS(เรื่องร้องเรียน!E:E,"3",เรื่องร้องเรียน!N:N,"คันนายาว",เรื่องร้องเรียน!AN:AN,"บึงกุ่ม")</f>
        <v>0</v>
      </c>
      <c r="H32" s="117">
        <f>COUNTIFS(เรื่องร้องเรียน!E:E,"3",เรื่องร้องเรียน!N:N,"คันนายาว",เรื่องร้องเรียน!AN:AN,"บึงกุ่ม",เรื่องร้องเรียน!CL:CL,"1")</f>
        <v>0</v>
      </c>
      <c r="I32" s="117">
        <f>COUNTIFS(เรื่องร้องเรียน!E:E,"4",เรื่องร้องเรียน!N:N,"คันนายาว",เรื่องร้องเรียน!AN:AN,"บึงกุ่ม")</f>
        <v>0</v>
      </c>
      <c r="J32" s="152">
        <f>COUNTIFS(เรื่องร้องเรียน!E:E,"4",เรื่องร้องเรียน!N:N,"คันนายาว",เรื่องร้องเรียน!AN:AN,"บึงกุ่ม",เรื่องร้องเรียน!CL:CL,"1")</f>
        <v>0</v>
      </c>
      <c r="K32" s="152"/>
      <c r="L32" s="152"/>
      <c r="M32" s="117">
        <f t="shared" si="12"/>
        <v>0</v>
      </c>
      <c r="N32" s="122">
        <f t="shared" si="12"/>
        <v>0</v>
      </c>
      <c r="O32" s="153">
        <f>COUNTIFS(เรื่องร้องเรียน!E:E,"1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P32" s="152">
        <f>COUNTIFS(เรื่องร้องเรียน!E:E,"2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Q32" s="152">
        <f>COUNTIFS(เรื่องร้องเรียน!E:E,"3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R32" s="152">
        <f>COUNTIFS(เรื่องร้องเรียน!E:E,"4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S32" s="152"/>
      <c r="T32" s="154">
        <f t="shared" si="5"/>
        <v>0</v>
      </c>
      <c r="U32" s="129">
        <f t="shared" si="1"/>
        <v>0</v>
      </c>
      <c r="W32" s="129">
        <f t="shared" si="3"/>
        <v>0</v>
      </c>
    </row>
    <row r="33" spans="1:23" ht="21.6" thickBot="1">
      <c r="A33" s="130" t="s">
        <v>99</v>
      </c>
      <c r="B33" s="169" t="s">
        <v>152</v>
      </c>
      <c r="C33" s="132">
        <f>SUM(C34:C41)</f>
        <v>0</v>
      </c>
      <c r="D33" s="131">
        <f t="shared" ref="D33:T33" si="13">SUM(D34:D41)</f>
        <v>0</v>
      </c>
      <c r="E33" s="131">
        <f t="shared" si="13"/>
        <v>0</v>
      </c>
      <c r="F33" s="131">
        <f t="shared" si="13"/>
        <v>0</v>
      </c>
      <c r="G33" s="131">
        <f t="shared" si="13"/>
        <v>0</v>
      </c>
      <c r="H33" s="131">
        <f t="shared" si="13"/>
        <v>0</v>
      </c>
      <c r="I33" s="131">
        <f t="shared" si="13"/>
        <v>0</v>
      </c>
      <c r="J33" s="131">
        <f t="shared" si="13"/>
        <v>0</v>
      </c>
      <c r="K33" s="131">
        <f t="shared" si="13"/>
        <v>0</v>
      </c>
      <c r="L33" s="131">
        <f t="shared" si="13"/>
        <v>0</v>
      </c>
      <c r="M33" s="131">
        <f t="shared" si="13"/>
        <v>0</v>
      </c>
      <c r="N33" s="163">
        <f t="shared" si="13"/>
        <v>0</v>
      </c>
      <c r="O33" s="132">
        <f t="shared" si="13"/>
        <v>0</v>
      </c>
      <c r="P33" s="132">
        <f t="shared" si="13"/>
        <v>0</v>
      </c>
      <c r="Q33" s="132">
        <f t="shared" si="13"/>
        <v>0</v>
      </c>
      <c r="R33" s="132">
        <f t="shared" si="13"/>
        <v>0</v>
      </c>
      <c r="S33" s="131">
        <f t="shared" si="13"/>
        <v>0</v>
      </c>
      <c r="T33" s="133">
        <f t="shared" si="13"/>
        <v>0</v>
      </c>
      <c r="U33" s="134">
        <f t="shared" si="1"/>
        <v>0</v>
      </c>
      <c r="W33" s="135">
        <f t="shared" si="3"/>
        <v>0</v>
      </c>
    </row>
    <row r="34" spans="1:23">
      <c r="A34" s="165"/>
      <c r="B34" s="170" t="s">
        <v>20</v>
      </c>
      <c r="C34" s="140"/>
      <c r="D34" s="138"/>
      <c r="E34" s="138"/>
      <c r="F34" s="138"/>
      <c r="G34" s="138"/>
      <c r="H34" s="138"/>
      <c r="I34" s="138"/>
      <c r="J34" s="138"/>
      <c r="K34" s="138">
        <f>COUNTIFS(เรื่องร้องเรียน!E:E,"5",เรื่องร้องเรียน!N:N,"จตุจักร")</f>
        <v>0</v>
      </c>
      <c r="L34" s="138">
        <f>COUNTIFS(เรื่องร้องเรียน!E:E,"5",เรื่องร้องเรียน!N:N,"จตุจักร",เรื่องร้องเรียน!CL:CL,"1")</f>
        <v>0</v>
      </c>
      <c r="M34" s="138">
        <f t="shared" ref="M34:N41" si="14">SUM(C34,E34,G34,I34,K34)</f>
        <v>0</v>
      </c>
      <c r="N34" s="139">
        <f t="shared" si="14"/>
        <v>0</v>
      </c>
      <c r="O34" s="140"/>
      <c r="P34" s="138"/>
      <c r="Q34" s="138"/>
      <c r="R34" s="138"/>
      <c r="S34" s="138">
        <f>COUNTIFS(เรื่องร้องเรียน!E:E,"5",เรื่องร้องเรียน!N:N,"จตุจักร",เรื่องร้องเรียน!AQ:AQ,"1",เรื่องร้องเรียน!CL:CL,"")</f>
        <v>0</v>
      </c>
      <c r="T34" s="141">
        <f t="shared" si="5"/>
        <v>0</v>
      </c>
      <c r="U34" s="129">
        <f t="shared" si="1"/>
        <v>0</v>
      </c>
      <c r="W34" s="129">
        <f t="shared" si="3"/>
        <v>0</v>
      </c>
    </row>
    <row r="35" spans="1:23">
      <c r="A35" s="165"/>
      <c r="B35" s="171" t="s">
        <v>117</v>
      </c>
      <c r="C35" s="246">
        <f>COUNTIFS(เรื่องร้องเรียน!E:E,"1",เรื่องร้องเรียน!N:N,"จตุจักร",เรื่องร้องเรียน!AN:AN,"ทุ่งสองห้อง")</f>
        <v>0</v>
      </c>
      <c r="D35" s="109">
        <f>COUNTIFS(เรื่องร้องเรียน!E:E,"1",เรื่องร้องเรียน!N:N,"จตุจักร",เรื่องร้องเรียน!AN:AN,"ทุ่งสองห้อง",เรื่องร้องเรียน!CL:CL,"1")</f>
        <v>0</v>
      </c>
      <c r="E35" s="109">
        <f>COUNTIFS(เรื่องร้องเรียน!E:E,"2",เรื่องร้องเรียน!N:N,"จตุจักร",เรื่องร้องเรียน!AN:AN,"ทุ่งสองห้อง")</f>
        <v>0</v>
      </c>
      <c r="F35" s="109">
        <f>COUNTIFS(เรื่องร้องเรียน!E:E,"2",เรื่องร้องเรียน!N:N,"จตุจักร",เรื่องร้องเรียน!AN:AN,"ทุ่งสองห้อง",เรื่องร้องเรียน!CL:CL,"1")</f>
        <v>0</v>
      </c>
      <c r="G35" s="109">
        <f>COUNTIFS(เรื่องร้องเรียน!E:E,"3",เรื่องร้องเรียน!N:N,"จตุจักร",เรื่องร้องเรียน!AN:AN,"ทุ่งสองห้อง")</f>
        <v>0</v>
      </c>
      <c r="H35" s="109">
        <f>COUNTIFS(เรื่องร้องเรียน!E:E,"3",เรื่องร้องเรียน!N:N,"จตุจักร",เรื่องร้องเรียน!AN:AN,"ทุ่งสองห้อง",เรื่องร้องเรียน!CL:CL,"1")</f>
        <v>0</v>
      </c>
      <c r="I35" s="109">
        <f>COUNTIFS(เรื่องร้องเรียน!E:E,"4",เรื่องร้องเรียน!N:N,"จตุจักร",เรื่องร้องเรียน!AN:AN,"ทุ่งสองห้อง")</f>
        <v>0</v>
      </c>
      <c r="J35" s="144">
        <f>COUNTIFS(เรื่องร้องเรียน!E:E,"4",เรื่องร้องเรียน!N:N,"จตุจักร",เรื่องร้องเรียน!AN:AN,"ทุ่งสองห้อง",เรื่องร้องเรียน!CL:CL,"1")</f>
        <v>0</v>
      </c>
      <c r="K35" s="144"/>
      <c r="L35" s="144"/>
      <c r="M35" s="109">
        <f t="shared" si="14"/>
        <v>0</v>
      </c>
      <c r="N35" s="145">
        <f t="shared" si="14"/>
        <v>0</v>
      </c>
      <c r="O35" s="146">
        <f>COUNTIFS(เรื่องร้องเรียน!E:E,"1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P35" s="144">
        <f>COUNTIFS(เรื่องร้องเรียน!E:E,"2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Q35" s="144">
        <f>COUNTIFS(เรื่องร้องเรียน!E:E,"3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R35" s="144">
        <f>COUNTIFS(เรื่องร้องเรียน!E:E,"4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S35" s="144"/>
      <c r="T35" s="147">
        <f t="shared" si="5"/>
        <v>0</v>
      </c>
      <c r="U35" s="129">
        <f t="shared" si="1"/>
        <v>0</v>
      </c>
      <c r="W35" s="129">
        <f t="shared" si="3"/>
        <v>0</v>
      </c>
    </row>
    <row r="36" spans="1:23">
      <c r="A36" s="148"/>
      <c r="B36" s="171" t="s">
        <v>107</v>
      </c>
      <c r="C36" s="246">
        <f>COUNTIFS(เรื่องร้องเรียน!E:E,"1",เรื่องร้องเรียน!N:N,"จตุจักร",เรื่องร้องเรียน!AN:AN,"บางเขน")</f>
        <v>0</v>
      </c>
      <c r="D36" s="109">
        <f>COUNTIFS(เรื่องร้องเรียน!E:E,"1",เรื่องร้องเรียน!N:N,"จตุจักร",เรื่องร้องเรียน!AN:AN,"บางเขน",เรื่องร้องเรียน!CL:CL,"1")</f>
        <v>0</v>
      </c>
      <c r="E36" s="109">
        <f>COUNTIFS(เรื่องร้องเรียน!E:E,"2",เรื่องร้องเรียน!N:N,"จตุจักร",เรื่องร้องเรียน!AN:AN,"บางเขน")</f>
        <v>0</v>
      </c>
      <c r="F36" s="109">
        <f>COUNTIFS(เรื่องร้องเรียน!E:E,"2",เรื่องร้องเรียน!N:N,"จตุจักร",เรื่องร้องเรียน!AN:AN,"บางเขน",เรื่องร้องเรียน!CL:CL,"1")</f>
        <v>0</v>
      </c>
      <c r="G36" s="109">
        <f>COUNTIFS(เรื่องร้องเรียน!E:E,"3",เรื่องร้องเรียน!N:N,"จตุจักร",เรื่องร้องเรียน!AN:AN,"บางเขน")</f>
        <v>0</v>
      </c>
      <c r="H36" s="109">
        <f>COUNTIFS(เรื่องร้องเรียน!E:E,"3",เรื่องร้องเรียน!N:N,"จตุจักร",เรื่องร้องเรียน!AN:AN,"บางเขน",เรื่องร้องเรียน!CL:CL,"1")</f>
        <v>0</v>
      </c>
      <c r="I36" s="109">
        <f>COUNTIFS(เรื่องร้องเรียน!E:E,"4",เรื่องร้องเรียน!N:N,"จตุจักร",เรื่องร้องเรียน!AN:AN,"บางเขน")</f>
        <v>0</v>
      </c>
      <c r="J36" s="144">
        <f>COUNTIFS(เรื่องร้องเรียน!E:E,"4",เรื่องร้องเรียน!N:N,"จตุจักร",เรื่องร้องเรียน!AN:AN,"บางเขน",เรื่องร้องเรียน!CL:CL,"1")</f>
        <v>0</v>
      </c>
      <c r="K36" s="144"/>
      <c r="L36" s="144"/>
      <c r="M36" s="109">
        <f t="shared" si="14"/>
        <v>0</v>
      </c>
      <c r="N36" s="145">
        <f t="shared" si="14"/>
        <v>0</v>
      </c>
      <c r="O36" s="146">
        <f>COUNTIFS(เรื่องร้องเรียน!E:E,"1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P36" s="144">
        <f>COUNTIFS(เรื่องร้องเรียน!E:E,"2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Q36" s="144">
        <f>COUNTIFS(เรื่องร้องเรียน!E:E,"3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R36" s="144">
        <f>COUNTIFS(เรื่องร้องเรียน!E:E,"4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S36" s="144"/>
      <c r="T36" s="147">
        <f t="shared" si="5"/>
        <v>0</v>
      </c>
      <c r="U36" s="129">
        <f t="shared" si="1"/>
        <v>0</v>
      </c>
      <c r="W36" s="129">
        <f t="shared" si="3"/>
        <v>0</v>
      </c>
    </row>
    <row r="37" spans="1:23">
      <c r="A37" s="148"/>
      <c r="B37" s="171" t="s">
        <v>133</v>
      </c>
      <c r="C37" s="246">
        <f>COUNTIFS(เรื่องร้องเรียน!E:E,"1",เรื่องร้องเรียน!N:N,"จตุจักร",เรื่องร้องเรียน!AN:AN,"บางซื่อ")</f>
        <v>0</v>
      </c>
      <c r="D37" s="109">
        <f>COUNTIFS(เรื่องร้องเรียน!E:E,"1",เรื่องร้องเรียน!N:N,"จตุจักร",เรื่องร้องเรียน!AN:AN,"บางซื่อ",เรื่องร้องเรียน!CL:CL,"1")</f>
        <v>0</v>
      </c>
      <c r="E37" s="109">
        <f>COUNTIFS(เรื่องร้องเรียน!E:E,"2",เรื่องร้องเรียน!N:N,"จตุจักร",เรื่องร้องเรียน!AN:AN,"บางซื่อ")</f>
        <v>0</v>
      </c>
      <c r="F37" s="109">
        <f>COUNTIFS(เรื่องร้องเรียน!E:E,"2",เรื่องร้องเรียน!N:N,"จตุจักร",เรื่องร้องเรียน!AN:AN,"บางซื่อ",เรื่องร้องเรียน!CL:CL,"1")</f>
        <v>0</v>
      </c>
      <c r="G37" s="109">
        <f>COUNTIFS(เรื่องร้องเรียน!E:E,"3",เรื่องร้องเรียน!N:N,"จตุจักร",เรื่องร้องเรียน!AN:AN,"บางซื่อ")</f>
        <v>0</v>
      </c>
      <c r="H37" s="109">
        <f>COUNTIFS(เรื่องร้องเรียน!E:E,"3",เรื่องร้องเรียน!N:N,"จตุจักร",เรื่องร้องเรียน!AN:AN,"บางซื่อ",เรื่องร้องเรียน!CL:CL,"1")</f>
        <v>0</v>
      </c>
      <c r="I37" s="109">
        <f>COUNTIFS(เรื่องร้องเรียน!E:E,"4",เรื่องร้องเรียน!N:N,"จตุจักร",เรื่องร้องเรียน!AN:AN,"บางซื่อ")</f>
        <v>0</v>
      </c>
      <c r="J37" s="144">
        <f>COUNTIFS(เรื่องร้องเรียน!E:E,"4",เรื่องร้องเรียน!N:N,"จตุจักร",เรื่องร้องเรียน!AN:AN,"บางซื่อ",เรื่องร้องเรียน!CL:CL,"1")</f>
        <v>0</v>
      </c>
      <c r="K37" s="144"/>
      <c r="L37" s="144"/>
      <c r="M37" s="109">
        <f t="shared" si="14"/>
        <v>0</v>
      </c>
      <c r="N37" s="145">
        <f t="shared" si="14"/>
        <v>0</v>
      </c>
      <c r="O37" s="146">
        <f>COUNTIFS(เรื่องร้องเรียน!E:E,"1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P37" s="144">
        <f>COUNTIFS(เรื่องร้องเรียน!E:E,"2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Q37" s="144">
        <f>COUNTIFS(เรื่องร้องเรียน!E:E,"3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R37" s="144">
        <f>COUNTIFS(เรื่องร้องเรียน!E:E,"4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S37" s="144"/>
      <c r="T37" s="147">
        <f t="shared" si="5"/>
        <v>0</v>
      </c>
      <c r="U37" s="129">
        <f t="shared" si="1"/>
        <v>0</v>
      </c>
      <c r="W37" s="129">
        <f t="shared" si="3"/>
        <v>0</v>
      </c>
    </row>
    <row r="38" spans="1:23">
      <c r="A38" s="148"/>
      <c r="B38" s="171" t="s">
        <v>173</v>
      </c>
      <c r="C38" s="246">
        <f>COUNTIFS(เรื่องร้องเรียน!E:E,"1",เรื่องร้องเรียน!N:N,"จตุจักร",เรื่องร้องเรียน!AN:AN,"ประชาชื่น")</f>
        <v>0</v>
      </c>
      <c r="D38" s="109">
        <f>COUNTIFS(เรื่องร้องเรียน!E:E,"1",เรื่องร้องเรียน!N:N,"จตุจักร",เรื่องร้องเรียน!AN:AN,"ประชาชื่น",เรื่องร้องเรียน!CL:CL,"1")</f>
        <v>0</v>
      </c>
      <c r="E38" s="109">
        <f>COUNTIFS(เรื่องร้องเรียน!E:E,"2",เรื่องร้องเรียน!N:N,"จตุจักร",เรื่องร้องเรียน!AN:AN,"ประชาชื่น")</f>
        <v>0</v>
      </c>
      <c r="F38" s="109">
        <f>COUNTIFS(เรื่องร้องเรียน!E:E,"2",เรื่องร้องเรียน!N:N,"จตุจักร",เรื่องร้องเรียน!AN:AN,"ประชาชื่น",เรื่องร้องเรียน!CL:CL,"1")</f>
        <v>0</v>
      </c>
      <c r="G38" s="109">
        <f>COUNTIFS(เรื่องร้องเรียน!E:E,"3",เรื่องร้องเรียน!N:N,"จตุจักร",เรื่องร้องเรียน!AN:AN,"ประชาชื่น")</f>
        <v>0</v>
      </c>
      <c r="H38" s="109">
        <f>COUNTIFS(เรื่องร้องเรียน!E:E,"3",เรื่องร้องเรียน!N:N,"จตุจักร",เรื่องร้องเรียน!AN:AN,"ประชาชื่น",เรื่องร้องเรียน!CL:CL,"1")</f>
        <v>0</v>
      </c>
      <c r="I38" s="109">
        <f>COUNTIFS(เรื่องร้องเรียน!E:E,"4",เรื่องร้องเรียน!N:N,"จตุจักร",เรื่องร้องเรียน!AN:AN,"ประชาชื่น")</f>
        <v>0</v>
      </c>
      <c r="J38" s="144">
        <f>COUNTIFS(เรื่องร้องเรียน!E:E,"4",เรื่องร้องเรียน!N:N,"จตุจักร",เรื่องร้องเรียน!AN:AN,"ประชาชื่น",เรื่องร้องเรียน!CL:CL,"1")</f>
        <v>0</v>
      </c>
      <c r="K38" s="144"/>
      <c r="L38" s="144"/>
      <c r="M38" s="109">
        <f t="shared" si="14"/>
        <v>0</v>
      </c>
      <c r="N38" s="145">
        <f t="shared" si="14"/>
        <v>0</v>
      </c>
      <c r="O38" s="146">
        <f>COUNTIFS(เรื่องร้องเรียน!E:E,"1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P38" s="144">
        <f>COUNTIFS(เรื่องร้องเรียน!E:E,"2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Q38" s="144">
        <f>COUNTIFS(เรื่องร้องเรียน!E:E,"3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R38" s="144">
        <f>COUNTIFS(เรื่องร้องเรียน!E:E,"4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S38" s="144"/>
      <c r="T38" s="147">
        <f t="shared" si="5"/>
        <v>0</v>
      </c>
      <c r="U38" s="129">
        <f t="shared" si="1"/>
        <v>0</v>
      </c>
      <c r="W38" s="129">
        <f t="shared" si="3"/>
        <v>0</v>
      </c>
    </row>
    <row r="39" spans="1:23">
      <c r="A39" s="148"/>
      <c r="B39" s="171" t="s">
        <v>100</v>
      </c>
      <c r="C39" s="246">
        <f>COUNTIFS(เรื่องร้องเรียน!E:E,"1",เรื่องร้องเรียน!N:N,"จตุจักร",เรื่องร้องเรียน!AN:AN,"พหลโยธิน")</f>
        <v>0</v>
      </c>
      <c r="D39" s="109">
        <f>COUNTIFS(เรื่องร้องเรียน!E:E,"1",เรื่องร้องเรียน!N:N,"จตุจักร",เรื่องร้องเรียน!AN:AN,"พหลโยธิน",เรื่องร้องเรียน!CL:CL,"1")</f>
        <v>0</v>
      </c>
      <c r="E39" s="109">
        <f>COUNTIFS(เรื่องร้องเรียน!E:E,"2",เรื่องร้องเรียน!N:N,"จตุจักร",เรื่องร้องเรียน!AN:AN,"พหลโยธิน")</f>
        <v>0</v>
      </c>
      <c r="F39" s="109">
        <f>COUNTIFS(เรื่องร้องเรียน!E:E,"2",เรื่องร้องเรียน!N:N,"จตุจักร",เรื่องร้องเรียน!AN:AN,"พหลโยธิน",เรื่องร้องเรียน!CL:CL,"1")</f>
        <v>0</v>
      </c>
      <c r="G39" s="109">
        <f>COUNTIFS(เรื่องร้องเรียน!E:E,"3",เรื่องร้องเรียน!N:N,"จตุจักร",เรื่องร้องเรียน!AN:AN,"พหลโยธิน")</f>
        <v>0</v>
      </c>
      <c r="H39" s="109">
        <f>COUNTIFS(เรื่องร้องเรียน!E:E,"3",เรื่องร้องเรียน!N:N,"จตุจักร",เรื่องร้องเรียน!AN:AN,"พหลโยธิน",เรื่องร้องเรียน!CL:CL,"1")</f>
        <v>0</v>
      </c>
      <c r="I39" s="109">
        <f>COUNTIFS(เรื่องร้องเรียน!E:E,"4",เรื่องร้องเรียน!N:N,"จตุจักร",เรื่องร้องเรียน!AN:AN,"พหลโยธิน")</f>
        <v>0</v>
      </c>
      <c r="J39" s="144">
        <f>COUNTIFS(เรื่องร้องเรียน!E:E,"4",เรื่องร้องเรียน!N:N,"จตุจักร",เรื่องร้องเรียน!AN:AN,"พหลโยธิน",เรื่องร้องเรียน!CL:CL,"1")</f>
        <v>0</v>
      </c>
      <c r="K39" s="144"/>
      <c r="L39" s="144"/>
      <c r="M39" s="109">
        <f t="shared" si="14"/>
        <v>0</v>
      </c>
      <c r="N39" s="145">
        <f t="shared" si="14"/>
        <v>0</v>
      </c>
      <c r="O39" s="146">
        <f>COUNTIFS(เรื่องร้องเรียน!E:E,"1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P39" s="144">
        <f>COUNTIFS(เรื่องร้องเรียน!E:E,"2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Q39" s="144">
        <f>COUNTIFS(เรื่องร้องเรียน!E:E,"3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R39" s="144">
        <f>COUNTIFS(เรื่องร้องเรียน!E:E,"4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S39" s="144"/>
      <c r="T39" s="147">
        <f t="shared" si="5"/>
        <v>0</v>
      </c>
      <c r="U39" s="129">
        <f t="shared" si="1"/>
        <v>0</v>
      </c>
      <c r="W39" s="129">
        <f t="shared" si="3"/>
        <v>0</v>
      </c>
    </row>
    <row r="40" spans="1:23">
      <c r="A40" s="150"/>
      <c r="B40" s="171" t="s">
        <v>88</v>
      </c>
      <c r="C40" s="123">
        <f>COUNTIFS(เรื่องร้องเรียน!E:E,"1",เรื่องร้องเรียน!N:N,"จตุจักร",เรื่องร้องเรียน!AN:AN,"สุทธิสาร")</f>
        <v>0</v>
      </c>
      <c r="D40" s="117">
        <f>COUNTIFS(เรื่องร้องเรียน!E:E,"1",เรื่องร้องเรียน!N:N,"จตุจักร",เรื่องร้องเรียน!AN:AN,"สุทธิสาร",เรื่องร้องเรียน!CL:CL,"1")</f>
        <v>0</v>
      </c>
      <c r="E40" s="117">
        <f>COUNTIFS(เรื่องร้องเรียน!E:E,"2",เรื่องร้องเรียน!N:N,"จตุจักร",เรื่องร้องเรียน!AN:AN,"สุทธิสาร")</f>
        <v>0</v>
      </c>
      <c r="F40" s="117">
        <f>COUNTIFS(เรื่องร้องเรียน!E:E,"2",เรื่องร้องเรียน!N:N,"จตุจักร",เรื่องร้องเรียน!AN:AN,"สุทธิสาร",เรื่องร้องเรียน!CL:CL,"1")</f>
        <v>0</v>
      </c>
      <c r="G40" s="117">
        <f>COUNTIFS(เรื่องร้องเรียน!E:E,"3",เรื่องร้องเรียน!N:N,"จตุจักร",เรื่องร้องเรียน!AN:AN,"สุทธิสาร")</f>
        <v>0</v>
      </c>
      <c r="H40" s="117">
        <f>COUNTIFS(เรื่องร้องเรียน!E:E,"3",เรื่องร้องเรียน!N:N,"จตุจักร",เรื่องร้องเรียน!AN:AN,"สุทธิสาร",เรื่องร้องเรียน!CL:CL,"1")</f>
        <v>0</v>
      </c>
      <c r="I40" s="117">
        <f>COUNTIFS(เรื่องร้องเรียน!E:E,"4",เรื่องร้องเรียน!N:N,"จตุจักร",เรื่องร้องเรียน!AN:AN,"สุทธิสาร")</f>
        <v>0</v>
      </c>
      <c r="J40" s="152">
        <f>COUNTIFS(เรื่องร้องเรียน!E:E,"4",เรื่องร้องเรียน!N:N,"จตุจักร",เรื่องร้องเรียน!AN:AN,"สุทธิสาร",เรื่องร้องเรียน!CL:CL,"1")</f>
        <v>0</v>
      </c>
      <c r="K40" s="152"/>
      <c r="L40" s="152"/>
      <c r="M40" s="117">
        <f t="shared" si="14"/>
        <v>0</v>
      </c>
      <c r="N40" s="122">
        <f t="shared" si="14"/>
        <v>0</v>
      </c>
      <c r="O40" s="153">
        <f>COUNTIFS(เรื่องร้องเรียน!E:E,"1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P40" s="152">
        <f>COUNTIFS(เรื่องร้องเรียน!E:E,"2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Q40" s="152">
        <f>COUNTIFS(เรื่องร้องเรียน!E:E,"3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R40" s="152">
        <f>COUNTIFS(เรื่องร้องเรียน!E:E,"4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S40" s="152"/>
      <c r="T40" s="154">
        <f t="shared" si="5"/>
        <v>0</v>
      </c>
      <c r="U40" s="129">
        <f t="shared" si="1"/>
        <v>0</v>
      </c>
      <c r="W40" s="129">
        <f t="shared" si="3"/>
        <v>0</v>
      </c>
    </row>
    <row r="41" spans="1:23" ht="21.6" thickBot="1">
      <c r="A41" s="168"/>
      <c r="B41" s="172" t="s">
        <v>120</v>
      </c>
      <c r="C41" s="123">
        <f>COUNTIFS(เรื่องร้องเรียน!E:E,"1",เรื่องร้องเรียน!N:N,"จตุจักร",เรื่องร้องเรียน!AN:AN,"ลาดพร้าว")</f>
        <v>0</v>
      </c>
      <c r="D41" s="117">
        <f>COUNTIFS(เรื่องร้องเรียน!E:E,"1",เรื่องร้องเรียน!N:N,"จตุจักร",เรื่องร้องเรียน!AN:AN,"ลาดพร้าว",เรื่องร้องเรียน!CL:CL,"1")</f>
        <v>0</v>
      </c>
      <c r="E41" s="117">
        <f>COUNTIFS(เรื่องร้องเรียน!E:E,"2",เรื่องร้องเรียน!N:N,"จตุจักร",เรื่องร้องเรียน!AN:AN,"ลาดพร้าว")</f>
        <v>0</v>
      </c>
      <c r="F41" s="117">
        <f>COUNTIFS(เรื่องร้องเรียน!E:E,"2",เรื่องร้องเรียน!N:N,"จตุจักร",เรื่องร้องเรียน!AN:AN,"ลาดพร้าว",เรื่องร้องเรียน!CL:CL,"1")</f>
        <v>0</v>
      </c>
      <c r="G41" s="117">
        <f>COUNTIFS(เรื่องร้องเรียน!E:E,"3",เรื่องร้องเรียน!N:N,"จตุจักร",เรื่องร้องเรียน!AN:AN,"ลาดพร้าว")</f>
        <v>0</v>
      </c>
      <c r="H41" s="117">
        <f>COUNTIFS(เรื่องร้องเรียน!E:E,"3",เรื่องร้องเรียน!N:N,"จตุจักร",เรื่องร้องเรียน!AN:AN,"ลาดพร้าว",เรื่องร้องเรียน!CL:CL,"1")</f>
        <v>0</v>
      </c>
      <c r="I41" s="117">
        <f>COUNTIFS(เรื่องร้องเรียน!E:E,"4",เรื่องร้องเรียน!N:N,"จตุจักร",เรื่องร้องเรียน!AN:AN,"ลาดพร้าว")</f>
        <v>0</v>
      </c>
      <c r="J41" s="152">
        <f>COUNTIFS(เรื่องร้องเรียน!E:E,"4",เรื่องร้องเรียน!N:N,"จตุจักร",เรื่องร้องเรียน!AN:AN,"ลาดพร้าว",เรื่องร้องเรียน!CL:CL,"1")</f>
        <v>0</v>
      </c>
      <c r="K41" s="152"/>
      <c r="L41" s="152"/>
      <c r="M41" s="117">
        <f t="shared" si="14"/>
        <v>0</v>
      </c>
      <c r="N41" s="122">
        <f t="shared" si="14"/>
        <v>0</v>
      </c>
      <c r="O41" s="153">
        <f>COUNTIFS(เรื่องร้องเรียน!E:E,"1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P41" s="152">
        <f>COUNTIFS(เรื่องร้องเรียน!E:E,"2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Q41" s="152">
        <f>COUNTIFS(เรื่องร้องเรียน!E:E,"3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R41" s="152">
        <f>COUNTIFS(เรื่องร้องเรียน!E:E,"4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S41" s="152"/>
      <c r="T41" s="154">
        <f>SUM(O41:S41)</f>
        <v>0</v>
      </c>
      <c r="U41" s="129">
        <f t="shared" si="1"/>
        <v>0</v>
      </c>
      <c r="W41" s="129">
        <f t="shared" si="3"/>
        <v>0</v>
      </c>
    </row>
    <row r="42" spans="1:23" ht="21.6" thickBot="1">
      <c r="A42" s="130" t="s">
        <v>111</v>
      </c>
      <c r="B42" s="169" t="s">
        <v>152</v>
      </c>
      <c r="C42" s="132">
        <f>SUM(C43:C47)</f>
        <v>0</v>
      </c>
      <c r="D42" s="131">
        <f t="shared" ref="D42:T42" si="15">SUM(D43:D47)</f>
        <v>0</v>
      </c>
      <c r="E42" s="131">
        <f t="shared" si="15"/>
        <v>0</v>
      </c>
      <c r="F42" s="131">
        <f t="shared" si="15"/>
        <v>0</v>
      </c>
      <c r="G42" s="131">
        <f t="shared" si="15"/>
        <v>0</v>
      </c>
      <c r="H42" s="131">
        <f t="shared" si="15"/>
        <v>0</v>
      </c>
      <c r="I42" s="131">
        <f t="shared" si="15"/>
        <v>0</v>
      </c>
      <c r="J42" s="131">
        <f t="shared" si="15"/>
        <v>0</v>
      </c>
      <c r="K42" s="131">
        <f t="shared" si="15"/>
        <v>0</v>
      </c>
      <c r="L42" s="131">
        <f t="shared" si="15"/>
        <v>0</v>
      </c>
      <c r="M42" s="131">
        <f t="shared" si="15"/>
        <v>0</v>
      </c>
      <c r="N42" s="163">
        <f t="shared" si="15"/>
        <v>0</v>
      </c>
      <c r="O42" s="132">
        <f t="shared" si="15"/>
        <v>0</v>
      </c>
      <c r="P42" s="132">
        <f t="shared" si="15"/>
        <v>0</v>
      </c>
      <c r="Q42" s="132">
        <f t="shared" si="15"/>
        <v>0</v>
      </c>
      <c r="R42" s="132">
        <f t="shared" si="15"/>
        <v>0</v>
      </c>
      <c r="S42" s="132">
        <f t="shared" si="15"/>
        <v>0</v>
      </c>
      <c r="T42" s="133">
        <f t="shared" si="15"/>
        <v>0</v>
      </c>
      <c r="U42" s="134">
        <f t="shared" si="1"/>
        <v>0</v>
      </c>
      <c r="W42" s="135">
        <f t="shared" si="3"/>
        <v>0</v>
      </c>
    </row>
    <row r="43" spans="1:23">
      <c r="A43" s="173"/>
      <c r="B43" s="170" t="s">
        <v>20</v>
      </c>
      <c r="C43" s="140"/>
      <c r="D43" s="138"/>
      <c r="E43" s="138"/>
      <c r="F43" s="138"/>
      <c r="G43" s="138"/>
      <c r="H43" s="138"/>
      <c r="I43" s="138"/>
      <c r="J43" s="138"/>
      <c r="K43" s="138">
        <f>COUNTIFS(เรื่องร้องเรียน!E:E,"5",เรื่องร้องเรียน!N:N,"จอมทอง")</f>
        <v>0</v>
      </c>
      <c r="L43" s="138">
        <f>COUNTIFS(เรื่องร้องเรียน!E:E,"5",เรื่องร้องเรียน!N:N,"จอมทอง",เรื่องร้องเรียน!CL:CL,"1")</f>
        <v>0</v>
      </c>
      <c r="M43" s="138">
        <f t="shared" ref="M43:N46" si="16">SUM(C43,E43,G43,I43,K43)</f>
        <v>0</v>
      </c>
      <c r="N43" s="139">
        <f t="shared" si="16"/>
        <v>0</v>
      </c>
      <c r="O43" s="140"/>
      <c r="P43" s="138"/>
      <c r="Q43" s="138"/>
      <c r="R43" s="138"/>
      <c r="S43" s="138">
        <f>COUNTIFS(เรื่องร้องเรียน!E:E,"5",เรื่องร้องเรียน!N:N,"จอมทอง",เรื่องร้องเรียน!AQ:AQ,"1",เรื่องร้องเรียน!CL:CL,"")</f>
        <v>0</v>
      </c>
      <c r="T43" s="141">
        <f t="shared" si="5"/>
        <v>0</v>
      </c>
      <c r="U43" s="129">
        <f t="shared" si="1"/>
        <v>0</v>
      </c>
      <c r="W43" s="129">
        <f t="shared" si="3"/>
        <v>0</v>
      </c>
    </row>
    <row r="44" spans="1:23">
      <c r="A44" s="148"/>
      <c r="B44" s="171" t="s">
        <v>71</v>
      </c>
      <c r="C44" s="246">
        <f>COUNTIFS(เรื่องร้องเรียน!E:E,"1",เรื่องร้องเรียน!N:N,"จอมทอง",เรื่องร้องเรียน!AN:AN,"บางขุนเทียน")</f>
        <v>0</v>
      </c>
      <c r="D44" s="109">
        <f>COUNTIFS(เรื่องร้องเรียน!E:E,"1",เรื่องร้องเรียน!N:N,"จอมทอง",เรื่องร้องเรียน!AN:AN,"บางขุนเทียน",เรื่องร้องเรียน!CL:CL,"1")</f>
        <v>0</v>
      </c>
      <c r="E44" s="109">
        <f>COUNTIFS(เรื่องร้องเรียน!E:E,"2",เรื่องร้องเรียน!N:N,"จอมทอง",เรื่องร้องเรียน!AN:AN,"บางขุนเทียน")</f>
        <v>0</v>
      </c>
      <c r="F44" s="109">
        <f>COUNTIFS(เรื่องร้องเรียน!E:E,"2",เรื่องร้องเรียน!N:N,"จอมทอง",เรื่องร้องเรียน!AN:AN,"บางขุนเทียน",เรื่องร้องเรียน!CL:CL,"1")</f>
        <v>0</v>
      </c>
      <c r="G44" s="109">
        <f>COUNTIFS(เรื่องร้องเรียน!E:E,"3",เรื่องร้องเรียน!N:N,"จอมทอง",เรื่องร้องเรียน!AN:AN,"บางขุนเทียน")</f>
        <v>0</v>
      </c>
      <c r="H44" s="109">
        <f>COUNTIFS(เรื่องร้องเรียน!E:E,"3",เรื่องร้องเรียน!N:N,"จอมทอง",เรื่องร้องเรียน!AN:AN,"บางขุนเทียน",เรื่องร้องเรียน!CL:CL,"1")</f>
        <v>0</v>
      </c>
      <c r="I44" s="109">
        <f>COUNTIFS(เรื่องร้องเรียน!E:E,"4",เรื่องร้องเรียน!N:N,"จอมทอง",เรื่องร้องเรียน!AN:AN,"บางขุนเทียน")</f>
        <v>0</v>
      </c>
      <c r="J44" s="144">
        <f>COUNTIFS(เรื่องร้องเรียน!E:E,"4",เรื่องร้องเรียน!N:N,"จอมทอง",เรื่องร้องเรียน!AN:AN,"บางขุนเทียน",เรื่องร้องเรียน!CL:CL,"1")</f>
        <v>0</v>
      </c>
      <c r="K44" s="144"/>
      <c r="L44" s="144"/>
      <c r="M44" s="109">
        <f t="shared" si="16"/>
        <v>0</v>
      </c>
      <c r="N44" s="145">
        <f t="shared" si="16"/>
        <v>0</v>
      </c>
      <c r="O44" s="146">
        <f>COUNTIFS(เรื่องร้องเรียน!E:E,"1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P44" s="144">
        <f>COUNTIFS(เรื่องร้องเรียน!E:E,"2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Q44" s="144">
        <f>COUNTIFS(เรื่องร้องเรียน!E:E,"3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R44" s="144">
        <f>COUNTIFS(เรื่องร้องเรียน!E:E,"4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S44" s="144"/>
      <c r="T44" s="147">
        <f t="shared" si="5"/>
        <v>0</v>
      </c>
      <c r="U44" s="129">
        <f t="shared" si="1"/>
        <v>0</v>
      </c>
      <c r="V44" s="10" t="s">
        <v>196</v>
      </c>
      <c r="W44" s="129">
        <f t="shared" si="3"/>
        <v>0</v>
      </c>
    </row>
    <row r="45" spans="1:23">
      <c r="A45" s="148"/>
      <c r="B45" s="171" t="s">
        <v>110</v>
      </c>
      <c r="C45" s="246">
        <f>COUNTIFS(เรื่องร้องเรียน!E:E,"1",เรื่องร้องเรียน!N:N,"จอมทอง",เรื่องร้องเรียน!AN:AN,"บางมด")</f>
        <v>0</v>
      </c>
      <c r="D45" s="109">
        <f>COUNTIFS(เรื่องร้องเรียน!E:E,"1",เรื่องร้องเรียน!N:N,"จอมทอง",เรื่องร้องเรียน!AN:AN,"บางมด",เรื่องร้องเรียน!CL:CL,"1")</f>
        <v>0</v>
      </c>
      <c r="E45" s="109">
        <f>COUNTIFS(เรื่องร้องเรียน!E:E,"2",เรื่องร้องเรียน!N:N,"จอมทอง",เรื่องร้องเรียน!AN:AN,"บางมด")</f>
        <v>0</v>
      </c>
      <c r="F45" s="109">
        <f>COUNTIFS(เรื่องร้องเรียน!E:E,"2",เรื่องร้องเรียน!N:N,"จอมทอง",เรื่องร้องเรียน!AN:AN,"บางมด",เรื่องร้องเรียน!CL:CL,"1")</f>
        <v>0</v>
      </c>
      <c r="G45" s="109">
        <f>COUNTIFS(เรื่องร้องเรียน!E:E,"3",เรื่องร้องเรียน!N:N,"จอมทอง",เรื่องร้องเรียน!AN:AN,"บางมด")</f>
        <v>0</v>
      </c>
      <c r="H45" s="109">
        <f>COUNTIFS(เรื่องร้องเรียน!E:E,"3",เรื่องร้องเรียน!N:N,"จอมทอง",เรื่องร้องเรียน!AN:AN,"บางมด",เรื่องร้องเรียน!CL:CL,"1")</f>
        <v>0</v>
      </c>
      <c r="I45" s="109">
        <f>COUNTIFS(เรื่องร้องเรียน!E:E,"4",เรื่องร้องเรียน!N:N,"จอมทอง",เรื่องร้องเรียน!AN:AN,"บางมด")</f>
        <v>0</v>
      </c>
      <c r="J45" s="144">
        <f>COUNTIFS(เรื่องร้องเรียน!E:E,"4",เรื่องร้องเรียน!N:N,"จอมทอง",เรื่องร้องเรียน!AN:AN,"บางมด",เรื่องร้องเรียน!CL:CL,"1")</f>
        <v>0</v>
      </c>
      <c r="K45" s="144"/>
      <c r="L45" s="144"/>
      <c r="M45" s="109">
        <f t="shared" si="16"/>
        <v>0</v>
      </c>
      <c r="N45" s="145">
        <f t="shared" si="16"/>
        <v>0</v>
      </c>
      <c r="O45" s="146">
        <f>COUNTIFS(เรื่องร้องเรียน!E:E,"1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P45" s="144">
        <f>COUNTIFS(เรื่องร้องเรียน!E:E,"2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Q45" s="144">
        <f>COUNTIFS(เรื่องร้องเรียน!E:E,"3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R45" s="144">
        <f>COUNTIFS(เรื่องร้องเรียน!E:E,"4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S45" s="144"/>
      <c r="T45" s="147">
        <f t="shared" si="5"/>
        <v>0</v>
      </c>
      <c r="U45" s="129">
        <f t="shared" si="1"/>
        <v>0</v>
      </c>
      <c r="W45" s="129">
        <f t="shared" si="3"/>
        <v>0</v>
      </c>
    </row>
    <row r="46" spans="1:23">
      <c r="A46" s="148"/>
      <c r="B46" s="171" t="s">
        <v>112</v>
      </c>
      <c r="C46" s="123">
        <f>COUNTIFS(เรื่องร้องเรียน!E:E,"1",เรื่องร้องเรียน!N:N,"จอมทอง",เรื่องร้องเรียน!AN:AN,"ท่าข้าม")</f>
        <v>0</v>
      </c>
      <c r="D46" s="117">
        <f>COUNTIFS(เรื่องร้องเรียน!E:E,"1",เรื่องร้องเรียน!N:N,"จอมทอง",เรื่องร้องเรียน!AN:AN,"ท่าข้าม",เรื่องร้องเรียน!CL:CL,"1")</f>
        <v>0</v>
      </c>
      <c r="E46" s="117">
        <f>COUNTIFS(เรื่องร้องเรียน!E:E,"2",เรื่องร้องเรียน!N:N,"จอมทอง",เรื่องร้องเรียน!AN:AN,"ท่าข้าม")</f>
        <v>0</v>
      </c>
      <c r="F46" s="117">
        <f>COUNTIFS(เรื่องร้องเรียน!E:E,"2",เรื่องร้องเรียน!N:N,"จอมทอง",เรื่องร้องเรียน!AN:AN,"ท่าข้าม",เรื่องร้องเรียน!CL:CL,"1")</f>
        <v>0</v>
      </c>
      <c r="G46" s="117">
        <f>COUNTIFS(เรื่องร้องเรียน!E:E,"3",เรื่องร้องเรียน!N:N,"จอมทอง",เรื่องร้องเรียน!AN:AN,"ท่าข้าม")</f>
        <v>0</v>
      </c>
      <c r="H46" s="117">
        <f>COUNTIFS(เรื่องร้องเรียน!E:E,"3",เรื่องร้องเรียน!N:N,"จอมทอง",เรื่องร้องเรียน!AN:AN,"ท่าข้าม",เรื่องร้องเรียน!CL:CL,"1")</f>
        <v>0</v>
      </c>
      <c r="I46" s="117">
        <f>COUNTIFS(เรื่องร้องเรียน!E:E,"4",เรื่องร้องเรียน!N:N,"จอมทอง",เรื่องร้องเรียน!AN:AN,"ท่าข้าม")</f>
        <v>0</v>
      </c>
      <c r="J46" s="152">
        <f>COUNTIFS(เรื่องร้องเรียน!E:E,"4",เรื่องร้องเรียน!N:N,"จอมทอง",เรื่องร้องเรียน!AN:AN,"ท่าข้าม",เรื่องร้องเรียน!CL:CL,"1")</f>
        <v>0</v>
      </c>
      <c r="K46" s="152"/>
      <c r="L46" s="152"/>
      <c r="M46" s="117">
        <f t="shared" si="16"/>
        <v>0</v>
      </c>
      <c r="N46" s="122">
        <f t="shared" si="16"/>
        <v>0</v>
      </c>
      <c r="O46" s="153">
        <f>COUNTIFS(เรื่องร้องเรียน!E:E,"1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P46" s="152">
        <f>COUNTIFS(เรื่องร้องเรียน!E:E,"2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Q46" s="152">
        <f>COUNTIFS(เรื่องร้องเรียน!E:E,"3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R46" s="152">
        <f>COUNTIFS(เรื่องร้องเรียน!E:E,"4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S46" s="152"/>
      <c r="T46" s="154">
        <f t="shared" si="5"/>
        <v>0</v>
      </c>
      <c r="U46" s="129">
        <f t="shared" si="1"/>
        <v>0</v>
      </c>
      <c r="W46" s="129">
        <f t="shared" si="3"/>
        <v>0</v>
      </c>
    </row>
    <row r="47" spans="1:23" ht="21.6" thickBot="1">
      <c r="A47" s="174"/>
      <c r="B47" s="172" t="s">
        <v>196</v>
      </c>
      <c r="C47" s="123">
        <f>COUNTIFS(เรื่องร้องเรียน!E:E,"1",เรื่องร้องเรียน!N:N,"จอมทอง",เรื่องร้องเรียน!AN:AN,"บุคคโล")</f>
        <v>0</v>
      </c>
      <c r="D47" s="117">
        <f>COUNTIFS(เรื่องร้องเรียน!E:E,"1",เรื่องร้องเรียน!N:N,"จอมทอง",เรื่องร้องเรียน!AN:AN,"บุคคโล",เรื่องร้องเรียน!CL:CL,"1")</f>
        <v>0</v>
      </c>
      <c r="E47" s="117">
        <f>COUNTIFS(เรื่องร้องเรียน!E:E,"2",เรื่องร้องเรียน!N:N,"จอมทอง",เรื่องร้องเรียน!AN:AN,"บุคคโล")</f>
        <v>0</v>
      </c>
      <c r="F47" s="117">
        <f>COUNTIFS(เรื่องร้องเรียน!E:E,"2",เรื่องร้องเรียน!N:N,"จอมทอง",เรื่องร้องเรียน!AN:AN,"บุคคโล",เรื่องร้องเรียน!CL:CL,"1")</f>
        <v>0</v>
      </c>
      <c r="G47" s="117">
        <f>COUNTIFS(เรื่องร้องเรียน!E:E,"3",เรื่องร้องเรียน!N:N,"จอมทอง",เรื่องร้องเรียน!AN:AN,"บุคคโล")</f>
        <v>0</v>
      </c>
      <c r="H47" s="117">
        <f>COUNTIFS(เรื่องร้องเรียน!E:E,"3",เรื่องร้องเรียน!N:N,"จอมทอง",เรื่องร้องเรียน!AN:AN,"บุคคโล",เรื่องร้องเรียน!CL:CL,"1")</f>
        <v>0</v>
      </c>
      <c r="I47" s="117">
        <f>COUNTIFS(เรื่องร้องเรียน!E:E,"4",เรื่องร้องเรียน!N:N,"จอมทอง",เรื่องร้องเรียน!AN:AN,"บุคคโล")</f>
        <v>0</v>
      </c>
      <c r="J47" s="152">
        <f>COUNTIFS(เรื่องร้องเรียน!E:E,"4",เรื่องร้องเรียน!N:N,"จอมทอง",เรื่องร้องเรียน!AN:AN,"บุคคโล",เรื่องร้องเรียน!CL:CL,"1")</f>
        <v>0</v>
      </c>
      <c r="K47" s="152"/>
      <c r="L47" s="152"/>
      <c r="M47" s="117">
        <f>SUM(C47,E47,G47,I47,K47)</f>
        <v>0</v>
      </c>
      <c r="N47" s="122">
        <f>SUM(D47,F47,H47,J47,L47)</f>
        <v>0</v>
      </c>
      <c r="O47" s="153">
        <f>COUNTIFS(เรื่องร้องเรียน!E:E,"1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P47" s="152">
        <f>COUNTIFS(เรื่องร้องเรียน!E:E,"2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Q47" s="152">
        <f>COUNTIFS(เรื่องร้องเรียน!E:E,"3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R47" s="152">
        <f>COUNTIFS(เรื่องร้องเรียน!E:E,"4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S47" s="152"/>
      <c r="T47" s="154">
        <f>SUM(O47:S47)</f>
        <v>0</v>
      </c>
      <c r="U47" s="129">
        <f>M47-N47-T47</f>
        <v>0</v>
      </c>
      <c r="W47" s="129">
        <f t="shared" si="3"/>
        <v>0</v>
      </c>
    </row>
    <row r="48" spans="1:23" ht="21.6" thickBot="1">
      <c r="A48" s="175" t="s">
        <v>95</v>
      </c>
      <c r="B48" s="162" t="s">
        <v>152</v>
      </c>
      <c r="C48" s="95">
        <f>SUM(C49:C50)</f>
        <v>0</v>
      </c>
      <c r="D48" s="92">
        <f t="shared" ref="D48:T48" si="17">SUM(D49:D50)</f>
        <v>0</v>
      </c>
      <c r="E48" s="92">
        <f t="shared" si="17"/>
        <v>0</v>
      </c>
      <c r="F48" s="92">
        <f t="shared" si="17"/>
        <v>0</v>
      </c>
      <c r="G48" s="92">
        <f t="shared" si="17"/>
        <v>0</v>
      </c>
      <c r="H48" s="92">
        <f t="shared" si="17"/>
        <v>0</v>
      </c>
      <c r="I48" s="92">
        <f t="shared" si="17"/>
        <v>0</v>
      </c>
      <c r="J48" s="92">
        <f t="shared" si="17"/>
        <v>0</v>
      </c>
      <c r="K48" s="92">
        <f t="shared" si="17"/>
        <v>0</v>
      </c>
      <c r="L48" s="92">
        <f t="shared" si="17"/>
        <v>0</v>
      </c>
      <c r="M48" s="92">
        <f t="shared" si="17"/>
        <v>0</v>
      </c>
      <c r="N48" s="94">
        <f t="shared" si="17"/>
        <v>0</v>
      </c>
      <c r="O48" s="95">
        <f t="shared" si="17"/>
        <v>0</v>
      </c>
      <c r="P48" s="92">
        <f t="shared" si="17"/>
        <v>0</v>
      </c>
      <c r="Q48" s="92">
        <f t="shared" si="17"/>
        <v>0</v>
      </c>
      <c r="R48" s="92">
        <f t="shared" si="17"/>
        <v>0</v>
      </c>
      <c r="S48" s="92">
        <f t="shared" si="17"/>
        <v>0</v>
      </c>
      <c r="T48" s="176">
        <f t="shared" si="17"/>
        <v>0</v>
      </c>
      <c r="U48" s="134">
        <f t="shared" si="1"/>
        <v>0</v>
      </c>
      <c r="W48" s="135">
        <f t="shared" si="3"/>
        <v>0</v>
      </c>
    </row>
    <row r="49" spans="1:23">
      <c r="A49" s="136"/>
      <c r="B49" s="170" t="s">
        <v>20</v>
      </c>
      <c r="C49" s="140"/>
      <c r="D49" s="138"/>
      <c r="E49" s="138"/>
      <c r="F49" s="138"/>
      <c r="G49" s="138"/>
      <c r="H49" s="138"/>
      <c r="I49" s="138"/>
      <c r="J49" s="138"/>
      <c r="K49" s="138">
        <f>COUNTIFS(เรื่องร้องเรียน!E:E,"5",เรื่องร้องเรียน!N:N,"ดอนเมือง")</f>
        <v>0</v>
      </c>
      <c r="L49" s="138">
        <f>COUNTIFS(เรื่องร้องเรียน!E:E,"5",เรื่องร้องเรียน!N:N,"ดอนเมือง",เรื่องร้องเรียน!CL:CL,"1")</f>
        <v>0</v>
      </c>
      <c r="M49" s="138">
        <f>SUM(C49,E49,G49,I49,K49)</f>
        <v>0</v>
      </c>
      <c r="N49" s="139">
        <f>SUM(D49,F49,H49,J49,L49)</f>
        <v>0</v>
      </c>
      <c r="O49" s="140"/>
      <c r="P49" s="138"/>
      <c r="Q49" s="138"/>
      <c r="R49" s="138"/>
      <c r="S49" s="138">
        <f>COUNTIFS(เรื่องร้องเรียน!E:E,"5",เรื่องร้องเรียน!N:N,"ดอนเมือง",เรื่องร้องเรียน!AQ:AQ,"1",เรื่องร้องเรียน!CL:CL,"")</f>
        <v>0</v>
      </c>
      <c r="T49" s="141">
        <f t="shared" si="5"/>
        <v>0</v>
      </c>
      <c r="U49" s="129">
        <f t="shared" si="1"/>
        <v>0</v>
      </c>
      <c r="W49" s="129">
        <f t="shared" si="3"/>
        <v>0</v>
      </c>
    </row>
    <row r="50" spans="1:23" ht="21.6" thickBot="1">
      <c r="A50" s="150"/>
      <c r="B50" s="177" t="s">
        <v>95</v>
      </c>
      <c r="C50" s="123">
        <f>COUNTIFS(เรื่องร้องเรียน!E:E,"1",เรื่องร้องเรียน!N:N,"ดอนเมือง",เรื่องร้องเรียน!AN:AN,"ดอนเมือง")</f>
        <v>0</v>
      </c>
      <c r="D50" s="117">
        <f>COUNTIFS(เรื่องร้องเรียน!E:E,"1",เรื่องร้องเรียน!N:N,"ดอนเมือง",เรื่องร้องเรียน!AN:AN,"ดอนเมือง",เรื่องร้องเรียน!CL:CL,"1")</f>
        <v>0</v>
      </c>
      <c r="E50" s="117">
        <f>COUNTIFS(เรื่องร้องเรียน!E:E,"2",เรื่องร้องเรียน!N:N,"ดอนเมือง",เรื่องร้องเรียน!AN:AN,"ดอนเมือง")</f>
        <v>0</v>
      </c>
      <c r="F50" s="117">
        <f>COUNTIFS(เรื่องร้องเรียน!E:E,"2",เรื่องร้องเรียน!N:N,"ดอนเมือง",เรื่องร้องเรียน!AN:AN,"ดอนเมือง",เรื่องร้องเรียน!CL:CL,"1")</f>
        <v>0</v>
      </c>
      <c r="G50" s="117">
        <f>COUNTIFS(เรื่องร้องเรียน!E:E,"3",เรื่องร้องเรียน!N:N,"ดอนเมือง",เรื่องร้องเรียน!AN:AN,"ดอนเมือง")</f>
        <v>0</v>
      </c>
      <c r="H50" s="117">
        <f>COUNTIFS(เรื่องร้องเรียน!E:E,"3",เรื่องร้องเรียน!N:N,"ดอนเมือง",เรื่องร้องเรียน!AN:AN,"ดอนเมือง",เรื่องร้องเรียน!CL:CL,"1")</f>
        <v>0</v>
      </c>
      <c r="I50" s="117">
        <f>COUNTIFS(เรื่องร้องเรียน!E:E,"4",เรื่องร้องเรียน!N:N,"ดอนเมือง",เรื่องร้องเรียน!AN:AN,"ดอนเมือง")</f>
        <v>0</v>
      </c>
      <c r="J50" s="152">
        <f>COUNTIFS(เรื่องร้องเรียน!E:E,"4",เรื่องร้องเรียน!N:N,"ดอนเมือง",เรื่องร้องเรียน!AN:AN,"ดอนเมือง",เรื่องร้องเรียน!CL:CL,"1")</f>
        <v>0</v>
      </c>
      <c r="K50" s="152"/>
      <c r="L50" s="152"/>
      <c r="M50" s="117">
        <f>SUM(C50,E50,G50,I50,K50)</f>
        <v>0</v>
      </c>
      <c r="N50" s="122">
        <f>SUM(D50,F50,H50,J50,L50)</f>
        <v>0</v>
      </c>
      <c r="O50" s="153">
        <f>COUNTIFS(เรื่องร้องเรียน!E:E,"1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P50" s="152">
        <f>COUNTIFS(เรื่องร้องเรียน!E:E,"2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Q50" s="152">
        <f>COUNTIFS(เรื่องร้องเรียน!E:E,"3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R50" s="152">
        <f>COUNTIFS(เรื่องร้องเรียน!E:E,"4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S50" s="152"/>
      <c r="T50" s="154">
        <f t="shared" si="5"/>
        <v>0</v>
      </c>
      <c r="U50" s="129">
        <f t="shared" si="1"/>
        <v>0</v>
      </c>
      <c r="W50" s="129">
        <f t="shared" si="3"/>
        <v>0</v>
      </c>
    </row>
    <row r="51" spans="1:23" ht="21.6" thickBot="1">
      <c r="A51" s="130" t="s">
        <v>86</v>
      </c>
      <c r="B51" s="169" t="s">
        <v>152</v>
      </c>
      <c r="C51" s="132">
        <f>SUM(C52:C55 )</f>
        <v>0</v>
      </c>
      <c r="D51" s="131">
        <f t="shared" ref="D51:T51" si="18">SUM(D52:D55 )</f>
        <v>0</v>
      </c>
      <c r="E51" s="131">
        <f t="shared" si="18"/>
        <v>0</v>
      </c>
      <c r="F51" s="131">
        <f t="shared" si="18"/>
        <v>0</v>
      </c>
      <c r="G51" s="131">
        <f t="shared" si="18"/>
        <v>0</v>
      </c>
      <c r="H51" s="131">
        <f t="shared" si="18"/>
        <v>0</v>
      </c>
      <c r="I51" s="131">
        <f t="shared" si="18"/>
        <v>0</v>
      </c>
      <c r="J51" s="131">
        <f t="shared" si="18"/>
        <v>0</v>
      </c>
      <c r="K51" s="131">
        <f t="shared" si="18"/>
        <v>0</v>
      </c>
      <c r="L51" s="131">
        <f t="shared" si="18"/>
        <v>0</v>
      </c>
      <c r="M51" s="131">
        <f t="shared" si="18"/>
        <v>0</v>
      </c>
      <c r="N51" s="163">
        <f t="shared" si="18"/>
        <v>0</v>
      </c>
      <c r="O51" s="132">
        <f t="shared" si="18"/>
        <v>0</v>
      </c>
      <c r="P51" s="131">
        <f t="shared" si="18"/>
        <v>0</v>
      </c>
      <c r="Q51" s="131">
        <f t="shared" si="18"/>
        <v>0</v>
      </c>
      <c r="R51" s="131">
        <f t="shared" si="18"/>
        <v>0</v>
      </c>
      <c r="S51" s="131">
        <f t="shared" si="18"/>
        <v>0</v>
      </c>
      <c r="T51" s="133">
        <f t="shared" si="18"/>
        <v>0</v>
      </c>
      <c r="U51" s="134">
        <f t="shared" si="1"/>
        <v>0</v>
      </c>
      <c r="W51" s="135">
        <f t="shared" si="3"/>
        <v>0</v>
      </c>
    </row>
    <row r="52" spans="1:23">
      <c r="A52" s="165"/>
      <c r="B52" s="137" t="s">
        <v>20</v>
      </c>
      <c r="C52" s="140"/>
      <c r="D52" s="138"/>
      <c r="E52" s="138"/>
      <c r="F52" s="138"/>
      <c r="G52" s="138"/>
      <c r="H52" s="138"/>
      <c r="I52" s="138"/>
      <c r="J52" s="138"/>
      <c r="K52" s="138">
        <f>COUNTIFS(เรื่องร้องเรียน!E:E,"5",เรื่องร้องเรียน!N:N,"ดินแดง")</f>
        <v>0</v>
      </c>
      <c r="L52" s="138">
        <f>COUNTIFS(เรื่องร้องเรียน!E:E,"5",เรื่องร้องเรียน!N:N,"ดินแดง",เรื่องร้องเรียน!CL:CL,"1")</f>
        <v>0</v>
      </c>
      <c r="M52" s="138">
        <f t="shared" ref="M52:N55" si="19">SUM(C52,E52,G52,I52,K52)</f>
        <v>0</v>
      </c>
      <c r="N52" s="139">
        <f t="shared" si="19"/>
        <v>0</v>
      </c>
      <c r="O52" s="140"/>
      <c r="P52" s="138"/>
      <c r="Q52" s="138"/>
      <c r="R52" s="138"/>
      <c r="S52" s="138">
        <f>COUNTIFS(เรื่องร้องเรียน!E:E,"5",เรื่องร้องเรียน!N:N,"ดินแดง",เรื่องร้องเรียน!AQ:AQ,"1",เรื่องร้องเรียน!CL:CL,"")</f>
        <v>0</v>
      </c>
      <c r="T52" s="141">
        <f t="shared" si="5"/>
        <v>0</v>
      </c>
      <c r="U52" s="129">
        <f t="shared" si="1"/>
        <v>0</v>
      </c>
      <c r="W52" s="129">
        <f t="shared" si="3"/>
        <v>0</v>
      </c>
    </row>
    <row r="53" spans="1:23">
      <c r="A53" s="148"/>
      <c r="B53" s="171" t="s">
        <v>86</v>
      </c>
      <c r="C53" s="246">
        <f>COUNTIFS(เรื่องร้องเรียน!E:E,"1",เรื่องร้องเรียน!N:N,"ดินแดง",เรื่องร้องเรียน!AN:AN,"ดินแดง")</f>
        <v>0</v>
      </c>
      <c r="D53" s="109">
        <f>COUNTIFS(เรื่องร้องเรียน!E:E,"1",เรื่องร้องเรียน!N:N,"ดินแดง",เรื่องร้องเรียน!AN:AN,"ดินแดง",เรื่องร้องเรียน!CL:CL,"1")</f>
        <v>0</v>
      </c>
      <c r="E53" s="109">
        <f>COUNTIFS(เรื่องร้องเรียน!E:E,"2",เรื่องร้องเรียน!N:N,"ดินแดง",เรื่องร้องเรียน!AN:AN,"ดินแดง")</f>
        <v>0</v>
      </c>
      <c r="F53" s="109">
        <f>COUNTIFS(เรื่องร้องเรียน!E:E,"2",เรื่องร้องเรียน!N:N,"ดินแดง",เรื่องร้องเรียน!AN:AN,"ดินแดง",เรื่องร้องเรียน!CL:CL,"1")</f>
        <v>0</v>
      </c>
      <c r="G53" s="109">
        <f>COUNTIFS(เรื่องร้องเรียน!E:E,"3",เรื่องร้องเรียน!N:N,"ดินแดง",เรื่องร้องเรียน!AN:AN,"ดินแดง")</f>
        <v>0</v>
      </c>
      <c r="H53" s="109">
        <f>COUNTIFS(เรื่องร้องเรียน!E:E,"3",เรื่องร้องเรียน!N:N,"ดินแดง",เรื่องร้องเรียน!AN:AN,"ดินแดง",เรื่องร้องเรียน!CL:CL,"1")</f>
        <v>0</v>
      </c>
      <c r="I53" s="109">
        <f>COUNTIFS(เรื่องร้องเรียน!E:E,"4",เรื่องร้องเรียน!N:N,"ดินแดง",เรื่องร้องเรียน!AN:AN,"ดินแดง")</f>
        <v>0</v>
      </c>
      <c r="J53" s="144">
        <f>COUNTIFS(เรื่องร้องเรียน!E:E,"4",เรื่องร้องเรียน!N:N,"ดินแดง",เรื่องร้องเรียน!AN:AN,"ดินแดง",เรื่องร้องเรียน!CL:CL,"1")</f>
        <v>0</v>
      </c>
      <c r="K53" s="144"/>
      <c r="L53" s="144"/>
      <c r="M53" s="109">
        <f t="shared" si="19"/>
        <v>0</v>
      </c>
      <c r="N53" s="145">
        <f t="shared" si="19"/>
        <v>0</v>
      </c>
      <c r="O53" s="146">
        <f>COUNTIFS(เรื่องร้องเรียน!E:E,"1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P53" s="144">
        <f>COUNTIFS(เรื่องร้องเรียน!E:E,"2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Q53" s="144">
        <f>COUNTIFS(เรื่องร้องเรียน!E:E,"3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R53" s="144">
        <f>COUNTIFS(เรื่องร้องเรียน!E:E,"4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S53" s="144"/>
      <c r="T53" s="147">
        <f t="shared" si="5"/>
        <v>0</v>
      </c>
      <c r="U53" s="129">
        <f t="shared" si="1"/>
        <v>0</v>
      </c>
      <c r="W53" s="129">
        <f t="shared" si="3"/>
        <v>0</v>
      </c>
    </row>
    <row r="54" spans="1:23">
      <c r="A54" s="148"/>
      <c r="B54" s="171" t="s">
        <v>88</v>
      </c>
      <c r="C54" s="246">
        <f>COUNTIFS(เรื่องร้องเรียน!E:E,"1",เรื่องร้องเรียน!N:N,"ดินแดง",เรื่องร้องเรียน!AN:AN,"สุทธิสาร")</f>
        <v>0</v>
      </c>
      <c r="D54" s="109">
        <f>COUNTIFS(เรื่องร้องเรียน!E:E,"1",เรื่องร้องเรียน!N:N,"ดินแดง",เรื่องร้องเรียน!AN:AN,"สุทธิสาร",เรื่องร้องเรียน!CL:CL,"1")</f>
        <v>0</v>
      </c>
      <c r="E54" s="109">
        <f>COUNTIFS(เรื่องร้องเรียน!E:E,"2",เรื่องร้องเรียน!N:N,"ดินแดง",เรื่องร้องเรียน!AN:AN,"สุทธิสาร")</f>
        <v>0</v>
      </c>
      <c r="F54" s="109">
        <f>COUNTIFS(เรื่องร้องเรียน!E:E,"2",เรื่องร้องเรียน!N:N,"ดินแดง",เรื่องร้องเรียน!AN:AN,"สุทธิสาร",เรื่องร้องเรียน!CL:CL,"1")</f>
        <v>0</v>
      </c>
      <c r="G54" s="109">
        <f>COUNTIFS(เรื่องร้องเรียน!E:E,"3",เรื่องร้องเรียน!N:N,"ดินแดง",เรื่องร้องเรียน!AN:AN,"สุทธิสาร")</f>
        <v>0</v>
      </c>
      <c r="H54" s="109">
        <f>COUNTIFS(เรื่องร้องเรียน!E:E,"3",เรื่องร้องเรียน!N:N,"ดินแดง",เรื่องร้องเรียน!AN:AN,"สุทธิสาร",เรื่องร้องเรียน!CL:CL,"1")</f>
        <v>0</v>
      </c>
      <c r="I54" s="109">
        <f>COUNTIFS(เรื่องร้องเรียน!E:E,"4",เรื่องร้องเรียน!N:N,"ดินแดง",เรื่องร้องเรียน!AN:AN,"สุทธิสาร")</f>
        <v>0</v>
      </c>
      <c r="J54" s="144">
        <f>COUNTIFS(เรื่องร้องเรียน!E:E,"4",เรื่องร้องเรียน!N:N,"ดินแดง",เรื่องร้องเรียน!AN:AN,"สุทธิสาร",เรื่องร้องเรียน!CL:CL,"1")</f>
        <v>0</v>
      </c>
      <c r="K54" s="144"/>
      <c r="L54" s="144"/>
      <c r="M54" s="109">
        <f t="shared" si="19"/>
        <v>0</v>
      </c>
      <c r="N54" s="145">
        <f t="shared" si="19"/>
        <v>0</v>
      </c>
      <c r="O54" s="146">
        <f>COUNTIFS(เรื่องร้องเรียน!E:E,"1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P54" s="144">
        <f>COUNTIFS(เรื่องร้องเรียน!E:E,"2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Q54" s="144">
        <f>COUNTIFS(เรื่องร้องเรียน!E:E,"3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R54" s="144">
        <f>COUNTIFS(เรื่องร้องเรียน!E:E,"4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S54" s="144"/>
      <c r="T54" s="147">
        <f t="shared" si="5"/>
        <v>0</v>
      </c>
      <c r="U54" s="129">
        <f t="shared" si="1"/>
        <v>0</v>
      </c>
      <c r="W54" s="129">
        <f t="shared" si="3"/>
        <v>0</v>
      </c>
    </row>
    <row r="55" spans="1:23" ht="21.6" thickBot="1">
      <c r="A55" s="150"/>
      <c r="B55" s="172" t="s">
        <v>140</v>
      </c>
      <c r="C55" s="123">
        <f>COUNTIFS(เรื่องร้องเรียน!E:E,"1",เรื่องร้องเรียน!N:N,"ดินแดง",เรื่องร้องเรียน!AN:AN,"ห้วยขวาง")</f>
        <v>0</v>
      </c>
      <c r="D55" s="117">
        <f>COUNTIFS(เรื่องร้องเรียน!E:E,"1",เรื่องร้องเรียน!N:N,"ดินแดง",เรื่องร้องเรียน!AN:AN,"ห้วยขวาง",เรื่องร้องเรียน!CL:CL,"1")</f>
        <v>0</v>
      </c>
      <c r="E55" s="117">
        <f>COUNTIFS(เรื่องร้องเรียน!E:E,"2",เรื่องร้องเรียน!N:N,"ดินแดง",เรื่องร้องเรียน!AN:AN,"ห้วยขวาง")</f>
        <v>0</v>
      </c>
      <c r="F55" s="117">
        <f>COUNTIFS(เรื่องร้องเรียน!E:E,"2",เรื่องร้องเรียน!N:N,"ดินแดง",เรื่องร้องเรียน!AN:AN,"ห้วยขวาง",เรื่องร้องเรียน!CL:CL,"1")</f>
        <v>0</v>
      </c>
      <c r="G55" s="117">
        <f>COUNTIFS(เรื่องร้องเรียน!E:E,"3",เรื่องร้องเรียน!N:N,"ดินแดง",เรื่องร้องเรียน!AN:AN,"ห้วยขวาง")</f>
        <v>0</v>
      </c>
      <c r="H55" s="117">
        <f>COUNTIFS(เรื่องร้องเรียน!E:E,"3",เรื่องร้องเรียน!N:N,"ดินแดง",เรื่องร้องเรียน!AN:AN,"ห้วยขวาง",เรื่องร้องเรียน!CL:CL,"1")</f>
        <v>0</v>
      </c>
      <c r="I55" s="117">
        <f>COUNTIFS(เรื่องร้องเรียน!E:E,"4",เรื่องร้องเรียน!N:N,"ดินแดง",เรื่องร้องเรียน!AN:AN,"ห้วยขวาง")</f>
        <v>0</v>
      </c>
      <c r="J55" s="152">
        <f>COUNTIFS(เรื่องร้องเรียน!E:E,"4",เรื่องร้องเรียน!N:N,"ดินแดง",เรื่องร้องเรียน!AN:AN,"ห้วยขวาง",เรื่องร้องเรียน!CL:CL,"1")</f>
        <v>0</v>
      </c>
      <c r="K55" s="152"/>
      <c r="L55" s="152"/>
      <c r="M55" s="117">
        <f t="shared" si="19"/>
        <v>0</v>
      </c>
      <c r="N55" s="122">
        <f t="shared" si="19"/>
        <v>0</v>
      </c>
      <c r="O55" s="153">
        <f>COUNTIFS(เรื่องร้องเรียน!E:E,"1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P55" s="152">
        <f>COUNTIFS(เรื่องร้องเรียน!E:E,"2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Q55" s="152">
        <f>COUNTIFS(เรื่องร้องเรียน!E:E,"3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R55" s="152">
        <f>COUNTIFS(เรื่องร้องเรียน!E:E,"4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S55" s="152"/>
      <c r="T55" s="154">
        <f t="shared" si="5"/>
        <v>0</v>
      </c>
      <c r="U55" s="129">
        <f t="shared" si="1"/>
        <v>0</v>
      </c>
      <c r="W55" s="129">
        <f t="shared" si="3"/>
        <v>0</v>
      </c>
    </row>
    <row r="56" spans="1:23" ht="21.6" thickBot="1">
      <c r="A56" s="130" t="s">
        <v>168</v>
      </c>
      <c r="B56" s="169" t="s">
        <v>152</v>
      </c>
      <c r="C56" s="132">
        <f t="shared" ref="C56:T56" si="20">SUM(C57:C63)</f>
        <v>0</v>
      </c>
      <c r="D56" s="131">
        <f t="shared" si="20"/>
        <v>0</v>
      </c>
      <c r="E56" s="131">
        <f t="shared" si="20"/>
        <v>0</v>
      </c>
      <c r="F56" s="131">
        <f t="shared" si="20"/>
        <v>0</v>
      </c>
      <c r="G56" s="131">
        <f t="shared" si="20"/>
        <v>0</v>
      </c>
      <c r="H56" s="131">
        <f t="shared" si="20"/>
        <v>0</v>
      </c>
      <c r="I56" s="131">
        <f t="shared" si="20"/>
        <v>0</v>
      </c>
      <c r="J56" s="131">
        <f t="shared" si="20"/>
        <v>0</v>
      </c>
      <c r="K56" s="131">
        <f t="shared" si="20"/>
        <v>0</v>
      </c>
      <c r="L56" s="131">
        <f t="shared" si="20"/>
        <v>0</v>
      </c>
      <c r="M56" s="131">
        <f t="shared" si="20"/>
        <v>0</v>
      </c>
      <c r="N56" s="163">
        <f t="shared" si="20"/>
        <v>0</v>
      </c>
      <c r="O56" s="132">
        <f t="shared" si="20"/>
        <v>0</v>
      </c>
      <c r="P56" s="132">
        <f t="shared" si="20"/>
        <v>0</v>
      </c>
      <c r="Q56" s="132">
        <f t="shared" si="20"/>
        <v>0</v>
      </c>
      <c r="R56" s="132">
        <f t="shared" si="20"/>
        <v>0</v>
      </c>
      <c r="S56" s="132">
        <f t="shared" si="20"/>
        <v>0</v>
      </c>
      <c r="T56" s="133">
        <f t="shared" si="20"/>
        <v>0</v>
      </c>
      <c r="U56" s="134">
        <f t="shared" si="1"/>
        <v>0</v>
      </c>
      <c r="W56" s="135">
        <f t="shared" si="3"/>
        <v>0</v>
      </c>
    </row>
    <row r="57" spans="1:23">
      <c r="A57" s="165"/>
      <c r="B57" s="170" t="s">
        <v>20</v>
      </c>
      <c r="C57" s="140"/>
      <c r="D57" s="138"/>
      <c r="E57" s="138"/>
      <c r="F57" s="138"/>
      <c r="G57" s="138"/>
      <c r="H57" s="138"/>
      <c r="I57" s="138"/>
      <c r="J57" s="138"/>
      <c r="K57" s="138">
        <f>COUNTIFS(เรื่องร้องเรียน!E:E,"5",เรื่องร้องเรียน!N:N,"ดุสิต")</f>
        <v>0</v>
      </c>
      <c r="L57" s="138">
        <f>COUNTIFS(เรื่องร้องเรียน!E:E,"5",เรื่องร้องเรียน!N:N,"ดุสิต",เรื่องร้องเรียน!CL:CL,"1")</f>
        <v>0</v>
      </c>
      <c r="M57" s="138">
        <f t="shared" ref="M57:N61" si="21">SUM(C57,E57,G57,I57,K57)</f>
        <v>0</v>
      </c>
      <c r="N57" s="139">
        <f t="shared" si="21"/>
        <v>0</v>
      </c>
      <c r="O57" s="140"/>
      <c r="P57" s="138"/>
      <c r="Q57" s="138"/>
      <c r="R57" s="138"/>
      <c r="S57" s="138">
        <f>COUNTIFS(เรื่องร้องเรียน!E:E,"5",เรื่องร้องเรียน!N:N,"ดุสิต",เรื่องร้องเรียน!AQ:AQ,"1",เรื่องร้องเรียน!CL:CL,"")</f>
        <v>0</v>
      </c>
      <c r="T57" s="141">
        <f t="shared" si="5"/>
        <v>0</v>
      </c>
      <c r="U57" s="129">
        <f t="shared" si="1"/>
        <v>0</v>
      </c>
      <c r="V57" s="10" t="s">
        <v>89</v>
      </c>
      <c r="W57" s="129">
        <f t="shared" si="3"/>
        <v>0</v>
      </c>
    </row>
    <row r="58" spans="1:23">
      <c r="A58" s="148"/>
      <c r="B58" s="171" t="s">
        <v>168</v>
      </c>
      <c r="C58" s="246">
        <f>COUNTIFS(เรื่องร้องเรียน!E:E,"1",เรื่องร้องเรียน!N:N,"ดุสิต",เรื่องร้องเรียน!AN:AN,"ดุสิต")</f>
        <v>0</v>
      </c>
      <c r="D58" s="109">
        <f>COUNTIFS(เรื่องร้องเรียน!E:E,"1",เรื่องร้องเรียน!N:N,"ดุสิต",เรื่องร้องเรียน!AN:AN,"ดุสิต",เรื่องร้องเรียน!CL:CL,"1")</f>
        <v>0</v>
      </c>
      <c r="E58" s="109">
        <f>COUNTIFS(เรื่องร้องเรียน!E:E,"2",เรื่องร้องเรียน!N:N,"ดุสิต",เรื่องร้องเรียน!AN:AN,"ดุสิต")</f>
        <v>0</v>
      </c>
      <c r="F58" s="109">
        <f>COUNTIFS(เรื่องร้องเรียน!E:E,"2",เรื่องร้องเรียน!N:N,"ดุสิต",เรื่องร้องเรียน!AN:AN,"ดุสิต",เรื่องร้องเรียน!CL:CL,"1")</f>
        <v>0</v>
      </c>
      <c r="G58" s="109">
        <f>COUNTIFS(เรื่องร้องเรียน!E:E,"3",เรื่องร้องเรียน!N:N,"ดุสิต",เรื่องร้องเรียน!AN:AN,"ดุสิต")</f>
        <v>0</v>
      </c>
      <c r="H58" s="109">
        <f>COUNTIFS(เรื่องร้องเรียน!E:E,"3",เรื่องร้องเรียน!N:N,"ดุสิต",เรื่องร้องเรียน!AN:AN,"ดุสิต",เรื่องร้องเรียน!CL:CL,"1")</f>
        <v>0</v>
      </c>
      <c r="I58" s="109">
        <f>COUNTIFS(เรื่องร้องเรียน!E:E,"4",เรื่องร้องเรียน!N:N,"ดุสิต",เรื่องร้องเรียน!AN:AN,"ดุสิต")</f>
        <v>0</v>
      </c>
      <c r="J58" s="144">
        <f>COUNTIFS(เรื่องร้องเรียน!E:E,"4",เรื่องร้องเรียน!N:N,"ดุสิต",เรื่องร้องเรียน!AN:AN,"ดุสิต",เรื่องร้องเรียน!CL:CL,"1")</f>
        <v>0</v>
      </c>
      <c r="K58" s="144"/>
      <c r="L58" s="144"/>
      <c r="M58" s="109">
        <f t="shared" si="21"/>
        <v>0</v>
      </c>
      <c r="N58" s="145">
        <f t="shared" si="21"/>
        <v>0</v>
      </c>
      <c r="O58" s="146">
        <f>COUNTIFS(เรื่องร้องเรียน!E:E,"1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P58" s="144">
        <f>COUNTIFS(เรื่องร้องเรียน!E:E,"2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Q58" s="144">
        <f>COUNTIFS(เรื่องร้องเรียน!E:E,"3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R58" s="144">
        <f>COUNTIFS(เรื่องร้องเรียน!E:E,"4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S58" s="144"/>
      <c r="T58" s="147">
        <f t="shared" si="5"/>
        <v>0</v>
      </c>
      <c r="U58" s="129">
        <f t="shared" si="1"/>
        <v>0</v>
      </c>
      <c r="W58" s="129">
        <f t="shared" si="3"/>
        <v>0</v>
      </c>
    </row>
    <row r="59" spans="1:23">
      <c r="A59" s="148"/>
      <c r="B59" s="171" t="s">
        <v>134</v>
      </c>
      <c r="C59" s="246">
        <f>COUNTIFS(เรื่องร้องเรียน!E:E,"1",เรื่องร้องเรียน!N:N,"ดุสิต",เรื่องร้องเรียน!AN:AN,"เตาปูน")</f>
        <v>0</v>
      </c>
      <c r="D59" s="109">
        <f>COUNTIFS(เรื่องร้องเรียน!E:E,"1",เรื่องร้องเรียน!N:N,"ดุสิต",เรื่องร้องเรียน!AN:AN,"เตาปูน",เรื่องร้องเรียน!CL:CL,"1")</f>
        <v>0</v>
      </c>
      <c r="E59" s="109">
        <f>COUNTIFS(เรื่องร้องเรียน!E:E,"2",เรื่องร้องเรียน!N:N,"ดุสิต",เรื่องร้องเรียน!AN:AN,"เตาปูน")</f>
        <v>0</v>
      </c>
      <c r="F59" s="109">
        <f>COUNTIFS(เรื่องร้องเรียน!E:E,"2",เรื่องร้องเรียน!N:N,"ดุสิต",เรื่องร้องเรียน!AN:AN,"เตาปูน",เรื่องร้องเรียน!CL:CL,"1")</f>
        <v>0</v>
      </c>
      <c r="G59" s="109">
        <f>COUNTIFS(เรื่องร้องเรียน!E:E,"3",เรื่องร้องเรียน!N:N,"ดุสิต",เรื่องร้องเรียน!AN:AN,"เตาปูน")</f>
        <v>0</v>
      </c>
      <c r="H59" s="109">
        <f>COUNTIFS(เรื่องร้องเรียน!E:E,"3",เรื่องร้องเรียน!N:N,"ดุสิต",เรื่องร้องเรียน!AN:AN,"เตาปูน",เรื่องร้องเรียน!CL:CL,"1")</f>
        <v>0</v>
      </c>
      <c r="I59" s="109">
        <f>COUNTIFS(เรื่องร้องเรียน!E:E,"4",เรื่องร้องเรียน!N:N,"ดุสิต",เรื่องร้องเรียน!AN:AN,"เตาปูน")</f>
        <v>0</v>
      </c>
      <c r="J59" s="144">
        <f>COUNTIFS(เรื่องร้องเรียน!E:E,"4",เรื่องร้องเรียน!N:N,"ดุสิต",เรื่องร้องเรียน!AN:AN,"เตาปูน",เรื่องร้องเรียน!CL:CL,"1")</f>
        <v>0</v>
      </c>
      <c r="K59" s="144"/>
      <c r="L59" s="144"/>
      <c r="M59" s="109">
        <f t="shared" si="21"/>
        <v>0</v>
      </c>
      <c r="N59" s="145">
        <f t="shared" si="21"/>
        <v>0</v>
      </c>
      <c r="O59" s="146">
        <f>COUNTIFS(เรื่องร้องเรียน!E:E,"1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P59" s="144">
        <f>COUNTIFS(เรื่องร้องเรียน!E:E,"2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Q59" s="144">
        <f>COUNTIFS(เรื่องร้องเรียน!E:E,"3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R59" s="144">
        <f>COUNTIFS(เรื่องร้องเรียน!E:E,"4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S59" s="144"/>
      <c r="T59" s="147">
        <f t="shared" si="5"/>
        <v>0</v>
      </c>
      <c r="U59" s="129">
        <f t="shared" si="1"/>
        <v>0</v>
      </c>
      <c r="W59" s="129">
        <f t="shared" si="3"/>
        <v>0</v>
      </c>
    </row>
    <row r="60" spans="1:23">
      <c r="A60" s="148"/>
      <c r="B60" s="171" t="s">
        <v>169</v>
      </c>
      <c r="C60" s="246">
        <f>COUNTIFS(เรื่องร้องเรียน!E:E,"1",เรื่องร้องเรียน!N:N,"ดุสิต",เรื่องร้องเรียน!AN:AN,"นางเลิ้ง")</f>
        <v>0</v>
      </c>
      <c r="D60" s="109">
        <f>COUNTIFS(เรื่องร้องเรียน!E:E,"1",เรื่องร้องเรียน!N:N,"ดุสิต",เรื่องร้องเรียน!AN:AN,"นางเลิ้ง",เรื่องร้องเรียน!CL:CL,"1")</f>
        <v>0</v>
      </c>
      <c r="E60" s="109">
        <f>COUNTIFS(เรื่องร้องเรียน!E:E,"2",เรื่องร้องเรียน!N:N,"ดุสิต",เรื่องร้องเรียน!AN:AN,"นางเลิ้ง")</f>
        <v>0</v>
      </c>
      <c r="F60" s="109">
        <f>COUNTIFS(เรื่องร้องเรียน!E:E,"2",เรื่องร้องเรียน!N:N,"ดุสิต",เรื่องร้องเรียน!AN:AN,"นางเลิ้ง",เรื่องร้องเรียน!CL:CL,"1")</f>
        <v>0</v>
      </c>
      <c r="G60" s="109">
        <f>COUNTIFS(เรื่องร้องเรียน!E:E,"3",เรื่องร้องเรียน!N:N,"ดุสิต",เรื่องร้องเรียน!AN:AN,"นางเลิ้ง")</f>
        <v>0</v>
      </c>
      <c r="H60" s="109">
        <f>COUNTIFS(เรื่องร้องเรียน!E:E,"3",เรื่องร้องเรียน!N:N,"ดุสิต",เรื่องร้องเรียน!AN:AN,"นางเลิ้ง",เรื่องร้องเรียน!CL:CL,"1")</f>
        <v>0</v>
      </c>
      <c r="I60" s="109">
        <f>COUNTIFS(เรื่องร้องเรียน!E:E,"4",เรื่องร้องเรียน!N:N,"ดุสิต",เรื่องร้องเรียน!AN:AN,"นางเลิ้ง")</f>
        <v>0</v>
      </c>
      <c r="J60" s="144">
        <f>COUNTIFS(เรื่องร้องเรียน!E:E,"4",เรื่องร้องเรียน!N:N,"ดุสิต",เรื่องร้องเรียน!AN:AN,"นางเลิ้ง",เรื่องร้องเรียน!CL:CL,"1")</f>
        <v>0</v>
      </c>
      <c r="K60" s="144"/>
      <c r="L60" s="144"/>
      <c r="M60" s="109">
        <f t="shared" si="21"/>
        <v>0</v>
      </c>
      <c r="N60" s="145">
        <f t="shared" si="21"/>
        <v>0</v>
      </c>
      <c r="O60" s="146">
        <f>COUNTIFS(เรื่องร้องเรียน!E:E,"1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P60" s="144">
        <f>COUNTIFS(เรื่องร้องเรียน!E:E,"2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Q60" s="144">
        <f>COUNTIFS(เรื่องร้องเรียน!E:E,"3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R60" s="144">
        <f>COUNTIFS(เรื่องร้องเรียน!E:E,"4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S60" s="144"/>
      <c r="T60" s="147">
        <f t="shared" si="5"/>
        <v>0</v>
      </c>
      <c r="U60" s="129">
        <f t="shared" si="1"/>
        <v>0</v>
      </c>
      <c r="W60" s="129">
        <f t="shared" si="3"/>
        <v>0</v>
      </c>
    </row>
    <row r="61" spans="1:23">
      <c r="A61" s="150"/>
      <c r="B61" s="177" t="s">
        <v>171</v>
      </c>
      <c r="C61" s="123">
        <f>COUNTIFS(เรื่องร้องเรียน!E:E,"1",เรื่องร้องเรียน!N:N,"ดุสิต",เรื่องร้องเรียน!AN:AN,"สามเสน")</f>
        <v>0</v>
      </c>
      <c r="D61" s="117">
        <f>COUNTIFS(เรื่องร้องเรียน!E:E,"1",เรื่องร้องเรียน!N:N,"ดุสิต",เรื่องร้องเรียน!AN:AN,"สามเสน",เรื่องร้องเรียน!CL:CL,"1")</f>
        <v>0</v>
      </c>
      <c r="E61" s="117">
        <f>COUNTIFS(เรื่องร้องเรียน!E:E,"2",เรื่องร้องเรียน!N:N,"ดุสิต",เรื่องร้องเรียน!AN:AN,"สามเสน")</f>
        <v>0</v>
      </c>
      <c r="F61" s="117">
        <f>COUNTIFS(เรื่องร้องเรียน!E:E,"2",เรื่องร้องเรียน!N:N,"ดุสิต",เรื่องร้องเรียน!AN:AN,"สามเสน",เรื่องร้องเรียน!CL:CL,"1")</f>
        <v>0</v>
      </c>
      <c r="G61" s="117">
        <f>COUNTIFS(เรื่องร้องเรียน!E:E,"3",เรื่องร้องเรียน!N:N,"ดุสิต",เรื่องร้องเรียน!AN:AN,"สามเสน")</f>
        <v>0</v>
      </c>
      <c r="H61" s="117">
        <f>COUNTIFS(เรื่องร้องเรียน!E:E,"3",เรื่องร้องเรียน!N:N,"ดุสิต",เรื่องร้องเรียน!AN:AN,"สามเสน",เรื่องร้องเรียน!CL:CL,"1")</f>
        <v>0</v>
      </c>
      <c r="I61" s="117">
        <f>COUNTIFS(เรื่องร้องเรียน!E:E,"4",เรื่องร้องเรียน!N:N,"ดุสิต",เรื่องร้องเรียน!AN:AN,"สามเสน")</f>
        <v>0</v>
      </c>
      <c r="J61" s="152">
        <f>COUNTIFS(เรื่องร้องเรียน!E:E,"4",เรื่องร้องเรียน!N:N,"ดุสิต",เรื่องร้องเรียน!AN:AN,"สามเสน",เรื่องร้องเรียน!CL:CL,"1")</f>
        <v>0</v>
      </c>
      <c r="K61" s="152"/>
      <c r="L61" s="152"/>
      <c r="M61" s="117">
        <f t="shared" si="21"/>
        <v>0</v>
      </c>
      <c r="N61" s="122">
        <f t="shared" si="21"/>
        <v>0</v>
      </c>
      <c r="O61" s="153">
        <f>COUNTIFS(เรื่องร้องเรียน!E:E,"1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P61" s="152">
        <f>COUNTIFS(เรื่องร้องเรียน!E:E,"2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Q61" s="152">
        <f>COUNTIFS(เรื่องร้องเรียน!E:E,"3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R61" s="152">
        <f>COUNTIFS(เรื่องร้องเรียน!E:E,"4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S61" s="152"/>
      <c r="T61" s="154">
        <f t="shared" si="5"/>
        <v>0</v>
      </c>
      <c r="U61" s="129">
        <f t="shared" si="1"/>
        <v>0</v>
      </c>
      <c r="W61" s="129">
        <f t="shared" si="3"/>
        <v>0</v>
      </c>
    </row>
    <row r="62" spans="1:23">
      <c r="A62" s="168"/>
      <c r="B62" s="171" t="s">
        <v>89</v>
      </c>
      <c r="C62" s="123">
        <f>COUNTIFS(เรื่องร้องเรียน!E:E,"1",เรื่องร้องเรียน!N:N,"ดุสิต",เรื่องร้องเรียน!AN:AN,"พญาไท")</f>
        <v>0</v>
      </c>
      <c r="D62" s="117">
        <f>COUNTIFS(เรื่องร้องเรียน!E:E,"1",เรื่องร้องเรียน!N:N,"ดุสิต",เรื่องร้องเรียน!AN:AN,"พญาไท",เรื่องร้องเรียน!CL:CL,"1")</f>
        <v>0</v>
      </c>
      <c r="E62" s="117">
        <f>COUNTIFS(เรื่องร้องเรียน!E:E,"2",เรื่องร้องเรียน!N:N,"ดุสิต",เรื่องร้องเรียน!AN:AN,"พญาไท")</f>
        <v>0</v>
      </c>
      <c r="F62" s="117">
        <f>COUNTIFS(เรื่องร้องเรียน!E:E,"2",เรื่องร้องเรียน!N:N,"ดุสิต",เรื่องร้องเรียน!AN:AN,"พญาไท",เรื่องร้องเรียน!CL:CL,"1")</f>
        <v>0</v>
      </c>
      <c r="G62" s="117">
        <f>COUNTIFS(เรื่องร้องเรียน!E:E,"3",เรื่องร้องเรียน!N:N,"ดุสิต",เรื่องร้องเรียน!AN:AN,"พญาไท")</f>
        <v>0</v>
      </c>
      <c r="H62" s="117">
        <f>COUNTIFS(เรื่องร้องเรียน!E:E,"3",เรื่องร้องเรียน!N:N,"ดุสิต",เรื่องร้องเรียน!AN:AN,"พญาไท",เรื่องร้องเรียน!CL:CL,"1")</f>
        <v>0</v>
      </c>
      <c r="I62" s="117">
        <f>COUNTIFS(เรื่องร้องเรียน!E:E,"4",เรื่องร้องเรียน!N:N,"ดุสิต",เรื่องร้องเรียน!AN:AN,"พญาไท")</f>
        <v>0</v>
      </c>
      <c r="J62" s="152">
        <f>COUNTIFS(เรื่องร้องเรียน!E:E,"4",เรื่องร้องเรียน!N:N,"ดุสิต",เรื่องร้องเรียน!AN:AN,"พญาไท",เรื่องร้องเรียน!CL:CL,"1")</f>
        <v>0</v>
      </c>
      <c r="K62" s="152"/>
      <c r="L62" s="152"/>
      <c r="M62" s="117">
        <f>SUM(C62,E62,G62,I62,K62)</f>
        <v>0</v>
      </c>
      <c r="N62" s="122">
        <f>SUM(D62,F62,H62,J62,L62)</f>
        <v>0</v>
      </c>
      <c r="O62" s="153">
        <f>COUNTIFS(เรื่องร้องเรียน!E:E,"1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P62" s="152">
        <f>COUNTIFS(เรื่องร้องเรียน!E:E,"2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Q62" s="152">
        <f>COUNTIFS(เรื่องร้องเรียน!E:E,"3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R62" s="152">
        <f>COUNTIFS(เรื่องร้องเรียน!E:E,"4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S62" s="152"/>
      <c r="T62" s="154">
        <f>SUM(O62:S62)</f>
        <v>0</v>
      </c>
      <c r="U62" s="129">
        <f>M62-N62-T62</f>
        <v>0</v>
      </c>
      <c r="W62" s="129">
        <f t="shared" si="3"/>
        <v>0</v>
      </c>
    </row>
    <row r="63" spans="1:23" ht="21.6" thickBot="1">
      <c r="A63" s="168"/>
      <c r="B63" s="172" t="s">
        <v>172</v>
      </c>
      <c r="C63" s="123">
        <f>COUNTIFS(เรื่องร้องเรียน!E:E,"1",เรื่องร้องเรียน!N:N,"ดุสิต",เรื่องร้องเรียน!AN:AN,"บางโพ")</f>
        <v>0</v>
      </c>
      <c r="D63" s="117">
        <f>COUNTIFS(เรื่องร้องเรียน!E:E,"1",เรื่องร้องเรียน!N:N,"ดุสิต",เรื่องร้องเรียน!AN:AN,"บางโพ",เรื่องร้องเรียน!CL:CL,"1")</f>
        <v>0</v>
      </c>
      <c r="E63" s="117">
        <f>COUNTIFS(เรื่องร้องเรียน!E:E,"2",เรื่องร้องเรียน!N:N,"ดุสิต",เรื่องร้องเรียน!AN:AN,"บางโพ")</f>
        <v>0</v>
      </c>
      <c r="F63" s="117">
        <f>COUNTIFS(เรื่องร้องเรียน!E:E,"2",เรื่องร้องเรียน!N:N,"ดุสิต",เรื่องร้องเรียน!AN:AN,"บางโพ",เรื่องร้องเรียน!CL:CL,"1")</f>
        <v>0</v>
      </c>
      <c r="G63" s="117">
        <f>COUNTIFS(เรื่องร้องเรียน!E:E,"3",เรื่องร้องเรียน!N:N,"ดุสิต",เรื่องร้องเรียน!AN:AN,"บางโพ")</f>
        <v>0</v>
      </c>
      <c r="H63" s="117">
        <f>COUNTIFS(เรื่องร้องเรียน!E:E,"3",เรื่องร้องเรียน!N:N,"ดุสิต",เรื่องร้องเรียน!AN:AN,"บางโพ",เรื่องร้องเรียน!CL:CL,"1")</f>
        <v>0</v>
      </c>
      <c r="I63" s="117">
        <f>COUNTIFS(เรื่องร้องเรียน!E:E,"4",เรื่องร้องเรียน!N:N,"ดุสิต",เรื่องร้องเรียน!AN:AN,"บางโพ")</f>
        <v>0</v>
      </c>
      <c r="J63" s="152">
        <f>COUNTIFS(เรื่องร้องเรียน!E:E,"4",เรื่องร้องเรียน!N:N,"ดุสิต",เรื่องร้องเรียน!AN:AN,"บางโพ",เรื่องร้องเรียน!CL:CL,"1")</f>
        <v>0</v>
      </c>
      <c r="K63" s="152"/>
      <c r="L63" s="152"/>
      <c r="M63" s="117">
        <f>SUM(C63,E63,G63,I63,K63)</f>
        <v>0</v>
      </c>
      <c r="N63" s="122">
        <f>SUM(D63,F63,H63,J63,L63)</f>
        <v>0</v>
      </c>
      <c r="O63" s="153">
        <f>COUNTIFS(เรื่องร้องเรียน!E:E,"1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P63" s="152">
        <f>COUNTIFS(เรื่องร้องเรียน!E:E,"2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Q63" s="152">
        <f>COUNTIFS(เรื่องร้องเรียน!E:E,"3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R63" s="152">
        <f>COUNTIFS(เรื่องร้องเรียน!E:E,"4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S63" s="152"/>
      <c r="T63" s="154">
        <f>SUM(O63:S63)</f>
        <v>0</v>
      </c>
      <c r="U63" s="129">
        <f>M63-N63-T63</f>
        <v>0</v>
      </c>
      <c r="W63" s="129">
        <f t="shared" si="3"/>
        <v>0</v>
      </c>
    </row>
    <row r="64" spans="1:23" ht="21.6" thickBot="1">
      <c r="A64" s="130" t="s">
        <v>185</v>
      </c>
      <c r="B64" s="162" t="s">
        <v>152</v>
      </c>
      <c r="C64" s="132">
        <f>SUM(C65:C69 )</f>
        <v>0</v>
      </c>
      <c r="D64" s="131">
        <f>SUM(D65:D69 )</f>
        <v>0</v>
      </c>
      <c r="E64" s="131">
        <f>SUM(E65:E69 )</f>
        <v>0</v>
      </c>
      <c r="F64" s="131">
        <f t="shared" ref="F64:L64" si="22">SUM(F65:F69 )</f>
        <v>0</v>
      </c>
      <c r="G64" s="131">
        <f t="shared" si="22"/>
        <v>0</v>
      </c>
      <c r="H64" s="131">
        <f t="shared" si="22"/>
        <v>0</v>
      </c>
      <c r="I64" s="131">
        <f t="shared" si="22"/>
        <v>0</v>
      </c>
      <c r="J64" s="131">
        <f t="shared" si="22"/>
        <v>0</v>
      </c>
      <c r="K64" s="131">
        <f t="shared" si="22"/>
        <v>0</v>
      </c>
      <c r="L64" s="131">
        <f t="shared" si="22"/>
        <v>0</v>
      </c>
      <c r="M64" s="131">
        <f t="shared" ref="M64:T64" si="23">SUM(M65:M69 )</f>
        <v>0</v>
      </c>
      <c r="N64" s="163">
        <f t="shared" si="23"/>
        <v>0</v>
      </c>
      <c r="O64" s="132">
        <f t="shared" si="23"/>
        <v>0</v>
      </c>
      <c r="P64" s="132">
        <f t="shared" si="23"/>
        <v>0</v>
      </c>
      <c r="Q64" s="132">
        <f t="shared" si="23"/>
        <v>0</v>
      </c>
      <c r="R64" s="132">
        <f t="shared" si="23"/>
        <v>0</v>
      </c>
      <c r="S64" s="132">
        <f t="shared" si="23"/>
        <v>0</v>
      </c>
      <c r="T64" s="132">
        <f t="shared" si="23"/>
        <v>0</v>
      </c>
      <c r="U64" s="134">
        <f t="shared" si="1"/>
        <v>0</v>
      </c>
      <c r="W64" s="135">
        <f t="shared" si="3"/>
        <v>0</v>
      </c>
    </row>
    <row r="65" spans="1:23">
      <c r="A65" s="165"/>
      <c r="B65" s="170" t="s">
        <v>20</v>
      </c>
      <c r="C65" s="140"/>
      <c r="D65" s="138"/>
      <c r="E65" s="138"/>
      <c r="F65" s="138"/>
      <c r="G65" s="138"/>
      <c r="H65" s="138"/>
      <c r="I65" s="138"/>
      <c r="J65" s="138"/>
      <c r="K65" s="138">
        <f>COUNTIFS(เรื่องร้องเรียน!E:E,"5",เรื่องร้องเรียน!N:N,"ตลิ่งชัน")</f>
        <v>0</v>
      </c>
      <c r="L65" s="138">
        <f>COUNTIFS(เรื่องร้องเรียน!E:E,"5",เรื่องร้องเรียน!N:N,"ตลิ่งชัน",เรื่องร้องเรียน!CL:CL,"1")</f>
        <v>0</v>
      </c>
      <c r="M65" s="138">
        <f t="shared" ref="M65:N67" si="24">SUM(C65,E65,G65,I65,K65)</f>
        <v>0</v>
      </c>
      <c r="N65" s="139">
        <f t="shared" si="24"/>
        <v>0</v>
      </c>
      <c r="O65" s="140"/>
      <c r="P65" s="138"/>
      <c r="Q65" s="138"/>
      <c r="R65" s="138"/>
      <c r="S65" s="138">
        <f>COUNTIFS(เรื่องร้องเรียน!E:E,"5",เรื่องร้องเรียน!N:N,"ตลิ่งชัน",เรื่องร้องเรียน!AQ:AQ,"1",เรื่องร้องเรียน!CL:CL,"")</f>
        <v>0</v>
      </c>
      <c r="T65" s="141">
        <f t="shared" si="5"/>
        <v>0</v>
      </c>
      <c r="U65" s="129">
        <f t="shared" si="1"/>
        <v>0</v>
      </c>
      <c r="V65" s="10" t="s">
        <v>127</v>
      </c>
      <c r="W65" s="129">
        <f t="shared" si="3"/>
        <v>0</v>
      </c>
    </row>
    <row r="66" spans="1:23">
      <c r="A66" s="148"/>
      <c r="B66" s="171" t="s">
        <v>185</v>
      </c>
      <c r="C66" s="246">
        <f>COUNTIFS(เรื่องร้องเรียน!E:E,"1",เรื่องร้องเรียน!N:N,"ตลิ่งชัน",เรื่องร้องเรียน!AN:AN,"ตลิ่งชัน")</f>
        <v>0</v>
      </c>
      <c r="D66" s="109">
        <f>COUNTIFS(เรื่องร้องเรียน!E:E,"1",เรื่องร้องเรียน!N:N,"ตลิ่งชัน",เรื่องร้องเรียน!AN:AN,"ตลิ่งชัน",เรื่องร้องเรียน!CL:CL,"1")</f>
        <v>0</v>
      </c>
      <c r="E66" s="109">
        <f>COUNTIFS(เรื่องร้องเรียน!E:E,"2",เรื่องร้องเรียน!N:N,"ตลิ่งชัน",เรื่องร้องเรียน!AN:AN,"ตลิ่งชัน")</f>
        <v>0</v>
      </c>
      <c r="F66" s="109">
        <f>COUNTIFS(เรื่องร้องเรียน!E:E,"2",เรื่องร้องเรียน!N:N,"ตลิ่งชัน",เรื่องร้องเรียน!AN:AN,"ตลิ่งชัน",เรื่องร้องเรียน!CL:CL,"1")</f>
        <v>0</v>
      </c>
      <c r="G66" s="109">
        <f>COUNTIFS(เรื่องร้องเรียน!E:E,"3",เรื่องร้องเรียน!N:N,"ตลิ่งชัน",เรื่องร้องเรียน!AN:AN,"ตลิ่งชัน")</f>
        <v>0</v>
      </c>
      <c r="H66" s="109">
        <f>COUNTIFS(เรื่องร้องเรียน!E:E,"3",เรื่องร้องเรียน!N:N,"ตลิ่งชัน",เรื่องร้องเรียน!AN:AN,"ตลิ่งชัน",เรื่องร้องเรียน!CL:CL,"1")</f>
        <v>0</v>
      </c>
      <c r="I66" s="109">
        <f>COUNTIFS(เรื่องร้องเรียน!E:E,"4",เรื่องร้องเรียน!N:N,"ตลิ่งชัน",เรื่องร้องเรียน!AN:AN,"ตลิ่งชัน")</f>
        <v>0</v>
      </c>
      <c r="J66" s="144">
        <f>COUNTIFS(เรื่องร้องเรียน!E:E,"4",เรื่องร้องเรียน!N:N,"ตลิ่งชัน",เรื่องร้องเรียน!AN:AN,"ตลิ่งชัน",เรื่องร้องเรียน!CL:CL,"1")</f>
        <v>0</v>
      </c>
      <c r="K66" s="144"/>
      <c r="L66" s="144"/>
      <c r="M66" s="109">
        <f t="shared" si="24"/>
        <v>0</v>
      </c>
      <c r="N66" s="145">
        <f t="shared" si="24"/>
        <v>0</v>
      </c>
      <c r="O66" s="146">
        <f>COUNTIFS(เรื่องร้องเรียน!E:E,"1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P66" s="144">
        <f>COUNTIFS(เรื่องร้องเรียน!E:E,"2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Q66" s="144">
        <f>COUNTIFS(เรื่องร้องเรียน!E:E,"3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R66" s="144">
        <f>COUNTIFS(เรื่องร้องเรียน!E:E,"4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S66" s="144"/>
      <c r="T66" s="147">
        <f t="shared" si="5"/>
        <v>0</v>
      </c>
      <c r="U66" s="129">
        <f t="shared" si="1"/>
        <v>0</v>
      </c>
      <c r="W66" s="129">
        <f t="shared" si="3"/>
        <v>0</v>
      </c>
    </row>
    <row r="67" spans="1:23">
      <c r="A67" s="150"/>
      <c r="B67" s="177" t="s">
        <v>190</v>
      </c>
      <c r="C67" s="123">
        <f>COUNTIFS(เรื่องร้องเรียน!E:E,"1",เรื่องร้องเรียน!N:N,"ตลิ่งชัน",เรื่องร้องเรียน!AN:AN,"บางเสาธง")</f>
        <v>0</v>
      </c>
      <c r="D67" s="117">
        <f>COUNTIFS(เรื่องร้องเรียน!E:E,"1",เรื่องร้องเรียน!N:N,"ตลิ่งชัน",เรื่องร้องเรียน!AN:AN,"บางเสาธง",เรื่องร้องเรียน!CL:CL,"1")</f>
        <v>0</v>
      </c>
      <c r="E67" s="117">
        <f>COUNTIFS(เรื่องร้องเรียน!E:E,"2",เรื่องร้องเรียน!N:N,"ตลิ่งชัน",เรื่องร้องเรียน!AN:AN,"บางเสาธง")</f>
        <v>0</v>
      </c>
      <c r="F67" s="117">
        <f>COUNTIFS(เรื่องร้องเรียน!E:E,"2",เรื่องร้องเรียน!N:N,"ตลิ่งชัน",เรื่องร้องเรียน!AN:AN,"บางเสาธง",เรื่องร้องเรียน!CL:CL,"1")</f>
        <v>0</v>
      </c>
      <c r="G67" s="117">
        <f>COUNTIFS(เรื่องร้องเรียน!E:E,"3",เรื่องร้องเรียน!N:N,"ตลิ่งชัน",เรื่องร้องเรียน!AN:AN,"บางเสาธง")</f>
        <v>0</v>
      </c>
      <c r="H67" s="117">
        <f>COUNTIFS(เรื่องร้องเรียน!E:E,"3",เรื่องร้องเรียน!N:N,"ตลิ่งชัน",เรื่องร้องเรียน!AN:AN,"บางเสาธง",เรื่องร้องเรียน!CL:CL,"1")</f>
        <v>0</v>
      </c>
      <c r="I67" s="117">
        <f>COUNTIFS(เรื่องร้องเรียน!E:E,"4",เรื่องร้องเรียน!N:N,"ตลิ่งชัน",เรื่องร้องเรียน!AN:AN,"บางเสาธง")</f>
        <v>0</v>
      </c>
      <c r="J67" s="152">
        <f>COUNTIFS(เรื่องร้องเรียน!E:E,"4",เรื่องร้องเรียน!N:N,"ตลิ่งชัน",เรื่องร้องเรียน!AN:AN,"บางเสาธง",เรื่องร้องเรียน!CL:CL,"1")</f>
        <v>0</v>
      </c>
      <c r="K67" s="152"/>
      <c r="L67" s="152"/>
      <c r="M67" s="117">
        <f t="shared" si="24"/>
        <v>0</v>
      </c>
      <c r="N67" s="122">
        <f t="shared" si="24"/>
        <v>0</v>
      </c>
      <c r="O67" s="153">
        <f>COUNTIFS(เรื่องร้องเรียน!E:E,"1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P67" s="152">
        <f>COUNTIFS(เรื่องร้องเรียน!E:E,"2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Q67" s="152">
        <f>COUNTIFS(เรื่องร้องเรียน!E:E,"3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R67" s="152">
        <f>COUNTIFS(เรื่องร้องเรียน!E:E,"4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S67" s="152"/>
      <c r="T67" s="154">
        <f t="shared" si="5"/>
        <v>0</v>
      </c>
      <c r="U67" s="129">
        <f t="shared" si="1"/>
        <v>0</v>
      </c>
      <c r="W67" s="129">
        <f t="shared" si="3"/>
        <v>0</v>
      </c>
    </row>
    <row r="68" spans="1:23">
      <c r="A68" s="168"/>
      <c r="B68" s="171" t="s">
        <v>127</v>
      </c>
      <c r="C68" s="123">
        <f>COUNTIFS(เรื่องร้องเรียน!E:E,"1",เรื่องร้องเรียน!N:N,"ตลิ่งชัน",เรื่องร้องเรียน!AN:AN,"บางยี่ขัน")</f>
        <v>0</v>
      </c>
      <c r="D68" s="117">
        <f>COUNTIFS(เรื่องร้องเรียน!E:E,"1",เรื่องร้องเรียน!N:N,"ตลิ่งชัน",เรื่องร้องเรียน!AN:AN,"บางยี่ขัน",เรื่องร้องเรียน!CL:CL,"1")</f>
        <v>0</v>
      </c>
      <c r="E68" s="117">
        <f>COUNTIFS(เรื่องร้องเรียน!E:E,"2",เรื่องร้องเรียน!N:N,"ตลิ่งชัน",เรื่องร้องเรียน!AN:AN,"บางยี่ขัน")</f>
        <v>0</v>
      </c>
      <c r="F68" s="117">
        <f>COUNTIFS(เรื่องร้องเรียน!E:E,"2",เรื่องร้องเรียน!N:N,"ตลิ่งชัน",เรื่องร้องเรียน!AN:AN,"บางยี่ขัน",เรื่องร้องเรียน!CL:CL,"1")</f>
        <v>0</v>
      </c>
      <c r="G68" s="117">
        <f>COUNTIFS(เรื่องร้องเรียน!E:E,"3",เรื่องร้องเรียน!N:N,"ตลิ่งชัน",เรื่องร้องเรียน!AN:AN,"บางยี่ขัน")</f>
        <v>0</v>
      </c>
      <c r="H68" s="117">
        <f>COUNTIFS(เรื่องร้องเรียน!E:E,"3",เรื่องร้องเรียน!N:N,"ตลิ่งชัน",เรื่องร้องเรียน!AN:AN,"บางยี่ขัน",เรื่องร้องเรียน!CL:CL,"1")</f>
        <v>0</v>
      </c>
      <c r="I68" s="117">
        <f>COUNTIFS(เรื่องร้องเรียน!E:E,"4",เรื่องร้องเรียน!N:N,"ตลิ่งชัน",เรื่องร้องเรียน!AN:AN,"บางยี่ขัน")</f>
        <v>0</v>
      </c>
      <c r="J68" s="152">
        <f>COUNTIFS(เรื่องร้องเรียน!E:E,"4",เรื่องร้องเรียน!N:N,"ตลิ่งชัน",เรื่องร้องเรียน!AN:AN,"บางยี่ขัน",เรื่องร้องเรียน!CL:CL,"1")</f>
        <v>0</v>
      </c>
      <c r="K68" s="152"/>
      <c r="L68" s="152"/>
      <c r="M68" s="117">
        <f>SUM(C68,E68,G68,I68,K68)</f>
        <v>0</v>
      </c>
      <c r="N68" s="122">
        <f>SUM(D68,F68,H68,J68,L68)</f>
        <v>0</v>
      </c>
      <c r="O68" s="153">
        <f>COUNTIFS(เรื่องร้องเรียน!E:E,"1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P68" s="152">
        <f>COUNTIFS(เรื่องร้องเรียน!E:E,"2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Q68" s="152">
        <f>COUNTIFS(เรื่องร้องเรียน!E:E,"3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R68" s="152">
        <f>COUNTIFS(เรื่องร้องเรียน!E:E,"4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S68" s="152"/>
      <c r="T68" s="154">
        <f>SUM(O68:S68)</f>
        <v>0</v>
      </c>
      <c r="U68" s="129">
        <f>M68-N68-T68</f>
        <v>0</v>
      </c>
      <c r="W68" s="129">
        <f t="shared" si="3"/>
        <v>0</v>
      </c>
    </row>
    <row r="69" spans="1:23" ht="21.6" thickBot="1">
      <c r="A69" s="168"/>
      <c r="B69" s="162" t="s">
        <v>187</v>
      </c>
      <c r="C69" s="123">
        <f>COUNTIFS(เรื่องร้องเรียน!E:E,"1",เรื่องร้องเรียน!N:N,"ตลิ่งชัน",เรื่องร้องเรียน!AN:AN,"ธรรมศาลา")</f>
        <v>0</v>
      </c>
      <c r="D69" s="117">
        <f>COUNTIFS(เรื่องร้องเรียน!E:E,"1",เรื่องร้องเรียน!N:N,"ตลิ่งชัน",เรื่องร้องเรียน!AN:AN,"ธรรมศาลา",เรื่องร้องเรียน!CL:CL,"1")</f>
        <v>0</v>
      </c>
      <c r="E69" s="117">
        <f>COUNTIFS(เรื่องร้องเรียน!E:E,"2",เรื่องร้องเรียน!N:N,"ตลิ่งชัน",เรื่องร้องเรียน!AN:AN,"ธรรมศาลา")</f>
        <v>0</v>
      </c>
      <c r="F69" s="117">
        <f>COUNTIFS(เรื่องร้องเรียน!E:E,"2",เรื่องร้องเรียน!N:N,"ตลิ่งชัน",เรื่องร้องเรียน!AN:AN,"ธรรมศาลา",เรื่องร้องเรียน!CL:CL,"1")</f>
        <v>0</v>
      </c>
      <c r="G69" s="117">
        <f>COUNTIFS(เรื่องร้องเรียน!E:E,"3",เรื่องร้องเรียน!N:N,"ตลิ่งชัน",เรื่องร้องเรียน!AN:AN,"ธรรมศาลา")</f>
        <v>0</v>
      </c>
      <c r="H69" s="117">
        <f>COUNTIFS(เรื่องร้องเรียน!E:E,"3",เรื่องร้องเรียน!N:N,"ตลิ่งชัน",เรื่องร้องเรียน!AN:AN,"ธรรมศาลา",เรื่องร้องเรียน!CL:CL,"1")</f>
        <v>0</v>
      </c>
      <c r="I69" s="117">
        <f>COUNTIFS(เรื่องร้องเรียน!E:E,"4",เรื่องร้องเรียน!N:N,"ตลิ่งชัน",เรื่องร้องเรียน!AN:AN,"ธรรมศาลา")</f>
        <v>0</v>
      </c>
      <c r="J69" s="152">
        <f>COUNTIFS(เรื่องร้องเรียน!E:E,"4",เรื่องร้องเรียน!N:N,"ตลิ่งชัน",เรื่องร้องเรียน!AN:AN,"ธรรมศาลา",เรื่องร้องเรียน!CL:CL,"1")</f>
        <v>0</v>
      </c>
      <c r="K69" s="152"/>
      <c r="L69" s="152"/>
      <c r="M69" s="117">
        <f>SUM(C69,E69,G69,I69,K69)</f>
        <v>0</v>
      </c>
      <c r="N69" s="122">
        <f>SUM(D69,F69,H69,J69,L69)</f>
        <v>0</v>
      </c>
      <c r="O69" s="153">
        <f>COUNTIFS(เรื่องร้องเรียน!E:E,"1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P69" s="152">
        <f>COUNTIFS(เรื่องร้องเรียน!E:E,"2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Q69" s="152">
        <f>COUNTIFS(เรื่องร้องเรียน!E:E,"3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R69" s="152">
        <f>COUNTIFS(เรื่องร้องเรียน!E:E,"4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S69" s="152"/>
      <c r="T69" s="154">
        <f>SUM(O69:S69)</f>
        <v>0</v>
      </c>
      <c r="U69" s="129">
        <f>M69-N69-T69</f>
        <v>0</v>
      </c>
      <c r="W69" s="129">
        <f t="shared" si="3"/>
        <v>0</v>
      </c>
    </row>
    <row r="70" spans="1:23" ht="21.6" thickBot="1">
      <c r="A70" s="130" t="s">
        <v>203</v>
      </c>
      <c r="B70" s="169" t="s">
        <v>152</v>
      </c>
      <c r="C70" s="132">
        <f t="shared" ref="C70:T70" si="25">SUM(C71:C75)</f>
        <v>0</v>
      </c>
      <c r="D70" s="131">
        <f t="shared" si="25"/>
        <v>0</v>
      </c>
      <c r="E70" s="131">
        <f t="shared" si="25"/>
        <v>0</v>
      </c>
      <c r="F70" s="131">
        <f t="shared" si="25"/>
        <v>0</v>
      </c>
      <c r="G70" s="131">
        <f t="shared" si="25"/>
        <v>0</v>
      </c>
      <c r="H70" s="131">
        <f t="shared" si="25"/>
        <v>0</v>
      </c>
      <c r="I70" s="131">
        <f t="shared" si="25"/>
        <v>0</v>
      </c>
      <c r="J70" s="131">
        <f t="shared" si="25"/>
        <v>0</v>
      </c>
      <c r="K70" s="131">
        <f t="shared" si="25"/>
        <v>0</v>
      </c>
      <c r="L70" s="131">
        <f t="shared" si="25"/>
        <v>0</v>
      </c>
      <c r="M70" s="131">
        <f t="shared" si="25"/>
        <v>0</v>
      </c>
      <c r="N70" s="163">
        <f t="shared" si="25"/>
        <v>0</v>
      </c>
      <c r="O70" s="132">
        <f t="shared" si="25"/>
        <v>0</v>
      </c>
      <c r="P70" s="132">
        <f t="shared" si="25"/>
        <v>0</v>
      </c>
      <c r="Q70" s="132">
        <f t="shared" si="25"/>
        <v>0</v>
      </c>
      <c r="R70" s="132">
        <f t="shared" si="25"/>
        <v>0</v>
      </c>
      <c r="S70" s="132">
        <f t="shared" si="25"/>
        <v>0</v>
      </c>
      <c r="T70" s="133">
        <f t="shared" si="25"/>
        <v>0</v>
      </c>
      <c r="U70" s="134">
        <f t="shared" si="1"/>
        <v>0</v>
      </c>
      <c r="W70" s="135">
        <f t="shared" si="3"/>
        <v>0</v>
      </c>
    </row>
    <row r="71" spans="1:23">
      <c r="A71" s="165"/>
      <c r="B71" s="170" t="s">
        <v>20</v>
      </c>
      <c r="C71" s="140"/>
      <c r="D71" s="138"/>
      <c r="E71" s="138"/>
      <c r="F71" s="138"/>
      <c r="G71" s="138"/>
      <c r="H71" s="138"/>
      <c r="I71" s="138"/>
      <c r="J71" s="138"/>
      <c r="K71" s="138">
        <f>COUNTIFS(เรื่องร้องเรียน!E:E,"5",เรื่องร้องเรียน!N:N,"ทวีวัฒนา")</f>
        <v>0</v>
      </c>
      <c r="L71" s="138">
        <f>COUNTIFS(เรื่องร้องเรียน!E:E,"5",เรื่องร้องเรียน!N:N,"ทวีวัฒนา",เรื่องร้องเรียน!CL:CL,"1")</f>
        <v>0</v>
      </c>
      <c r="M71" s="138">
        <f t="shared" ref="M71:N73" si="26">SUM(C71,E71,G71,I71,K71)</f>
        <v>0</v>
      </c>
      <c r="N71" s="139">
        <f t="shared" si="26"/>
        <v>0</v>
      </c>
      <c r="O71" s="140"/>
      <c r="P71" s="138"/>
      <c r="Q71" s="138"/>
      <c r="R71" s="138"/>
      <c r="S71" s="138">
        <f>COUNTIFS(เรื่องร้องเรียน!E:E,"5",เรื่องร้องเรียน!N:N,"ทวีวัฒนา",เรื่องร้องเรียน!AQ:AQ,"1",เรื่องร้องเรียน!CL:CL,"")</f>
        <v>0</v>
      </c>
      <c r="T71" s="141">
        <f t="shared" si="5"/>
        <v>0</v>
      </c>
      <c r="U71" s="129">
        <f t="shared" si="1"/>
        <v>0</v>
      </c>
      <c r="V71" s="10" t="s">
        <v>135</v>
      </c>
      <c r="W71" s="129">
        <f t="shared" si="3"/>
        <v>0</v>
      </c>
    </row>
    <row r="72" spans="1:23">
      <c r="A72" s="148"/>
      <c r="B72" s="171" t="s">
        <v>187</v>
      </c>
      <c r="C72" s="246">
        <f>COUNTIFS(เรื่องร้องเรียน!E:E,"1",เรื่องร้องเรียน!N:N,"ทวีวัฒนา",เรื่องร้องเรียน!AN:AN,"ธรรมศาลา")</f>
        <v>0</v>
      </c>
      <c r="D72" s="109">
        <f>COUNTIFS(เรื่องร้องเรียน!E:E,"1",เรื่องร้องเรียน!N:N,"ทวีวัฒนา",เรื่องร้องเรียน!AN:AN,"ธรรมศาลา",เรื่องร้องเรียน!CL:CL,"1")</f>
        <v>0</v>
      </c>
      <c r="E72" s="109">
        <f>COUNTIFS(เรื่องร้องเรียน!E:E,"2",เรื่องร้องเรียน!N:N,"ทวีวัฒนา",เรื่องร้องเรียน!AN:AN,"ธรรมศาลา")</f>
        <v>0</v>
      </c>
      <c r="F72" s="109">
        <f>COUNTIFS(เรื่องร้องเรียน!E:E,"2",เรื่องร้องเรียน!N:N,"ทวีวัฒนา",เรื่องร้องเรียน!AN:AN,"ธรรมศาลา",เรื่องร้องเรียน!CL:CL,"1")</f>
        <v>0</v>
      </c>
      <c r="G72" s="109">
        <f>COUNTIFS(เรื่องร้องเรียน!E:E,"3",เรื่องร้องเรียน!N:N,"ทวีวัฒนา",เรื่องร้องเรียน!AN:AN,"ธรรมศาลา")</f>
        <v>0</v>
      </c>
      <c r="H72" s="109">
        <f>COUNTIFS(เรื่องร้องเรียน!E:E,"3",เรื่องร้องเรียน!N:N,"ทวีวัฒนา",เรื่องร้องเรียน!AN:AN,"ธรรมศาลา",เรื่องร้องเรียน!CL:CL,"1")</f>
        <v>0</v>
      </c>
      <c r="I72" s="109">
        <f>COUNTIFS(เรื่องร้องเรียน!E:E,"4",เรื่องร้องเรียน!N:N,"ทวีวัฒนา",เรื่องร้องเรียน!AN:AN,"ธรรมศาลา")</f>
        <v>0</v>
      </c>
      <c r="J72" s="144">
        <f>COUNTIFS(เรื่องร้องเรียน!E:E,"4",เรื่องร้องเรียน!N:N,"ทวีวัฒนา",เรื่องร้องเรียน!AN:AN,"ธรรมศาลา",เรื่องร้องเรียน!CL:CL,"1")</f>
        <v>0</v>
      </c>
      <c r="K72" s="144"/>
      <c r="L72" s="144"/>
      <c r="M72" s="109">
        <f t="shared" si="26"/>
        <v>0</v>
      </c>
      <c r="N72" s="145">
        <f t="shared" si="26"/>
        <v>0</v>
      </c>
      <c r="O72" s="146">
        <f>COUNTIFS(เรื่องร้องเรียน!E:E,"1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P72" s="144">
        <f>COUNTIFS(เรื่องร้องเรียน!E:E,"2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Q72" s="144">
        <f>COUNTIFS(เรื่องร้องเรียน!E:E,"3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R72" s="144">
        <f>COUNTIFS(เรื่องร้องเรียน!E:E,"4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S72" s="144"/>
      <c r="T72" s="147">
        <f t="shared" si="5"/>
        <v>0</v>
      </c>
      <c r="U72" s="129">
        <f t="shared" si="1"/>
        <v>0</v>
      </c>
      <c r="V72" s="10" t="s">
        <v>190</v>
      </c>
      <c r="W72" s="129">
        <f t="shared" si="3"/>
        <v>0</v>
      </c>
    </row>
    <row r="73" spans="1:23" ht="22.5" customHeight="1">
      <c r="A73" s="148"/>
      <c r="B73" s="177" t="s">
        <v>191</v>
      </c>
      <c r="C73" s="123">
        <f>COUNTIFS(เรื่องร้องเรียน!E:E,"1",เรื่องร้องเรียน!N:N,"ทวีวัฒนา",เรื่องร้องเรียน!AN:AN,"ศาลาแดง")</f>
        <v>0</v>
      </c>
      <c r="D73" s="117">
        <f>COUNTIFS(เรื่องร้องเรียน!E:E,"1",เรื่องร้องเรียน!N:N,"ทวีวัฒนา",เรื่องร้องเรียน!AN:AN,"ศาลาแดง",เรื่องร้องเรียน!CL:CL,"1")</f>
        <v>0</v>
      </c>
      <c r="E73" s="117">
        <f>COUNTIFS(เรื่องร้องเรียน!E:E,"2",เรื่องร้องเรียน!N:N,"ทวีวัฒนา",เรื่องร้องเรียน!AN:AN,"ศาลาแดง")</f>
        <v>0</v>
      </c>
      <c r="F73" s="117">
        <f>COUNTIFS(เรื่องร้องเรียน!E:E,"2",เรื่องร้องเรียน!N:N,"ทวีวัฒนา",เรื่องร้องเรียน!AN:AN,"ศาลาแดง",เรื่องร้องเรียน!CL:CL,"1")</f>
        <v>0</v>
      </c>
      <c r="G73" s="117">
        <f>COUNTIFS(เรื่องร้องเรียน!E:E,"3",เรื่องร้องเรียน!N:N,"ทวีวัฒนา",เรื่องร้องเรียน!AN:AN,"ศาลาแดง")</f>
        <v>0</v>
      </c>
      <c r="H73" s="117">
        <f>COUNTIFS(เรื่องร้องเรียน!E:E,"3",เรื่องร้องเรียน!N:N,"ทวีวัฒนา",เรื่องร้องเรียน!AN:AN,"ศาลาแดง",เรื่องร้องเรียน!CL:CL,"1")</f>
        <v>0</v>
      </c>
      <c r="I73" s="117">
        <f>COUNTIFS(เรื่องร้องเรียน!E:E,"4",เรื่องร้องเรียน!N:N,"ทวีวัฒนา",เรื่องร้องเรียน!AN:AN,"ศาลาแดง")</f>
        <v>0</v>
      </c>
      <c r="J73" s="152">
        <f>COUNTIFS(เรื่องร้องเรียน!E:E,"4",เรื่องร้องเรียน!N:N,"ทวีวัฒนา",เรื่องร้องเรียน!AN:AN,"ศาลาแดง",เรื่องร้องเรียน!CL:CL,"1")</f>
        <v>0</v>
      </c>
      <c r="K73" s="152"/>
      <c r="L73" s="152"/>
      <c r="M73" s="117">
        <f t="shared" si="26"/>
        <v>0</v>
      </c>
      <c r="N73" s="122">
        <f t="shared" si="26"/>
        <v>0</v>
      </c>
      <c r="O73" s="153">
        <f>COUNTIFS(เรื่องร้องเรียน!E:E,"1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P73" s="152">
        <f>COUNTIFS(เรื่องร้องเรียน!E:E,"2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Q73" s="152">
        <f>COUNTIFS(เรื่องร้องเรียน!E:E,"3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R73" s="152">
        <f>COUNTIFS(เรื่องร้องเรียน!E:E,"4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S73" s="152"/>
      <c r="T73" s="154">
        <f t="shared" si="5"/>
        <v>0</v>
      </c>
      <c r="U73" s="129">
        <f t="shared" si="1"/>
        <v>0</v>
      </c>
      <c r="W73" s="129">
        <f t="shared" ref="W73:W140" si="27">SUM(M73-N73)</f>
        <v>0</v>
      </c>
    </row>
    <row r="74" spans="1:23" ht="22.5" customHeight="1">
      <c r="A74" s="148"/>
      <c r="B74" s="171" t="s">
        <v>135</v>
      </c>
      <c r="C74" s="123">
        <f>COUNTIFS(เรื่องร้องเรียน!E:E,"1",เรื่องร้องเรียน!N:N,"ทวีวัฒนา",เรื่องร้องเรียน!AN:AN,"หนองค้างพลู")</f>
        <v>0</v>
      </c>
      <c r="D74" s="117">
        <f>COUNTIFS(เรื่องร้องเรียน!E:E,"1",เรื่องร้องเรียน!N:N,"ทวีวัฒนา",เรื่องร้องเรียน!AN:AN,"หนองค้างพลู",เรื่องร้องเรียน!CL:CL,"1")</f>
        <v>0</v>
      </c>
      <c r="E74" s="117">
        <f>COUNTIFS(เรื่องร้องเรียน!E:E,"2",เรื่องร้องเรียน!N:N,"ทวีวัฒนา",เรื่องร้องเรียน!AN:AN,"หนองค้างพลู")</f>
        <v>0</v>
      </c>
      <c r="F74" s="117">
        <f>COUNTIFS(เรื่องร้องเรียน!E:E,"2",เรื่องร้องเรียน!N:N,"ทวีวัฒนา",เรื่องร้องเรียน!AN:AN,"หนองค้างพลู",เรื่องร้องเรียน!CL:CL,"1")</f>
        <v>0</v>
      </c>
      <c r="G74" s="117">
        <f>COUNTIFS(เรื่องร้องเรียน!E:E,"3",เรื่องร้องเรียน!N:N,"ทวีวัฒนา",เรื่องร้องเรียน!AN:AN,"หนองค้างพลู")</f>
        <v>0</v>
      </c>
      <c r="H74" s="117">
        <f>COUNTIFS(เรื่องร้องเรียน!E:E,"3",เรื่องร้องเรียน!N:N,"ทวีวัฒนา",เรื่องร้องเรียน!AN:AN,"หนองค้างพลู",เรื่องร้องเรียน!CL:CL,"1")</f>
        <v>0</v>
      </c>
      <c r="I74" s="117">
        <f>COUNTIFS(เรื่องร้องเรียน!E:E,"4",เรื่องร้องเรียน!N:N,"ทวีวัฒนา",เรื่องร้องเรียน!AN:AN,"หนองค้างพลู")</f>
        <v>0</v>
      </c>
      <c r="J74" s="152">
        <f>COUNTIFS(เรื่องร้องเรียน!E:E,"4",เรื่องร้องเรียน!N:N,"ทวีวัฒนา",เรื่องร้องเรียน!AN:AN,"หนองค้างพลู",เรื่องร้องเรียน!CL:CL,"1")</f>
        <v>0</v>
      </c>
      <c r="K74" s="152"/>
      <c r="L74" s="152"/>
      <c r="M74" s="117">
        <f>SUM(C74,E74,G74,I74,K74)</f>
        <v>0</v>
      </c>
      <c r="N74" s="122">
        <f>SUM(D74,F74,H74,J74,L74)</f>
        <v>0</v>
      </c>
      <c r="O74" s="153">
        <f>COUNTIFS(เรื่องร้องเรียน!E:E,"1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P74" s="152">
        <f>COUNTIFS(เรื่องร้องเรียน!E:E,"2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Q74" s="152">
        <f>COUNTIFS(เรื่องร้องเรียน!E:E,"3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R74" s="152">
        <f>COUNTIFS(เรื่องร้องเรียน!E:E,"4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S74" s="152"/>
      <c r="T74" s="154">
        <f>SUM(O74:S74)</f>
        <v>0</v>
      </c>
      <c r="U74" s="129">
        <f>M74-N74-T74</f>
        <v>0</v>
      </c>
      <c r="W74" s="129">
        <f t="shared" si="27"/>
        <v>0</v>
      </c>
    </row>
    <row r="75" spans="1:23" ht="22.5" customHeight="1" thickBot="1">
      <c r="A75" s="174"/>
      <c r="B75" s="172" t="s">
        <v>190</v>
      </c>
      <c r="C75" s="123">
        <f>COUNTIFS(เรื่องร้องเรียน!E:E,"1",เรื่องร้องเรียน!N:N,"ทวีวัฒนา",เรื่องร้องเรียน!AN:AN,"บางเสาธง")</f>
        <v>0</v>
      </c>
      <c r="D75" s="117">
        <f>COUNTIFS(เรื่องร้องเรียน!E:E,"1",เรื่องร้องเรียน!N:N,"ทวีวัฒนา",เรื่องร้องเรียน!AN:AN,"บางเสาธง",เรื่องร้องเรียน!CL:CL,"1")</f>
        <v>0</v>
      </c>
      <c r="E75" s="117">
        <f>COUNTIFS(เรื่องร้องเรียน!E:E,"2",เรื่องร้องเรียน!N:N,"ทวีวัฒนา",เรื่องร้องเรียน!AN:AN,"บางเสาธง")</f>
        <v>0</v>
      </c>
      <c r="F75" s="117">
        <f>COUNTIFS(เรื่องร้องเรียน!E:E,"2",เรื่องร้องเรียน!N:N,"ทวีวัฒนา",เรื่องร้องเรียน!AN:AN,"บางเสาธง",เรื่องร้องเรียน!CL:CL,"1")</f>
        <v>0</v>
      </c>
      <c r="G75" s="117">
        <f>COUNTIFS(เรื่องร้องเรียน!E:E,"3",เรื่องร้องเรียน!N:N,"ทวีวัฒนา",เรื่องร้องเรียน!AN:AN,"บางเสาธง")</f>
        <v>0</v>
      </c>
      <c r="H75" s="117">
        <f>COUNTIFS(เรื่องร้องเรียน!E:E,"3",เรื่องร้องเรียน!N:N,"ทวีวัฒนา",เรื่องร้องเรียน!AN:AN,"บางเสาธง",เรื่องร้องเรียน!CL:CL,"1")</f>
        <v>0</v>
      </c>
      <c r="I75" s="117">
        <f>COUNTIFS(เรื่องร้องเรียน!E:E,"4",เรื่องร้องเรียน!N:N,"ทวีวัฒนา",เรื่องร้องเรียน!AN:AN,"บางเสาธง")</f>
        <v>0</v>
      </c>
      <c r="J75" s="152">
        <f>COUNTIFS(เรื่องร้องเรียน!E:E,"4",เรื่องร้องเรียน!N:N,"ทวีวัฒนา",เรื่องร้องเรียน!AN:AN,"บางเสาธง",เรื่องร้องเรียน!CL:CL,"1")</f>
        <v>0</v>
      </c>
      <c r="K75" s="152"/>
      <c r="L75" s="152"/>
      <c r="M75" s="117">
        <f>SUM(C75,E75,G75,I75,K75)</f>
        <v>0</v>
      </c>
      <c r="N75" s="122">
        <f>SUM(D75,F75,H75,J75,L75)</f>
        <v>0</v>
      </c>
      <c r="O75" s="153">
        <f>COUNTIFS(เรื่องร้องเรียน!E:E,"1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P75" s="152">
        <f>COUNTIFS(เรื่องร้องเรียน!E:E,"2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Q75" s="152">
        <f>COUNTIFS(เรื่องร้องเรียน!E:E,"3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R75" s="152">
        <f>COUNTIFS(เรื่องร้องเรียน!E:E,"4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S75" s="152"/>
      <c r="T75" s="154">
        <f>SUM(O75:S75)</f>
        <v>0</v>
      </c>
      <c r="U75" s="129">
        <f>M75-N75-T75</f>
        <v>0</v>
      </c>
      <c r="W75" s="129">
        <f t="shared" si="27"/>
        <v>0</v>
      </c>
    </row>
    <row r="76" spans="1:23" ht="21.6" thickBot="1">
      <c r="A76" s="130" t="s">
        <v>194</v>
      </c>
      <c r="B76" s="162" t="s">
        <v>152</v>
      </c>
      <c r="C76" s="132">
        <f>SUM(C77:C80)</f>
        <v>0</v>
      </c>
      <c r="D76" s="131">
        <f t="shared" ref="D76:N76" si="28">SUM(D77:D80)</f>
        <v>0</v>
      </c>
      <c r="E76" s="131">
        <f t="shared" si="28"/>
        <v>0</v>
      </c>
      <c r="F76" s="131">
        <f t="shared" si="28"/>
        <v>0</v>
      </c>
      <c r="G76" s="131">
        <f t="shared" si="28"/>
        <v>0</v>
      </c>
      <c r="H76" s="131">
        <f t="shared" si="28"/>
        <v>0</v>
      </c>
      <c r="I76" s="131">
        <f t="shared" si="28"/>
        <v>0</v>
      </c>
      <c r="J76" s="131">
        <f t="shared" si="28"/>
        <v>0</v>
      </c>
      <c r="K76" s="131">
        <f t="shared" si="28"/>
        <v>0</v>
      </c>
      <c r="L76" s="131">
        <f t="shared" si="28"/>
        <v>0</v>
      </c>
      <c r="M76" s="131">
        <f t="shared" si="28"/>
        <v>0</v>
      </c>
      <c r="N76" s="163">
        <f t="shared" si="28"/>
        <v>0</v>
      </c>
      <c r="O76" s="132">
        <f t="shared" ref="O76:T76" si="29">SUM(O77:O80 )</f>
        <v>0</v>
      </c>
      <c r="P76" s="132">
        <f t="shared" si="29"/>
        <v>0</v>
      </c>
      <c r="Q76" s="132">
        <f t="shared" si="29"/>
        <v>0</v>
      </c>
      <c r="R76" s="132">
        <f t="shared" si="29"/>
        <v>0</v>
      </c>
      <c r="S76" s="132">
        <f t="shared" si="29"/>
        <v>0</v>
      </c>
      <c r="T76" s="133">
        <f t="shared" si="29"/>
        <v>0</v>
      </c>
      <c r="U76" s="134">
        <f t="shared" si="1"/>
        <v>0</v>
      </c>
      <c r="W76" s="135">
        <f t="shared" si="27"/>
        <v>0</v>
      </c>
    </row>
    <row r="77" spans="1:23">
      <c r="A77" s="173"/>
      <c r="B77" s="170" t="s">
        <v>20</v>
      </c>
      <c r="C77" s="140"/>
      <c r="D77" s="138"/>
      <c r="E77" s="138"/>
      <c r="F77" s="138"/>
      <c r="G77" s="138"/>
      <c r="H77" s="138"/>
      <c r="I77" s="138"/>
      <c r="J77" s="138"/>
      <c r="K77" s="138">
        <f>COUNTIFS(เรื่องร้องเรียน!E:E,"5",เรื่องร้องเรียน!N:N,"ทุ่งครุ")</f>
        <v>0</v>
      </c>
      <c r="L77" s="138">
        <f>COUNTIFS(เรื่องร้องเรียน!E:E,"5",เรื่องร้องเรียน!N:N,"ทุ่งครุ",เรื่องร้องเรียน!CL:CL,"1")</f>
        <v>0</v>
      </c>
      <c r="M77" s="138">
        <f t="shared" ref="M77:N79" si="30">SUM(C77,E77,G77,I77,K77)</f>
        <v>0</v>
      </c>
      <c r="N77" s="139">
        <f t="shared" si="30"/>
        <v>0</v>
      </c>
      <c r="O77" s="140"/>
      <c r="P77" s="138"/>
      <c r="Q77" s="138"/>
      <c r="R77" s="138"/>
      <c r="S77" s="138">
        <f>COUNTIFS(เรื่องร้องเรียน!E:E,"5",เรื่องร้องเรียน!N:N,"ทุ่งครุ",เรื่องร้องเรียน!AQ:AQ,"1",เรื่องร้องเรียน!CL:CL,"")</f>
        <v>0</v>
      </c>
      <c r="T77" s="141">
        <f t="shared" si="5"/>
        <v>0</v>
      </c>
      <c r="U77" s="129">
        <f t="shared" si="1"/>
        <v>0</v>
      </c>
      <c r="W77" s="129">
        <f t="shared" si="27"/>
        <v>0</v>
      </c>
    </row>
    <row r="78" spans="1:23">
      <c r="A78" s="148"/>
      <c r="B78" s="171" t="s">
        <v>194</v>
      </c>
      <c r="C78" s="246">
        <f>COUNTIFS(เรื่องร้องเรียน!E:E,"1",เรื่องร้องเรียน!N:N,"ทุ่งครุ",เรื่องร้องเรียน!AN:AN,"ทุ่งครุ")</f>
        <v>0</v>
      </c>
      <c r="D78" s="109">
        <f>COUNTIFS(เรื่องร้องเรียน!E:E,"1",เรื่องร้องเรียน!N:N,"ทุ่งครุ",เรื่องร้องเรียน!AN:AN,"ทุ่งครุ",เรื่องร้องเรียน!CL:CL,"1")</f>
        <v>0</v>
      </c>
      <c r="E78" s="109">
        <f>COUNTIFS(เรื่องร้องเรียน!E:E,"2",เรื่องร้องเรียน!N:N,"ทุ่งครุ",เรื่องร้องเรียน!AN:AN,"ทุ่งครุ")</f>
        <v>0</v>
      </c>
      <c r="F78" s="109">
        <f>COUNTIFS(เรื่องร้องเรียน!E:E,"2",เรื่องร้องเรียน!N:N,"ทุ่งครุ",เรื่องร้องเรียน!AN:AN,"ทุ่งครุ",เรื่องร้องเรียน!CL:CL,"1")</f>
        <v>0</v>
      </c>
      <c r="G78" s="109">
        <f>COUNTIFS(เรื่องร้องเรียน!E:E,"3",เรื่องร้องเรียน!N:N,"ทุ่งครุ",เรื่องร้องเรียน!AN:AN,"ทุ่งครุ")</f>
        <v>0</v>
      </c>
      <c r="H78" s="109">
        <f>COUNTIFS(เรื่องร้องเรียน!E:E,"3",เรื่องร้องเรียน!N:N,"ทุ่งครุ",เรื่องร้องเรียน!AN:AN,"ทุ่งครุ",เรื่องร้องเรียน!CL:CL,"1")</f>
        <v>0</v>
      </c>
      <c r="I78" s="109">
        <f>COUNTIFS(เรื่องร้องเรียน!E:E,"4",เรื่องร้องเรียน!N:N,"ทุ่งครุ",เรื่องร้องเรียน!AN:AN,"ทุ่งครุ")</f>
        <v>0</v>
      </c>
      <c r="J78" s="144">
        <f>COUNTIFS(เรื่องร้องเรียน!E:E,"4",เรื่องร้องเรียน!N:N,"ทุ่งครุ",เรื่องร้องเรียน!AN:AN,"ทุ่งครุ",เรื่องร้องเรียน!CL:CL,"1")</f>
        <v>0</v>
      </c>
      <c r="K78" s="144"/>
      <c r="L78" s="144"/>
      <c r="M78" s="109">
        <f t="shared" si="30"/>
        <v>0</v>
      </c>
      <c r="N78" s="145">
        <f t="shared" si="30"/>
        <v>0</v>
      </c>
      <c r="O78" s="146">
        <f>COUNTIFS(เรื่องร้องเรียน!E:E,"1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P78" s="144">
        <f>COUNTIFS(เรื่องร้องเรียน!E:E,"2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Q78" s="144">
        <f>COUNTIFS(เรื่องร้องเรียน!E:E,"3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R78" s="144">
        <f>COUNTIFS(เรื่องร้องเรียน!E:E,"4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S78" s="144"/>
      <c r="T78" s="147">
        <f t="shared" si="5"/>
        <v>0</v>
      </c>
      <c r="U78" s="129">
        <f t="shared" si="1"/>
        <v>0</v>
      </c>
      <c r="V78" s="10" t="s">
        <v>110</v>
      </c>
      <c r="W78" s="129">
        <f t="shared" si="27"/>
        <v>0</v>
      </c>
    </row>
    <row r="79" spans="1:23">
      <c r="A79" s="148"/>
      <c r="B79" s="177" t="s">
        <v>113</v>
      </c>
      <c r="C79" s="123">
        <f>COUNTIFS(เรื่องร้องเรียน!E:E,"1",เรื่องร้องเรียน!N:N,"ทุ่งครุ",เรื่องร้องเรียน!AN:AN,"ราษฎร์บูรณะ")</f>
        <v>0</v>
      </c>
      <c r="D79" s="117">
        <f>COUNTIFS(เรื่องร้องเรียน!E:E,"1",เรื่องร้องเรียน!N:N,"ทุ่งครุ",เรื่องร้องเรียน!AN:AN,"ราษฎร์บูรณะ",เรื่องร้องเรียน!CL:CL,"1")</f>
        <v>0</v>
      </c>
      <c r="E79" s="117">
        <f>COUNTIFS(เรื่องร้องเรียน!E:E,"2",เรื่องร้องเรียน!N:N,"ทุ่งครุ",เรื่องร้องเรียน!AN:AN,"ราษฎร์บูรณะ")</f>
        <v>0</v>
      </c>
      <c r="F79" s="117">
        <f>COUNTIFS(เรื่องร้องเรียน!E:E,"2",เรื่องร้องเรียน!N:N,"ทุ่งครุ",เรื่องร้องเรียน!AN:AN,"ราษฎร์บูรณะ",เรื่องร้องเรียน!CL:CL,"1")</f>
        <v>0</v>
      </c>
      <c r="G79" s="117">
        <f>COUNTIFS(เรื่องร้องเรียน!E:E,"3",เรื่องร้องเรียน!N:N,"ทุ่งครุ",เรื่องร้องเรียน!AN:AN,"ราษฎร์บูรณะ")</f>
        <v>0</v>
      </c>
      <c r="H79" s="117">
        <f>COUNTIFS(เรื่องร้องเรียน!E:E,"3",เรื่องร้องเรียน!N:N,"ทุ่งครุ",เรื่องร้องเรียน!AN:AN,"ราษฎร์บูรณะ",เรื่องร้องเรียน!CL:CL,"1")</f>
        <v>0</v>
      </c>
      <c r="I79" s="117">
        <f>COUNTIFS(เรื่องร้องเรียน!E:E,"4",เรื่องร้องเรียน!N:N,"ทุ่งครุ",เรื่องร้องเรียน!AN:AN,"ราษฎร์บูรณะ")</f>
        <v>0</v>
      </c>
      <c r="J79" s="152">
        <f>COUNTIFS(เรื่องร้องเรียน!E:E,"4",เรื่องร้องเรียน!N:N,"ทุ่งครุ",เรื่องร้องเรียน!AN:AN,"ราษฎร์บูรณะ",เรื่องร้องเรียน!CL:CL,"1")</f>
        <v>0</v>
      </c>
      <c r="K79" s="152"/>
      <c r="L79" s="152"/>
      <c r="M79" s="117">
        <f t="shared" si="30"/>
        <v>0</v>
      </c>
      <c r="N79" s="122">
        <f t="shared" si="30"/>
        <v>0</v>
      </c>
      <c r="O79" s="153">
        <f>COUNTIFS(เรื่องร้องเรียน!E:E,"1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P79" s="152">
        <f>COUNTIFS(เรื่องร้องเรียน!E:E,"2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Q79" s="152">
        <f>COUNTIFS(เรื่องร้องเรียน!E:E,"3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R79" s="152">
        <f>COUNTIFS(เรื่องร้องเรียน!E:E,"4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S79" s="152"/>
      <c r="T79" s="154">
        <f t="shared" si="5"/>
        <v>0</v>
      </c>
      <c r="U79" s="129">
        <f t="shared" ref="U79:U160" si="31">M79-N79-T79</f>
        <v>0</v>
      </c>
      <c r="W79" s="129">
        <f t="shared" si="27"/>
        <v>0</v>
      </c>
    </row>
    <row r="80" spans="1:23" ht="21.6" thickBot="1">
      <c r="A80" s="174"/>
      <c r="B80" s="172" t="s">
        <v>110</v>
      </c>
      <c r="C80" s="123">
        <f>COUNTIFS(เรื่องร้องเรียน!E:E,"1",เรื่องร้องเรียน!N:N,"ทุ่งครุ",เรื่องร้องเรียน!AN:AN,"บางมด")</f>
        <v>0</v>
      </c>
      <c r="D80" s="117">
        <f>COUNTIFS(เรื่องร้องเรียน!E:E,"1",เรื่องร้องเรียน!N:N,"ทุ่งครุ",เรื่องร้องเรียน!AN:AN,"บางมด",เรื่องร้องเรียน!CL:CL,"1")</f>
        <v>0</v>
      </c>
      <c r="E80" s="117">
        <f>COUNTIFS(เรื่องร้องเรียน!E:E,"2",เรื่องร้องเรียน!N:N,"ทุ่งครุ",เรื่องร้องเรียน!AN:AN,"บางมด")</f>
        <v>0</v>
      </c>
      <c r="F80" s="117">
        <f>COUNTIFS(เรื่องร้องเรียน!E:E,"2",เรื่องร้องเรียน!N:N,"ทุ่งครุ",เรื่องร้องเรียน!AN:AN,"บางมด",เรื่องร้องเรียน!CL:CL,"1")</f>
        <v>0</v>
      </c>
      <c r="G80" s="117">
        <f>COUNTIFS(เรื่องร้องเรียน!E:E,"3",เรื่องร้องเรียน!N:N,"ทุ่งครุ",เรื่องร้องเรียน!AN:AN,"บางมด")</f>
        <v>0</v>
      </c>
      <c r="H80" s="117">
        <f>COUNTIFS(เรื่องร้องเรียน!E:E,"3",เรื่องร้องเรียน!N:N,"ทุ่งครุ",เรื่องร้องเรียน!AN:AN,"บางมด",เรื่องร้องเรียน!CL:CL,"1")</f>
        <v>0</v>
      </c>
      <c r="I80" s="117">
        <f>COUNTIFS(เรื่องร้องเรียน!E:E,"4",เรื่องร้องเรียน!N:N,"ทุ่งครุ",เรื่องร้องเรียน!AN:AN,"บางมด")</f>
        <v>0</v>
      </c>
      <c r="J80" s="152">
        <f>COUNTIFS(เรื่องร้องเรียน!E:E,"4",เรื่องร้องเรียน!N:N,"ทุ่งครุ",เรื่องร้องเรียน!AN:AN,"บางมด",เรื่องร้องเรียน!CL:CL,"1")</f>
        <v>0</v>
      </c>
      <c r="K80" s="152"/>
      <c r="L80" s="152"/>
      <c r="M80" s="117">
        <f>SUM(C80,E80,G80,I80,K80)</f>
        <v>0</v>
      </c>
      <c r="N80" s="122">
        <f>SUM(D80,F80,H80,J80,L80)</f>
        <v>0</v>
      </c>
      <c r="O80" s="153">
        <f>COUNTIFS(เรื่องร้องเรียน!E:E,"1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P80" s="152">
        <f>COUNTIFS(เรื่องร้องเรียน!E:E,"2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Q80" s="152">
        <f>COUNTIFS(เรื่องร้องเรียน!E:E,"3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R80" s="152">
        <f>COUNTIFS(เรื่องร้องเรียน!E:E,"4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S80" s="152"/>
      <c r="T80" s="154">
        <f>SUM(O80:S80)</f>
        <v>0</v>
      </c>
      <c r="U80" s="129">
        <f>M80-N80-T80</f>
        <v>0</v>
      </c>
      <c r="W80" s="129">
        <f t="shared" si="27"/>
        <v>0</v>
      </c>
    </row>
    <row r="81" spans="1:25" ht="21.6" thickBot="1">
      <c r="A81" s="130" t="s">
        <v>122</v>
      </c>
      <c r="B81" s="169" t="s">
        <v>152</v>
      </c>
      <c r="C81" s="132">
        <f>SUM(C82:C87 )</f>
        <v>0</v>
      </c>
      <c r="D81" s="131">
        <f t="shared" ref="D81:T81" si="32">SUM(D82:D87 )</f>
        <v>0</v>
      </c>
      <c r="E81" s="131">
        <f t="shared" si="32"/>
        <v>0</v>
      </c>
      <c r="F81" s="131">
        <f t="shared" si="32"/>
        <v>0</v>
      </c>
      <c r="G81" s="131">
        <f t="shared" si="32"/>
        <v>0</v>
      </c>
      <c r="H81" s="131">
        <f t="shared" si="32"/>
        <v>0</v>
      </c>
      <c r="I81" s="131">
        <f t="shared" si="32"/>
        <v>0</v>
      </c>
      <c r="J81" s="131">
        <f t="shared" si="32"/>
        <v>0</v>
      </c>
      <c r="K81" s="131">
        <f t="shared" si="32"/>
        <v>0</v>
      </c>
      <c r="L81" s="131">
        <f t="shared" si="32"/>
        <v>0</v>
      </c>
      <c r="M81" s="131">
        <f t="shared" si="32"/>
        <v>0</v>
      </c>
      <c r="N81" s="163">
        <f t="shared" si="32"/>
        <v>0</v>
      </c>
      <c r="O81" s="132">
        <f t="shared" si="32"/>
        <v>0</v>
      </c>
      <c r="P81" s="131">
        <f t="shared" si="32"/>
        <v>0</v>
      </c>
      <c r="Q81" s="131">
        <f t="shared" si="32"/>
        <v>0</v>
      </c>
      <c r="R81" s="131">
        <f t="shared" si="32"/>
        <v>0</v>
      </c>
      <c r="S81" s="131">
        <f t="shared" si="32"/>
        <v>0</v>
      </c>
      <c r="T81" s="133">
        <f t="shared" si="32"/>
        <v>0</v>
      </c>
      <c r="U81" s="134">
        <f t="shared" si="31"/>
        <v>0</v>
      </c>
      <c r="W81" s="135">
        <f t="shared" si="27"/>
        <v>0</v>
      </c>
    </row>
    <row r="82" spans="1:25">
      <c r="A82" s="165"/>
      <c r="B82" s="170" t="s">
        <v>20</v>
      </c>
      <c r="C82" s="140"/>
      <c r="D82" s="138"/>
      <c r="E82" s="138"/>
      <c r="F82" s="138"/>
      <c r="G82" s="138"/>
      <c r="H82" s="138"/>
      <c r="I82" s="138"/>
      <c r="J82" s="138"/>
      <c r="K82" s="138">
        <f>COUNTIFS(เรื่องร้องเรียน!E:E,"5",เรื่องร้องเรียน!N:N,"ธนบุรี")</f>
        <v>0</v>
      </c>
      <c r="L82" s="138">
        <f>COUNTIFS(เรื่องร้องเรียน!E:E,"5",เรื่องร้องเรียน!N:N,"ธนบุรี",เรื่องร้องเรียน!CL:CL,"1")</f>
        <v>0</v>
      </c>
      <c r="M82" s="138">
        <f t="shared" ref="M82:N87" si="33">SUM(C82,E82,G82,I82,K82)</f>
        <v>0</v>
      </c>
      <c r="N82" s="139">
        <f t="shared" si="33"/>
        <v>0</v>
      </c>
      <c r="O82" s="140"/>
      <c r="P82" s="138"/>
      <c r="Q82" s="138"/>
      <c r="R82" s="138"/>
      <c r="S82" s="138">
        <f>COUNTIFS(เรื่องร้องเรียน!E:E,"5",เรื่องร้องเรียน!N:N,"ธนบุรี",เรื่องร้องเรียน!AQ:AQ,"1",เรื่องร้องเรียน!CL:CL,"")</f>
        <v>0</v>
      </c>
      <c r="T82" s="141">
        <f t="shared" si="5"/>
        <v>0</v>
      </c>
      <c r="U82" s="129">
        <f t="shared" si="31"/>
        <v>0</v>
      </c>
      <c r="W82" s="129">
        <f t="shared" si="27"/>
        <v>0</v>
      </c>
    </row>
    <row r="83" spans="1:25">
      <c r="A83" s="148"/>
      <c r="B83" s="171" t="s">
        <v>193</v>
      </c>
      <c r="C83" s="246">
        <f>COUNTIFS(เรื่องร้องเรียน!E:E,"1",เรื่องร้องเรียน!N:N,"ธนบุรี",เรื่องร้องเรียน!AN:AN,"ตลาดพลู")</f>
        <v>0</v>
      </c>
      <c r="D83" s="109">
        <f>COUNTIFS(เรื่องร้องเรียน!E:E,"1",เรื่องร้องเรียน!N:N,"ธนบุรี",เรื่องร้องเรียน!AN:AN,"ตลาดพลู",เรื่องร้องเรียน!CL:CL,"1")</f>
        <v>0</v>
      </c>
      <c r="E83" s="109">
        <f>COUNTIFS(เรื่องร้องเรียน!E:E,"2",เรื่องร้องเรียน!N:N,"ธนบุรี",เรื่องร้องเรียน!AN:AN,"ตลาดพลู")</f>
        <v>0</v>
      </c>
      <c r="F83" s="109">
        <f>COUNTIFS(เรื่องร้องเรียน!E:E,"2",เรื่องร้องเรียน!N:N,"ธนบุรี",เรื่องร้องเรียน!AN:AN,"ตลาดพลู",เรื่องร้องเรียน!CL:CL,"1")</f>
        <v>0</v>
      </c>
      <c r="G83" s="109">
        <f>COUNTIFS(เรื่องร้องเรียน!E:E,"3",เรื่องร้องเรียน!N:N,"ธนบุรี",เรื่องร้องเรียน!AN:AN,"ตลาดพลู")</f>
        <v>0</v>
      </c>
      <c r="H83" s="109">
        <f>COUNTIFS(เรื่องร้องเรียน!E:E,"3",เรื่องร้องเรียน!N:N,"ธนบุรี",เรื่องร้องเรียน!AN:AN,"ตลาดพลู",เรื่องร้องเรียน!CL:CL,"1")</f>
        <v>0</v>
      </c>
      <c r="I83" s="109">
        <f>COUNTIFS(เรื่องร้องเรียน!E:E,"4",เรื่องร้องเรียน!N:N,"ธนบุรี",เรื่องร้องเรียน!AN:AN,"ตลาดพลู")</f>
        <v>0</v>
      </c>
      <c r="J83" s="144">
        <f>COUNTIFS(เรื่องร้องเรียน!E:E,"4",เรื่องร้องเรียน!N:N,"ธนบุรี",เรื่องร้องเรียน!AN:AN,"ตลาดพลู",เรื่องร้องเรียน!CL:CL,"1")</f>
        <v>0</v>
      </c>
      <c r="K83" s="144"/>
      <c r="L83" s="144"/>
      <c r="M83" s="109">
        <f t="shared" si="33"/>
        <v>0</v>
      </c>
      <c r="N83" s="145">
        <f t="shared" si="33"/>
        <v>0</v>
      </c>
      <c r="O83" s="146">
        <f>COUNTIFS(เรื่องร้องเรียน!E:E,"1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P83" s="144">
        <f>COUNTIFS(เรื่องร้องเรียน!E:E,"2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Q83" s="144">
        <f>COUNTIFS(เรื่องร้องเรียน!E:E,"3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R83" s="144">
        <f>COUNTIFS(เรื่องร้องเรียน!E:E,"4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S83" s="144"/>
      <c r="T83" s="147">
        <f t="shared" si="5"/>
        <v>0</v>
      </c>
      <c r="U83" s="129">
        <f t="shared" si="31"/>
        <v>0</v>
      </c>
      <c r="W83" s="129">
        <f t="shared" si="27"/>
        <v>0</v>
      </c>
    </row>
    <row r="84" spans="1:25">
      <c r="A84" s="148"/>
      <c r="B84" s="171" t="s">
        <v>195</v>
      </c>
      <c r="C84" s="246">
        <f>COUNTIFS(เรื่องร้องเรียน!E:E,"1",เรื่องร้องเรียน!N:N,"ธนบุรี",เรื่องร้องเรียน!AN:AN,"บางยี่เรือ")</f>
        <v>0</v>
      </c>
      <c r="D84" s="109">
        <f>COUNTIFS(เรื่องร้องเรียน!E:E,"1",เรื่องร้องเรียน!N:N,"ธนบุรี",เรื่องร้องเรียน!AN:AN,"บางยี่เรือ",เรื่องร้องเรียน!CL:CL,"1")</f>
        <v>0</v>
      </c>
      <c r="E84" s="109">
        <f>COUNTIFS(เรื่องร้องเรียน!E:E,"2",เรื่องร้องเรียน!N:N,"ธนบุรี",เรื่องร้องเรียน!AN:AN,"บางยี่เรือ")</f>
        <v>0</v>
      </c>
      <c r="F84" s="109">
        <f>COUNTIFS(เรื่องร้องเรียน!E:E,"2",เรื่องร้องเรียน!N:N,"ธนบุรี",เรื่องร้องเรียน!AN:AN,"บางยี่เรือ",เรื่องร้องเรียน!CL:CL,"1")</f>
        <v>0</v>
      </c>
      <c r="G84" s="109">
        <f>COUNTIFS(เรื่องร้องเรียน!E:E,"3",เรื่องร้องเรียน!N:N,"ธนบุรี",เรื่องร้องเรียน!AN:AN,"บางยี่เรือ")</f>
        <v>0</v>
      </c>
      <c r="H84" s="109">
        <f>COUNTIFS(เรื่องร้องเรียน!E:E,"3",เรื่องร้องเรียน!N:N,"ธนบุรี",เรื่องร้องเรียน!AN:AN,"บางยี่เรือ",เรื่องร้องเรียน!CL:CL,"1")</f>
        <v>0</v>
      </c>
      <c r="I84" s="109">
        <f>COUNTIFS(เรื่องร้องเรียน!E:E,"4",เรื่องร้องเรียน!N:N,"ธนบุรี",เรื่องร้องเรียน!AN:AN,"บางยี่เรือ")</f>
        <v>0</v>
      </c>
      <c r="J84" s="144">
        <f>COUNTIFS(เรื่องร้องเรียน!E:E,"4",เรื่องร้องเรียน!N:N,"ธนบุรี",เรื่องร้องเรียน!AN:AN,"บางยี่เรือ",เรื่องร้องเรียน!CL:CL,"1")</f>
        <v>0</v>
      </c>
      <c r="K84" s="144"/>
      <c r="L84" s="144"/>
      <c r="M84" s="109">
        <f t="shared" si="33"/>
        <v>0</v>
      </c>
      <c r="N84" s="145">
        <f t="shared" si="33"/>
        <v>0</v>
      </c>
      <c r="O84" s="146">
        <f>COUNTIFS(เรื่องร้องเรียน!E:E,"1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P84" s="144">
        <f>COUNTIFS(เรื่องร้องเรียน!E:E,"2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Q84" s="144">
        <f>COUNTIFS(เรื่องร้องเรียน!E:E,"3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R84" s="144">
        <f>COUNTIFS(เรื่องร้องเรียน!E:E,"4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S84" s="144"/>
      <c r="T84" s="147">
        <f t="shared" ref="T84:T165" si="34">SUM(O84:S84)</f>
        <v>0</v>
      </c>
      <c r="U84" s="129">
        <f t="shared" si="31"/>
        <v>0</v>
      </c>
      <c r="W84" s="129">
        <f t="shared" si="27"/>
        <v>0</v>
      </c>
    </row>
    <row r="85" spans="1:25">
      <c r="A85" s="148"/>
      <c r="B85" s="171" t="s">
        <v>196</v>
      </c>
      <c r="C85" s="246">
        <f>COUNTIFS(เรื่องร้องเรียน!E:E,"1",เรื่องร้องเรียน!N:N,"ธนบุรี",เรื่องร้องเรียน!AN:AN,"บุคคโล")</f>
        <v>0</v>
      </c>
      <c r="D85" s="109">
        <f>COUNTIFS(เรื่องร้องเรียน!E:E,"1",เรื่องร้องเรียน!N:N,"ธนบุรี",เรื่องร้องเรียน!AN:AN,"บุคคโล",เรื่องร้องเรียน!CL:CL,"1")</f>
        <v>0</v>
      </c>
      <c r="E85" s="109">
        <f>COUNTIFS(เรื่องร้องเรียน!E:E,"2",เรื่องร้องเรียน!N:N,"ธนบุรี",เรื่องร้องเรียน!AN:AN,"บุคคโล")</f>
        <v>0</v>
      </c>
      <c r="F85" s="109">
        <f>COUNTIFS(เรื่องร้องเรียน!E:E,"2",เรื่องร้องเรียน!N:N,"ธนบุรี",เรื่องร้องเรียน!AN:AN,"บุคคโล",เรื่องร้องเรียน!CL:CL,"1")</f>
        <v>0</v>
      </c>
      <c r="G85" s="109">
        <f>COUNTIFS(เรื่องร้องเรียน!E:E,"3",เรื่องร้องเรียน!N:N,"ธนบุรี",เรื่องร้องเรียน!AN:AN,"บุคคโล")</f>
        <v>0</v>
      </c>
      <c r="H85" s="109">
        <f>COUNTIFS(เรื่องร้องเรียน!E:E,"3",เรื่องร้องเรียน!N:N,"ธนบุรี",เรื่องร้องเรียน!AN:AN,"บุคคโล",เรื่องร้องเรียน!CL:CL,"1")</f>
        <v>0</v>
      </c>
      <c r="I85" s="109">
        <f>COUNTIFS(เรื่องร้องเรียน!E:E,"4",เรื่องร้องเรียน!N:N,"ธนบุรี",เรื่องร้องเรียน!AN:AN,"บุคคโล")</f>
        <v>0</v>
      </c>
      <c r="J85" s="144">
        <f>COUNTIFS(เรื่องร้องเรียน!E:E,"4",เรื่องร้องเรียน!N:N,"ธนบุรี",เรื่องร้องเรียน!AN:AN,"บุคคโล",เรื่องร้องเรียน!CL:CL,"1")</f>
        <v>0</v>
      </c>
      <c r="K85" s="144"/>
      <c r="L85" s="144"/>
      <c r="M85" s="109">
        <f t="shared" si="33"/>
        <v>0</v>
      </c>
      <c r="N85" s="145">
        <f t="shared" si="33"/>
        <v>0</v>
      </c>
      <c r="O85" s="146">
        <f>COUNTIFS(เรื่องร้องเรียน!E:E,"1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P85" s="144">
        <f>COUNTIFS(เรื่องร้องเรียน!E:E,"2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Q85" s="144">
        <f>COUNTIFS(เรื่องร้องเรียน!E:E,"3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R85" s="144">
        <f>COUNTIFS(เรื่องร้องเรียน!E:E,"4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S85" s="144"/>
      <c r="T85" s="147">
        <f t="shared" si="34"/>
        <v>0</v>
      </c>
      <c r="U85" s="129">
        <f t="shared" si="31"/>
        <v>0</v>
      </c>
      <c r="W85" s="129">
        <f t="shared" si="27"/>
        <v>0</v>
      </c>
    </row>
    <row r="86" spans="1:25">
      <c r="A86" s="148"/>
      <c r="B86" s="171" t="s">
        <v>123</v>
      </c>
      <c r="C86" s="246">
        <f>COUNTIFS(เรื่องร้องเรียน!E:E,"1",เรื่องร้องเรียน!N:N,"ธนบุรี",เรื่องร้องเรียน!AN:AN,"บุปผาราม")</f>
        <v>0</v>
      </c>
      <c r="D86" s="109">
        <f>COUNTIFS(เรื่องร้องเรียน!E:E,"1",เรื่องร้องเรียน!N:N,"ธนบุรี",เรื่องร้องเรียน!AN:AN,"บุปผาราม",เรื่องร้องเรียน!CL:CL,"1")</f>
        <v>0</v>
      </c>
      <c r="E86" s="109">
        <f>COUNTIFS(เรื่องร้องเรียน!E:E,"2",เรื่องร้องเรียน!N:N,"ธนบุรี",เรื่องร้องเรียน!AN:AN,"บุปผาราม")</f>
        <v>0</v>
      </c>
      <c r="F86" s="109">
        <f>COUNTIFS(เรื่องร้องเรียน!E:E,"2",เรื่องร้องเรียน!N:N,"ธนบุรี",เรื่องร้องเรียน!AN:AN,"บุปผาราม",เรื่องร้องเรียน!CL:CL,"1")</f>
        <v>0</v>
      </c>
      <c r="G86" s="109">
        <f>COUNTIFS(เรื่องร้องเรียน!E:E,"3",เรื่องร้องเรียน!N:N,"ธนบุรี",เรื่องร้องเรียน!AN:AN,"บุปผาราม")</f>
        <v>0</v>
      </c>
      <c r="H86" s="109">
        <f>COUNTIFS(เรื่องร้องเรียน!E:E,"3",เรื่องร้องเรียน!N:N,"ธนบุรี",เรื่องร้องเรียน!AN:AN,"บุปผาราม",เรื่องร้องเรียน!CL:CL,"1")</f>
        <v>0</v>
      </c>
      <c r="I86" s="109">
        <f>COUNTIFS(เรื่องร้องเรียน!E:E,"4",เรื่องร้องเรียน!N:N,"ธนบุรี",เรื่องร้องเรียน!AN:AN,"บุปผาราม")</f>
        <v>0</v>
      </c>
      <c r="J86" s="144">
        <f>COUNTIFS(เรื่องร้องเรียน!E:E,"4",เรื่องร้องเรียน!N:N,"ธนบุรี",เรื่องร้องเรียน!AN:AN,"บุปผาราม",เรื่องร้องเรียน!CL:CL,"1")</f>
        <v>0</v>
      </c>
      <c r="K86" s="144"/>
      <c r="L86" s="144"/>
      <c r="M86" s="109">
        <f t="shared" si="33"/>
        <v>0</v>
      </c>
      <c r="N86" s="145">
        <f t="shared" si="33"/>
        <v>0</v>
      </c>
      <c r="O86" s="146">
        <f>COUNTIFS(เรื่องร้องเรียน!E:E,"1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P86" s="144">
        <f>COUNTIFS(เรื่องร้องเรียน!E:E,"2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Q86" s="144">
        <f>COUNTIFS(เรื่องร้องเรียน!E:E,"3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R86" s="144">
        <f>COUNTIFS(เรื่องร้องเรียน!E:E,"4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S86" s="144"/>
      <c r="T86" s="147">
        <f t="shared" si="34"/>
        <v>0</v>
      </c>
      <c r="U86" s="129">
        <f t="shared" si="31"/>
        <v>0</v>
      </c>
      <c r="W86" s="129">
        <f t="shared" si="27"/>
        <v>0</v>
      </c>
    </row>
    <row r="87" spans="1:25" ht="21.6" thickBot="1">
      <c r="A87" s="150"/>
      <c r="B87" s="172" t="s">
        <v>197</v>
      </c>
      <c r="C87" s="123">
        <f>COUNTIFS(เรื่องร้องเรียน!E:E,"1",เรื่องร้องเรียน!N:N,"ธนบุรี",เรื่องร้องเรียน!AN:AN,"สำเหร่")</f>
        <v>0</v>
      </c>
      <c r="D87" s="117">
        <f>COUNTIFS(เรื่องร้องเรียน!E:E,"1",เรื่องร้องเรียน!N:N,"ธนบุรี",เรื่องร้องเรียน!AN:AN,"สำเหร่",เรื่องร้องเรียน!CL:CL,"1")</f>
        <v>0</v>
      </c>
      <c r="E87" s="117">
        <f>COUNTIFS(เรื่องร้องเรียน!E:E,"2",เรื่องร้องเรียน!N:N,"ธนบุรี",เรื่องร้องเรียน!AN:AN,"สำเหร่")</f>
        <v>0</v>
      </c>
      <c r="F87" s="117">
        <f>COUNTIFS(เรื่องร้องเรียน!E:E,"2",เรื่องร้องเรียน!N:N,"ธนบุรี",เรื่องร้องเรียน!AN:AN,"สำเหร่",เรื่องร้องเรียน!CL:CL,"1")</f>
        <v>0</v>
      </c>
      <c r="G87" s="117">
        <f>COUNTIFS(เรื่องร้องเรียน!E:E,"3",เรื่องร้องเรียน!N:N,"ธนบุรี",เรื่องร้องเรียน!AN:AN,"สำเหร่")</f>
        <v>0</v>
      </c>
      <c r="H87" s="117">
        <f>COUNTIFS(เรื่องร้องเรียน!E:E,"3",เรื่องร้องเรียน!N:N,"ธนบุรี",เรื่องร้องเรียน!AN:AN,"สำเหร่",เรื่องร้องเรียน!CL:CL,"1")</f>
        <v>0</v>
      </c>
      <c r="I87" s="117">
        <f>COUNTIFS(เรื่องร้องเรียน!E:E,"4",เรื่องร้องเรียน!N:N,"ธนบุรี",เรื่องร้องเรียน!AN:AN,"สำเหร่")</f>
        <v>0</v>
      </c>
      <c r="J87" s="152">
        <f>COUNTIFS(เรื่องร้องเรียน!E:E,"4",เรื่องร้องเรียน!N:N,"ธนบุรี",เรื่องร้องเรียน!AN:AN,"สำเหร่",เรื่องร้องเรียน!CL:CL,"1")</f>
        <v>0</v>
      </c>
      <c r="K87" s="152"/>
      <c r="L87" s="152"/>
      <c r="M87" s="117">
        <f t="shared" si="33"/>
        <v>0</v>
      </c>
      <c r="N87" s="122">
        <f t="shared" si="33"/>
        <v>0</v>
      </c>
      <c r="O87" s="153">
        <f>COUNTIFS(เรื่องร้องเรียน!E:E,"1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P87" s="152">
        <f>COUNTIFS(เรื่องร้องเรียน!E:E,"2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Q87" s="152">
        <f>COUNTIFS(เรื่องร้องเรียน!E:E,"3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R87" s="152">
        <f>COUNTIFS(เรื่องร้องเรียน!E:E,"4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S87" s="152"/>
      <c r="T87" s="154">
        <f t="shared" si="34"/>
        <v>0</v>
      </c>
      <c r="U87" s="129">
        <f t="shared" si="31"/>
        <v>0</v>
      </c>
      <c r="W87" s="129">
        <f t="shared" si="27"/>
        <v>0</v>
      </c>
    </row>
    <row r="88" spans="1:25" ht="21.6" thickBot="1">
      <c r="A88" s="130" t="s">
        <v>126</v>
      </c>
      <c r="B88" s="169" t="s">
        <v>152</v>
      </c>
      <c r="C88" s="132">
        <f>SUM(C89:C94 )</f>
        <v>0</v>
      </c>
      <c r="D88" s="131">
        <f t="shared" ref="D88:N88" si="35">SUM(D89:D94 )</f>
        <v>0</v>
      </c>
      <c r="E88" s="131">
        <f t="shared" si="35"/>
        <v>0</v>
      </c>
      <c r="F88" s="131">
        <f t="shared" si="35"/>
        <v>0</v>
      </c>
      <c r="G88" s="131">
        <f t="shared" si="35"/>
        <v>0</v>
      </c>
      <c r="H88" s="131">
        <f t="shared" si="35"/>
        <v>0</v>
      </c>
      <c r="I88" s="131">
        <f t="shared" si="35"/>
        <v>0</v>
      </c>
      <c r="J88" s="131">
        <f t="shared" si="35"/>
        <v>0</v>
      </c>
      <c r="K88" s="131">
        <f t="shared" si="35"/>
        <v>0</v>
      </c>
      <c r="L88" s="131">
        <f t="shared" si="35"/>
        <v>0</v>
      </c>
      <c r="M88" s="131">
        <f t="shared" si="35"/>
        <v>0</v>
      </c>
      <c r="N88" s="163">
        <f t="shared" si="35"/>
        <v>0</v>
      </c>
      <c r="O88" s="132">
        <f t="shared" ref="O88:T88" si="36">SUM(O89:O94)</f>
        <v>0</v>
      </c>
      <c r="P88" s="132">
        <f t="shared" si="36"/>
        <v>0</v>
      </c>
      <c r="Q88" s="132">
        <f t="shared" si="36"/>
        <v>0</v>
      </c>
      <c r="R88" s="132">
        <f t="shared" si="36"/>
        <v>0</v>
      </c>
      <c r="S88" s="132">
        <f t="shared" si="36"/>
        <v>0</v>
      </c>
      <c r="T88" s="133">
        <f t="shared" si="36"/>
        <v>0</v>
      </c>
      <c r="U88" s="134">
        <f t="shared" si="31"/>
        <v>0</v>
      </c>
      <c r="W88" s="135">
        <f t="shared" si="27"/>
        <v>0</v>
      </c>
    </row>
    <row r="89" spans="1:25">
      <c r="A89" s="173"/>
      <c r="B89" s="170" t="s">
        <v>20</v>
      </c>
      <c r="C89" s="140"/>
      <c r="D89" s="138"/>
      <c r="E89" s="138"/>
      <c r="F89" s="138"/>
      <c r="G89" s="138"/>
      <c r="H89" s="138"/>
      <c r="I89" s="138"/>
      <c r="J89" s="138"/>
      <c r="K89" s="138">
        <f>COUNTIFS(เรื่องร้องเรียน!E:E,"5",เรื่องร้องเรียน!N:N,"บางกอกน้อย")</f>
        <v>0</v>
      </c>
      <c r="L89" s="138">
        <f>COUNTIFS(เรื่องร้องเรียน!E:E,"5",เรื่องร้องเรียน!N:N,"บางกอกน้อย",เรื่องร้องเรียน!CL:CL,"1")</f>
        <v>0</v>
      </c>
      <c r="M89" s="138">
        <f t="shared" ref="M89:N92" si="37">SUM(C89,E89,G89,I89,K89)</f>
        <v>0</v>
      </c>
      <c r="N89" s="139">
        <f t="shared" si="37"/>
        <v>0</v>
      </c>
      <c r="O89" s="140"/>
      <c r="P89" s="138"/>
      <c r="Q89" s="138"/>
      <c r="R89" s="138"/>
      <c r="S89" s="138">
        <f>COUNTIFS(เรื่องร้องเรียน!E:E,"5",เรื่องร้องเรียน!N:N,"บางกอกน้อย",เรื่องร้องเรียน!AQ:AQ,"1",เรื่องร้องเรียน!CL:CL,"")</f>
        <v>0</v>
      </c>
      <c r="T89" s="141">
        <f t="shared" si="34"/>
        <v>0</v>
      </c>
      <c r="U89" s="129">
        <f t="shared" si="31"/>
        <v>0</v>
      </c>
      <c r="W89" s="129">
        <f t="shared" si="27"/>
        <v>0</v>
      </c>
    </row>
    <row r="90" spans="1:25">
      <c r="A90" s="148"/>
      <c r="B90" s="171" t="s">
        <v>126</v>
      </c>
      <c r="C90" s="246">
        <f>COUNTIFS(เรื่องร้องเรียน!E:E,"1",เรื่องร้องเรียน!N:N,"บางกอกน้อย",เรื่องร้องเรียน!AN:AN,"บางกอกน้อย")</f>
        <v>0</v>
      </c>
      <c r="D90" s="109">
        <f>COUNTIFS(เรื่องร้องเรียน!E:E,"1",เรื่องร้องเรียน!N:N,"บางกอกน้อย",เรื่องร้องเรียน!AN:AN,"บางกอกน้อย",เรื่องร้องเรียน!CL:CL,"1")</f>
        <v>0</v>
      </c>
      <c r="E90" s="109">
        <f>COUNTIFS(เรื่องร้องเรียน!E:E,"2",เรื่องร้องเรียน!N:N,"บางกอกน้อย",เรื่องร้องเรียน!AN:AN,"บางกอกน้อย")</f>
        <v>0</v>
      </c>
      <c r="F90" s="109">
        <f>COUNTIFS(เรื่องร้องเรียน!E:E,"2",เรื่องร้องเรียน!N:N,"บางกอกน้อย",เรื่องร้องเรียน!AN:AN,"บางกอกน้อย",เรื่องร้องเรียน!CL:CL,"1")</f>
        <v>0</v>
      </c>
      <c r="G90" s="109">
        <f>COUNTIFS(เรื่องร้องเรียน!E:E,"3",เรื่องร้องเรียน!N:N,"บางกอกน้อย",เรื่องร้องเรียน!AN:AN,"บางกอกน้อย")</f>
        <v>0</v>
      </c>
      <c r="H90" s="109">
        <f>COUNTIFS(เรื่องร้องเรียน!E:E,"3",เรื่องร้องเรียน!N:N,"บางกอกน้อย",เรื่องร้องเรียน!AN:AN,"บางกอกน้อย",เรื่องร้องเรียน!CL:CL,"1")</f>
        <v>0</v>
      </c>
      <c r="I90" s="109">
        <f>COUNTIFS(เรื่องร้องเรียน!E:E,"4",เรื่องร้องเรียน!N:N,"บางกอกน้อย",เรื่องร้องเรียน!AN:AN,"บางกอกน้อย")</f>
        <v>0</v>
      </c>
      <c r="J90" s="144">
        <f>COUNTIFS(เรื่องร้องเรียน!E:E,"4",เรื่องร้องเรียน!N:N,"บางกอกน้อย",เรื่องร้องเรียน!AN:AN,"บางกอกน้อย",เรื่องร้องเรียน!CL:CL,"1")</f>
        <v>0</v>
      </c>
      <c r="K90" s="144"/>
      <c r="L90" s="144"/>
      <c r="M90" s="109">
        <f t="shared" si="37"/>
        <v>0</v>
      </c>
      <c r="N90" s="145">
        <f t="shared" si="37"/>
        <v>0</v>
      </c>
      <c r="O90" s="146">
        <f>COUNTIFS(เรื่องร้องเรียน!E:E,"1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P90" s="144">
        <f>COUNTIFS(เรื่องร้องเรียน!E:E,"2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Q90" s="144">
        <f>COUNTIFS(เรื่องร้องเรียน!E:E,"3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R90" s="144">
        <f>COUNTIFS(เรื่องร้องเรียน!E:E,"4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S90" s="144"/>
      <c r="T90" s="147">
        <f t="shared" si="34"/>
        <v>0</v>
      </c>
      <c r="U90" s="129">
        <f t="shared" si="31"/>
        <v>0</v>
      </c>
      <c r="V90" s="10" t="s">
        <v>185</v>
      </c>
      <c r="W90" s="129">
        <f t="shared" si="27"/>
        <v>0</v>
      </c>
      <c r="Y90" s="10" t="s">
        <v>190</v>
      </c>
    </row>
    <row r="91" spans="1:25">
      <c r="A91" s="148"/>
      <c r="B91" s="171" t="s">
        <v>189</v>
      </c>
      <c r="C91" s="246">
        <f>COUNTIFS(เรื่องร้องเรียน!E:E,"1",เรื่องร้องเรียน!N:N,"บางกอกน้อย",เรื่องร้องเรียน!AN:AN,"บางขุนนนท์")</f>
        <v>0</v>
      </c>
      <c r="D91" s="109">
        <f>COUNTIFS(เรื่องร้องเรียน!E:E,"1",เรื่องร้องเรียน!N:N,"บางกอกน้อย",เรื่องร้องเรียน!AN:AN,"บางขุนนนท์",เรื่องร้องเรียน!CL:CL,"1")</f>
        <v>0</v>
      </c>
      <c r="E91" s="109">
        <f>COUNTIFS(เรื่องร้องเรียน!E:E,"2",เรื่องร้องเรียน!N:N,"บางกอกน้อย",เรื่องร้องเรียน!AN:AN,"บางขุนนนท์")</f>
        <v>0</v>
      </c>
      <c r="F91" s="109">
        <f>COUNTIFS(เรื่องร้องเรียน!E:E,"2",เรื่องร้องเรียน!N:N,"บางกอกน้อย",เรื่องร้องเรียน!AN:AN,"บางขุนนนท์",เรื่องร้องเรียน!CL:CL,"1")</f>
        <v>0</v>
      </c>
      <c r="G91" s="109">
        <f>COUNTIFS(เรื่องร้องเรียน!E:E,"3",เรื่องร้องเรียน!N:N,"บางกอกน้อย",เรื่องร้องเรียน!AN:AN,"บางขุนนนท์")</f>
        <v>0</v>
      </c>
      <c r="H91" s="109">
        <f>COUNTIFS(เรื่องร้องเรียน!E:E,"3",เรื่องร้องเรียน!N:N,"บางกอกน้อย",เรื่องร้องเรียน!AN:AN,"บางขุนนนท์",เรื่องร้องเรียน!CL:CL,"1")</f>
        <v>0</v>
      </c>
      <c r="I91" s="109">
        <f>COUNTIFS(เรื่องร้องเรียน!E:E,"4",เรื่องร้องเรียน!N:N,"บางกอกน้อย",เรื่องร้องเรียน!AN:AN,"บางขุนนนท์")</f>
        <v>0</v>
      </c>
      <c r="J91" s="144">
        <f>COUNTIFS(เรื่องร้องเรียน!E:E,"4",เรื่องร้องเรียน!N:N,"บางกอกน้อย",เรื่องร้องเรียน!AN:AN,"บางขุนนนท์",เรื่องร้องเรียน!CL:CL,"1")</f>
        <v>0</v>
      </c>
      <c r="K91" s="144"/>
      <c r="L91" s="144"/>
      <c r="M91" s="109">
        <f t="shared" si="37"/>
        <v>0</v>
      </c>
      <c r="N91" s="145">
        <f t="shared" si="37"/>
        <v>0</v>
      </c>
      <c r="O91" s="146">
        <f>COUNTIFS(เรื่องร้องเรียน!E:E,"1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P91" s="144">
        <f>COUNTIFS(เรื่องร้องเรียน!E:E,"2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Q91" s="144">
        <f>COUNTIFS(เรื่องร้องเรียน!E:E,"3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R91" s="144">
        <f>COUNTIFS(เรื่องร้องเรียน!E:E,"4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S91" s="144"/>
      <c r="T91" s="147">
        <f t="shared" si="34"/>
        <v>0</v>
      </c>
      <c r="U91" s="129">
        <f t="shared" si="31"/>
        <v>0</v>
      </c>
      <c r="W91" s="129">
        <f t="shared" si="27"/>
        <v>0</v>
      </c>
    </row>
    <row r="92" spans="1:25">
      <c r="A92" s="148"/>
      <c r="B92" s="171" t="s">
        <v>127</v>
      </c>
      <c r="C92" s="123">
        <f>COUNTIFS(เรื่องร้องเรียน!E:E,"1",เรื่องร้องเรียน!N:N,"บางกอกน้อย",เรื่องร้องเรียน!AN:AN,"บางยี่ขัน")</f>
        <v>0</v>
      </c>
      <c r="D92" s="117">
        <f>COUNTIFS(เรื่องร้องเรียน!E:E,"1",เรื่องร้องเรียน!N:N,"บางกอกน้อย",เรื่องร้องเรียน!AN:AN,"บางยี่ขัน",เรื่องร้องเรียน!CL:CL,"1")</f>
        <v>0</v>
      </c>
      <c r="E92" s="117">
        <f>COUNTIFS(เรื่องร้องเรียน!E:E,"2",เรื่องร้องเรียน!N:N,"บางกอกน้อย",เรื่องร้องเรียน!AN:AN,"บางยี่ขัน")</f>
        <v>0</v>
      </c>
      <c r="F92" s="117">
        <f>COUNTIFS(เรื่องร้องเรียน!E:E,"2",เรื่องร้องเรียน!N:N,"บางกอกน้อย",เรื่องร้องเรียน!AN:AN,"บางยี่ขัน",เรื่องร้องเรียน!CL:CL,"1")</f>
        <v>0</v>
      </c>
      <c r="G92" s="117">
        <f>COUNTIFS(เรื่องร้องเรียน!E:E,"3",เรื่องร้องเรียน!N:N,"บางกอกน้อย",เรื่องร้องเรียน!AN:AN,"บางยี่ขัน")</f>
        <v>0</v>
      </c>
      <c r="H92" s="117">
        <f>COUNTIFS(เรื่องร้องเรียน!E:E,"3",เรื่องร้องเรียน!N:N,"บางกอกน้อย",เรื่องร้องเรียน!AN:AN,"บางยี่ขัน",เรื่องร้องเรียน!CL:CL,"1")</f>
        <v>0</v>
      </c>
      <c r="I92" s="117">
        <f>COUNTIFS(เรื่องร้องเรียน!E:E,"4",เรื่องร้องเรียน!N:N,"บางกอกน้อย",เรื่องร้องเรียน!AN:AN,"บางยี่ขัน")</f>
        <v>0</v>
      </c>
      <c r="J92" s="152">
        <f>COUNTIFS(เรื่องร้องเรียน!E:E,"4",เรื่องร้องเรียน!N:N,"บางกอกน้อย",เรื่องร้องเรียน!AN:AN,"บางยี่ขัน",เรื่องร้องเรียน!CL:CL,"1")</f>
        <v>0</v>
      </c>
      <c r="K92" s="152"/>
      <c r="L92" s="152"/>
      <c r="M92" s="117">
        <f t="shared" si="37"/>
        <v>0</v>
      </c>
      <c r="N92" s="122">
        <f t="shared" si="37"/>
        <v>0</v>
      </c>
      <c r="O92" s="153">
        <f>COUNTIFS(เรื่องร้องเรียน!E:E,"1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P92" s="152">
        <f>COUNTIFS(เรื่องร้องเรียน!E:E,"2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Q92" s="152">
        <f>COUNTIFS(เรื่องร้องเรียน!E:E,"3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R92" s="152">
        <f>COUNTIFS(เรื่องร้องเรียน!E:E,"4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S92" s="152"/>
      <c r="T92" s="154">
        <f t="shared" si="34"/>
        <v>0</v>
      </c>
      <c r="U92" s="129">
        <f t="shared" si="31"/>
        <v>0</v>
      </c>
      <c r="W92" s="129">
        <f t="shared" si="27"/>
        <v>0</v>
      </c>
    </row>
    <row r="93" spans="1:25">
      <c r="A93" s="148"/>
      <c r="B93" s="171" t="s">
        <v>185</v>
      </c>
      <c r="C93" s="123">
        <f>COUNTIFS(เรื่องร้องเรียน!E:E,"1",เรื่องร้องเรียน!N:N,"บางกอกน้อย",เรื่องร้องเรียน!AN:AN,"ตลิ่งชัน")</f>
        <v>0</v>
      </c>
      <c r="D93" s="117">
        <f>COUNTIFS(เรื่องร้องเรียน!E:E,"1",เรื่องร้องเรียน!N:N,"บางกอกน้อย",เรื่องร้องเรียน!AN:AN,"ตลิ่งชัน",เรื่องร้องเรียน!CL:CL,"1")</f>
        <v>0</v>
      </c>
      <c r="E93" s="117">
        <f>COUNTIFS(เรื่องร้องเรียน!E:E,"2",เรื่องร้องเรียน!N:N,"บางกอกน้อย",เรื่องร้องเรียน!AN:AN,"ตลิ่งชัน")</f>
        <v>0</v>
      </c>
      <c r="F93" s="117">
        <f>COUNTIFS(เรื่องร้องเรียน!E:E,"2",เรื่องร้องเรียน!N:N,"บางกอกน้อย",เรื่องร้องเรียน!AN:AN,"ตลิ่งชัน",เรื่องร้องเรียน!CL:CL,"1")</f>
        <v>0</v>
      </c>
      <c r="G93" s="117">
        <f>COUNTIFS(เรื่องร้องเรียน!E:E,"3",เรื่องร้องเรียน!N:N,"บางกอกน้อย",เรื่องร้องเรียน!AN:AN,"ตลิ่งชัน")</f>
        <v>0</v>
      </c>
      <c r="H93" s="117">
        <f>COUNTIFS(เรื่องร้องเรียน!E:E,"3",เรื่องร้องเรียน!N:N,"บางกอกน้อย",เรื่องร้องเรียน!AN:AN,"ตลิ่งชัน",เรื่องร้องเรียน!CL:CL,"1")</f>
        <v>0</v>
      </c>
      <c r="I93" s="117">
        <f>COUNTIFS(เรื่องร้องเรียน!E:E,"4",เรื่องร้องเรียน!N:N,"บางกอกน้อย",เรื่องร้องเรียน!AN:AN,"ตลิ่งชัน")</f>
        <v>0</v>
      </c>
      <c r="J93" s="152">
        <f>COUNTIFS(เรื่องร้องเรียน!E:E,"4",เรื่องร้องเรียน!N:N,"บางกอกน้อย",เรื่องร้องเรียน!AN:AN,"ตลิ่งชัน",เรื่องร้องเรียน!CL:CL,"1")</f>
        <v>0</v>
      </c>
      <c r="K93" s="152"/>
      <c r="L93" s="152"/>
      <c r="M93" s="117">
        <f>SUM(C93,E93,G93,I93,K93)</f>
        <v>0</v>
      </c>
      <c r="N93" s="122">
        <f>SUM(D93,F93,H93,J93,L93)</f>
        <v>0</v>
      </c>
      <c r="O93" s="153">
        <f>COUNTIFS(เรื่องร้องเรียน!E:E,"1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P93" s="152">
        <f>COUNTIFS(เรื่องร้องเรียน!E:E,"2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Q93" s="152">
        <f>COUNTIFS(เรื่องร้องเรียน!E:E,"3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R93" s="152">
        <f>COUNTIFS(เรื่องร้องเรียน!E:E,"4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S93" s="152"/>
      <c r="T93" s="154">
        <f>SUM(O93:S93)</f>
        <v>0</v>
      </c>
      <c r="U93" s="129">
        <f>M93-N93-T93</f>
        <v>0</v>
      </c>
      <c r="W93" s="129">
        <f t="shared" si="27"/>
        <v>0</v>
      </c>
    </row>
    <row r="94" spans="1:25" ht="21.6" thickBot="1">
      <c r="A94" s="174"/>
      <c r="B94" s="172" t="s">
        <v>190</v>
      </c>
      <c r="C94" s="123">
        <f>COUNTIFS(เรื่องร้องเรียน!E:E,"1",เรื่องร้องเรียน!N:N,"บางกอกน้อย",เรื่องร้องเรียน!AN:AN,"บางเสาธง")</f>
        <v>0</v>
      </c>
      <c r="D94" s="117">
        <f>COUNTIFS(เรื่องร้องเรียน!E:E,"1",เรื่องร้องเรียน!N:N,"บางกอกน้อย",เรื่องร้องเรียน!AN:AN,"บางเสาธง",เรื่องร้องเรียน!CL:CL,"1")</f>
        <v>0</v>
      </c>
      <c r="E94" s="117">
        <f>COUNTIFS(เรื่องร้องเรียน!E:E,"2",เรื่องร้องเรียน!N:N,"บางกอกน้อย",เรื่องร้องเรียน!AN:AN,"บางเสาธง")</f>
        <v>0</v>
      </c>
      <c r="F94" s="117">
        <f>COUNTIFS(เรื่องร้องเรียน!E:E,"2",เรื่องร้องเรียน!N:N,"บางกอกน้อย",เรื่องร้องเรียน!AN:AN,"บางเสาธง",เรื่องร้องเรียน!CL:CL,"1")</f>
        <v>0</v>
      </c>
      <c r="G94" s="117">
        <f>COUNTIFS(เรื่องร้องเรียน!E:E,"3",เรื่องร้องเรียน!N:N,"บางกอกน้อย",เรื่องร้องเรียน!AN:AN,"บางเสาธง")</f>
        <v>0</v>
      </c>
      <c r="H94" s="117">
        <f>COUNTIFS(เรื่องร้องเรียน!E:E,"3",เรื่องร้องเรียน!N:N,"บางกอกน้อย",เรื่องร้องเรียน!AN:AN,"บางเสาธง",เรื่องร้องเรียน!CL:CL,"1")</f>
        <v>0</v>
      </c>
      <c r="I94" s="117">
        <f>COUNTIFS(เรื่องร้องเรียน!E:E,"4",เรื่องร้องเรียน!N:N,"บางกอกน้อย",เรื่องร้องเรียน!AN:AN,"บางเสาธง")</f>
        <v>0</v>
      </c>
      <c r="J94" s="152">
        <f>COUNTIFS(เรื่องร้องเรียน!E:E,"4",เรื่องร้องเรียน!N:N,"บางกอกน้อย",เรื่องร้องเรียน!AN:AN,"บางเสาธง",เรื่องร้องเรียน!CL:CL,"1")</f>
        <v>0</v>
      </c>
      <c r="K94" s="152"/>
      <c r="L94" s="152"/>
      <c r="M94" s="117">
        <f>SUM(C94,E94,G94,I94,K94)</f>
        <v>0</v>
      </c>
      <c r="N94" s="122">
        <f>SUM(D94,F94,H94,J94,L94)</f>
        <v>0</v>
      </c>
      <c r="O94" s="153">
        <f>COUNTIFS(เรื่องร้องเรียน!E:E,"1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P94" s="152">
        <f>COUNTIFS(เรื่องร้องเรียน!E:E,"2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Q94" s="152">
        <f>COUNTIFS(เรื่องร้องเรียน!E:E,"3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R94" s="152">
        <f>COUNTIFS(เรื่องร้องเรียน!E:E,"4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S94" s="152"/>
      <c r="T94" s="154">
        <f>SUM(O94:S94)</f>
        <v>0</v>
      </c>
      <c r="U94" s="128">
        <f>M94-N94-T94</f>
        <v>0</v>
      </c>
      <c r="W94" s="129">
        <f t="shared" si="27"/>
        <v>0</v>
      </c>
    </row>
    <row r="95" spans="1:25" ht="21.6" thickBot="1">
      <c r="A95" s="130" t="s">
        <v>188</v>
      </c>
      <c r="B95" s="169" t="s">
        <v>152</v>
      </c>
      <c r="C95" s="132">
        <f>SUM(C96:C98 )</f>
        <v>0</v>
      </c>
      <c r="D95" s="131">
        <f t="shared" ref="D95:T95" si="38">SUM(D96:D98 )</f>
        <v>0</v>
      </c>
      <c r="E95" s="131">
        <f t="shared" si="38"/>
        <v>0</v>
      </c>
      <c r="F95" s="131">
        <f t="shared" si="38"/>
        <v>0</v>
      </c>
      <c r="G95" s="131">
        <f t="shared" si="38"/>
        <v>0</v>
      </c>
      <c r="H95" s="131">
        <f t="shared" si="38"/>
        <v>0</v>
      </c>
      <c r="I95" s="131">
        <f t="shared" si="38"/>
        <v>0</v>
      </c>
      <c r="J95" s="131">
        <f t="shared" si="38"/>
        <v>0</v>
      </c>
      <c r="K95" s="131">
        <f t="shared" si="38"/>
        <v>0</v>
      </c>
      <c r="L95" s="131">
        <f t="shared" si="38"/>
        <v>0</v>
      </c>
      <c r="M95" s="131">
        <f t="shared" si="38"/>
        <v>0</v>
      </c>
      <c r="N95" s="163">
        <f t="shared" si="38"/>
        <v>0</v>
      </c>
      <c r="O95" s="132">
        <f t="shared" si="38"/>
        <v>0</v>
      </c>
      <c r="P95" s="131">
        <f t="shared" si="38"/>
        <v>0</v>
      </c>
      <c r="Q95" s="131">
        <f t="shared" si="38"/>
        <v>0</v>
      </c>
      <c r="R95" s="131">
        <f t="shared" si="38"/>
        <v>0</v>
      </c>
      <c r="S95" s="131">
        <f t="shared" si="38"/>
        <v>0</v>
      </c>
      <c r="T95" s="133">
        <f t="shared" si="38"/>
        <v>0</v>
      </c>
      <c r="U95" s="134">
        <f t="shared" si="31"/>
        <v>0</v>
      </c>
      <c r="W95" s="135">
        <f t="shared" si="27"/>
        <v>0</v>
      </c>
    </row>
    <row r="96" spans="1:25">
      <c r="A96" s="165"/>
      <c r="B96" s="170" t="s">
        <v>20</v>
      </c>
      <c r="C96" s="140"/>
      <c r="D96" s="138"/>
      <c r="E96" s="138"/>
      <c r="F96" s="138"/>
      <c r="G96" s="138"/>
      <c r="H96" s="138"/>
      <c r="I96" s="138"/>
      <c r="J96" s="138"/>
      <c r="K96" s="138">
        <f>COUNTIFS(เรื่องร้องเรียน!E:E,"5",เรื่องร้องเรียน!N:N,"บางกอกใหญ่")</f>
        <v>0</v>
      </c>
      <c r="L96" s="138">
        <f>COUNTIFS(เรื่องร้องเรียน!E:E,"5",เรื่องร้องเรียน!N:N,"บางกอกใหญ่",เรื่องร้องเรียน!CL:CL,"1")</f>
        <v>0</v>
      </c>
      <c r="M96" s="138">
        <f t="shared" ref="M96:N98" si="39">SUM(C96,E96,G96,I96,K96)</f>
        <v>0</v>
      </c>
      <c r="N96" s="139">
        <f t="shared" si="39"/>
        <v>0</v>
      </c>
      <c r="O96" s="140"/>
      <c r="P96" s="138"/>
      <c r="Q96" s="138"/>
      <c r="R96" s="138"/>
      <c r="S96" s="138">
        <f>COUNTIFS(เรื่องร้องเรียน!E:E,"5",เรื่องร้องเรียน!N:N,"บางกอกใหญ่",เรื่องร้องเรียน!AQ:AQ,"1",เรื่องร้องเรียน!CL:CL,"")</f>
        <v>0</v>
      </c>
      <c r="T96" s="141">
        <f t="shared" si="34"/>
        <v>0</v>
      </c>
      <c r="U96" s="129">
        <f t="shared" si="31"/>
        <v>0</v>
      </c>
      <c r="W96" s="129">
        <f t="shared" si="27"/>
        <v>0</v>
      </c>
    </row>
    <row r="97" spans="1:23">
      <c r="A97" s="148"/>
      <c r="B97" s="171" t="s">
        <v>186</v>
      </c>
      <c r="C97" s="246">
        <f>COUNTIFS(เรื่องร้องเรียน!E:E,"1",เรื่องร้องเรียน!N:N,"บางกอกใหญ่",เรื่องร้องเรียน!AN:AN,"ท่าพระ")</f>
        <v>0</v>
      </c>
      <c r="D97" s="109">
        <f>COUNTIFS(เรื่องร้องเรียน!E:E,"1",เรื่องร้องเรียน!N:N,"บางกอกใหญ่",เรื่องร้องเรียน!AN:AN,"ท่าพระ",เรื่องร้องเรียน!CL:CL,"1")</f>
        <v>0</v>
      </c>
      <c r="E97" s="109">
        <f>COUNTIFS(เรื่องร้องเรียน!E:E,"2",เรื่องร้องเรียน!N:N,"บางกอกใหญ่",เรื่องร้องเรียน!AN:AN,"ท่าพระ")</f>
        <v>0</v>
      </c>
      <c r="F97" s="109">
        <f>COUNTIFS(เรื่องร้องเรียน!E:E,"2",เรื่องร้องเรียน!N:N,"บางกอกใหญ่",เรื่องร้องเรียน!AN:AN,"ท่าพระ",เรื่องร้องเรียน!CL:CL,"1")</f>
        <v>0</v>
      </c>
      <c r="G97" s="109">
        <f>COUNTIFS(เรื่องร้องเรียน!E:E,"3",เรื่องร้องเรียน!N:N,"บางกอกใหญ่",เรื่องร้องเรียน!AN:AN,"ท่าพระ")</f>
        <v>0</v>
      </c>
      <c r="H97" s="109">
        <f>COUNTIFS(เรื่องร้องเรียน!E:E,"3",เรื่องร้องเรียน!N:N,"บางกอกใหญ่",เรื่องร้องเรียน!AN:AN,"ท่าพระ",เรื่องร้องเรียน!CL:CL,"1")</f>
        <v>0</v>
      </c>
      <c r="I97" s="109">
        <f>COUNTIFS(เรื่องร้องเรียน!E:E,"4",เรื่องร้องเรียน!N:N,"บางกอกใหญ่",เรื่องร้องเรียน!AN:AN,"ท่าพระ")</f>
        <v>0</v>
      </c>
      <c r="J97" s="144">
        <f>COUNTIFS(เรื่องร้องเรียน!E:E,"4",เรื่องร้องเรียน!N:N,"บางกอกใหญ่",เรื่องร้องเรียน!AN:AN,"ท่าพระ",เรื่องร้องเรียน!CL:CL,"1")</f>
        <v>0</v>
      </c>
      <c r="K97" s="144"/>
      <c r="L97" s="144"/>
      <c r="M97" s="109">
        <f t="shared" si="39"/>
        <v>0</v>
      </c>
      <c r="N97" s="145">
        <f t="shared" si="39"/>
        <v>0</v>
      </c>
      <c r="O97" s="146">
        <f>COUNTIFS(เรื่องร้องเรียน!E:E,"1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P97" s="144">
        <f>COUNTIFS(เรื่องร้องเรียน!E:E,"2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Q97" s="144">
        <f>COUNTIFS(เรื่องร้องเรียน!E:E,"3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R97" s="144">
        <f>COUNTIFS(เรื่องร้องเรียน!E:E,"4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S97" s="144"/>
      <c r="T97" s="147">
        <f t="shared" si="34"/>
        <v>0</v>
      </c>
      <c r="U97" s="129">
        <f t="shared" si="31"/>
        <v>0</v>
      </c>
      <c r="W97" s="129">
        <f t="shared" si="27"/>
        <v>0</v>
      </c>
    </row>
    <row r="98" spans="1:23" ht="21.6" thickBot="1">
      <c r="A98" s="150"/>
      <c r="B98" s="177" t="s">
        <v>188</v>
      </c>
      <c r="C98" s="123">
        <f>COUNTIFS(เรื่องร้องเรียน!E:E,"1",เรื่องร้องเรียน!N:N,"บางกอกใหญ่",เรื่องร้องเรียน!AN:AN,"บางกอกใหญ่")</f>
        <v>0</v>
      </c>
      <c r="D98" s="117">
        <f>COUNTIFS(เรื่องร้องเรียน!E:E,"1",เรื่องร้องเรียน!N:N,"บางกอกใหญ่",เรื่องร้องเรียน!AN:AN,"บางกอกใหญ่",เรื่องร้องเรียน!CL:CL,"1")</f>
        <v>0</v>
      </c>
      <c r="E98" s="117">
        <f>COUNTIFS(เรื่องร้องเรียน!E:E,"2",เรื่องร้องเรียน!N:N,"บางกอกใหญ่",เรื่องร้องเรียน!AN:AN,"บางกอกใหญ่")</f>
        <v>0</v>
      </c>
      <c r="F98" s="117">
        <f>COUNTIFS(เรื่องร้องเรียน!E:E,"2",เรื่องร้องเรียน!N:N,"บางกอกใหญ่",เรื่องร้องเรียน!AN:AN,"บางกอกใหญ่",เรื่องร้องเรียน!CL:CL,"1")</f>
        <v>0</v>
      </c>
      <c r="G98" s="117">
        <f>COUNTIFS(เรื่องร้องเรียน!E:E,"3",เรื่องร้องเรียน!N:N,"บางกอกใหญ่",เรื่องร้องเรียน!AN:AN,"บางกอกใหญ่")</f>
        <v>0</v>
      </c>
      <c r="H98" s="117">
        <f>COUNTIFS(เรื่องร้องเรียน!E:E,"3",เรื่องร้องเรียน!N:N,"บางกอกใหญ่",เรื่องร้องเรียน!AN:AN,"บางกอกใหญ่",เรื่องร้องเรียน!CL:CL,"1")</f>
        <v>0</v>
      </c>
      <c r="I98" s="117">
        <f>COUNTIFS(เรื่องร้องเรียน!E:E,"4",เรื่องร้องเรียน!N:N,"บางกอกใหญ่",เรื่องร้องเรียน!AN:AN,"บางกอกใหญ่")</f>
        <v>0</v>
      </c>
      <c r="J98" s="152">
        <f>COUNTIFS(เรื่องร้องเรียน!E:E,"4",เรื่องร้องเรียน!N:N,"บางกอกใหญ่",เรื่องร้องเรียน!AN:AN,"บางกอกใหญ่",เรื่องร้องเรียน!CL:CL,"1")</f>
        <v>0</v>
      </c>
      <c r="K98" s="152"/>
      <c r="L98" s="152"/>
      <c r="M98" s="117">
        <f t="shared" si="39"/>
        <v>0</v>
      </c>
      <c r="N98" s="122">
        <f t="shared" si="39"/>
        <v>0</v>
      </c>
      <c r="O98" s="153">
        <f>COUNTIFS(เรื่องร้องเรียน!E:E,"1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P98" s="152">
        <f>COUNTIFS(เรื่องร้องเรียน!E:E,"2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Q98" s="152">
        <f>COUNTIFS(เรื่องร้องเรียน!E:E,"3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R98" s="152">
        <f>COUNTIFS(เรื่องร้องเรียน!E:E,"4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S98" s="152"/>
      <c r="T98" s="154">
        <f t="shared" si="34"/>
        <v>0</v>
      </c>
      <c r="U98" s="129">
        <f t="shared" si="31"/>
        <v>0</v>
      </c>
      <c r="W98" s="129">
        <f t="shared" si="27"/>
        <v>0</v>
      </c>
    </row>
    <row r="99" spans="1:23" ht="21.6" thickBot="1">
      <c r="A99" s="130" t="s">
        <v>119</v>
      </c>
      <c r="B99" s="169" t="s">
        <v>152</v>
      </c>
      <c r="C99" s="132">
        <f>SUM(C100:C106 )</f>
        <v>0</v>
      </c>
      <c r="D99" s="131">
        <f>SUM(D100:D106)</f>
        <v>0</v>
      </c>
      <c r="E99" s="131">
        <f t="shared" ref="E99:N99" si="40">SUM(E100:E106 )</f>
        <v>0</v>
      </c>
      <c r="F99" s="131">
        <f t="shared" si="40"/>
        <v>0</v>
      </c>
      <c r="G99" s="131">
        <f t="shared" si="40"/>
        <v>0</v>
      </c>
      <c r="H99" s="131">
        <f t="shared" si="40"/>
        <v>0</v>
      </c>
      <c r="I99" s="131">
        <f t="shared" si="40"/>
        <v>0</v>
      </c>
      <c r="J99" s="131">
        <f t="shared" si="40"/>
        <v>0</v>
      </c>
      <c r="K99" s="131">
        <f t="shared" si="40"/>
        <v>0</v>
      </c>
      <c r="L99" s="131">
        <f t="shared" si="40"/>
        <v>0</v>
      </c>
      <c r="M99" s="131">
        <f t="shared" si="40"/>
        <v>0</v>
      </c>
      <c r="N99" s="163">
        <f t="shared" si="40"/>
        <v>0</v>
      </c>
      <c r="O99" s="132">
        <f t="shared" ref="O99:T99" si="41">SUM(O100:O106)</f>
        <v>0</v>
      </c>
      <c r="P99" s="132">
        <f t="shared" si="41"/>
        <v>0</v>
      </c>
      <c r="Q99" s="132">
        <f t="shared" si="41"/>
        <v>0</v>
      </c>
      <c r="R99" s="132">
        <f t="shared" si="41"/>
        <v>0</v>
      </c>
      <c r="S99" s="132">
        <f t="shared" si="41"/>
        <v>0</v>
      </c>
      <c r="T99" s="133">
        <f t="shared" si="41"/>
        <v>0</v>
      </c>
      <c r="U99" s="134">
        <f t="shared" si="31"/>
        <v>0</v>
      </c>
      <c r="W99" s="135">
        <f t="shared" si="27"/>
        <v>0</v>
      </c>
    </row>
    <row r="100" spans="1:23">
      <c r="A100" s="173"/>
      <c r="B100" s="170" t="s">
        <v>20</v>
      </c>
      <c r="C100" s="140"/>
      <c r="D100" s="138"/>
      <c r="E100" s="138"/>
      <c r="F100" s="138"/>
      <c r="G100" s="138"/>
      <c r="H100" s="138"/>
      <c r="I100" s="138"/>
      <c r="J100" s="138"/>
      <c r="K100" s="138">
        <f>COUNTIFS(เรื่องร้องเรียน!E:E,"5",เรื่องร้องเรียน!N:N,"บางกะปิ")</f>
        <v>0</v>
      </c>
      <c r="L100" s="138">
        <f>COUNTIFS(เรื่องร้องเรียน!E:E,"5",เรื่องร้องเรียน!N:N,"บางกะปิ",เรื่องร้องเรียน!CL:CL,"1")</f>
        <v>0</v>
      </c>
      <c r="M100" s="138">
        <f t="shared" ref="M100:N106" si="42">SUM(C100,E100,G100,I100,K100)</f>
        <v>0</v>
      </c>
      <c r="N100" s="139">
        <f t="shared" si="42"/>
        <v>0</v>
      </c>
      <c r="O100" s="140"/>
      <c r="P100" s="138"/>
      <c r="Q100" s="138"/>
      <c r="R100" s="138"/>
      <c r="S100" s="138">
        <f>COUNTIFS(เรื่องร้องเรียน!E:E,"5",เรื่องร้องเรียน!N:N,"บางกะปิ",เรื่องร้องเรียน!AQ:AQ,"1",เรื่องร้องเรียน!CL:CL,"")</f>
        <v>0</v>
      </c>
      <c r="T100" s="141">
        <f t="shared" si="34"/>
        <v>0</v>
      </c>
      <c r="U100" s="129">
        <f t="shared" si="31"/>
        <v>0</v>
      </c>
      <c r="V100" s="10" t="s">
        <v>179</v>
      </c>
      <c r="W100" s="129">
        <f t="shared" si="27"/>
        <v>0</v>
      </c>
    </row>
    <row r="101" spans="1:23">
      <c r="A101" s="148"/>
      <c r="B101" s="171" t="s">
        <v>120</v>
      </c>
      <c r="C101" s="246">
        <f>COUNTIFS(เรื่องร้องเรียน!E:E,"1",เรื่องร้องเรียน!N:N,"บางกะปิ",เรื่องร้องเรียน!AN:AN,"ลาดพร้าว")</f>
        <v>0</v>
      </c>
      <c r="D101" s="109">
        <f>COUNTIFS(เรื่องร้องเรียน!E:E,"1",เรื่องร้องเรียน!N:N,"บางกะปิ",เรื่องร้องเรียน!AN:AN,"ลาดพร้าว",เรื่องร้องเรียน!CL:CL,"1")</f>
        <v>0</v>
      </c>
      <c r="E101" s="109">
        <f>COUNTIFS(เรื่องร้องเรียน!E:E,"2",เรื่องร้องเรียน!N:N,"บางกะปิ",เรื่องร้องเรียน!AN:AN,"ลาดพร้าว")</f>
        <v>0</v>
      </c>
      <c r="F101" s="109">
        <f>COUNTIFS(เรื่องร้องเรียน!E:E,"2",เรื่องร้องเรียน!N:N,"บางกะปิ",เรื่องร้องเรียน!AN:AN,"ลาดพร้าว",เรื่องร้องเรียน!CL:CL,"1")</f>
        <v>0</v>
      </c>
      <c r="G101" s="109">
        <f>COUNTIFS(เรื่องร้องเรียน!E:E,"3",เรื่องร้องเรียน!N:N,"บางกะปิ",เรื่องร้องเรียน!AN:AN,"ลาดพร้าว")</f>
        <v>0</v>
      </c>
      <c r="H101" s="109">
        <f>COUNTIFS(เรื่องร้องเรียน!E:E,"3",เรื่องร้องเรียน!N:N,"บางกะปิ",เรื่องร้องเรียน!AN:AN,"ลาดพร้าว",เรื่องร้องเรียน!CL:CL,"1")</f>
        <v>0</v>
      </c>
      <c r="I101" s="109">
        <f>COUNTIFS(เรื่องร้องเรียน!E:E,"4",เรื่องร้องเรียน!N:N,"บางกะปิ",เรื่องร้องเรียน!AN:AN,"ลาดพร้าว")</f>
        <v>0</v>
      </c>
      <c r="J101" s="144">
        <f>COUNTIFS(เรื่องร้องเรียน!E:E,"4",เรื่องร้องเรียน!N:N,"บางกะปิ",เรื่องร้องเรียน!AN:AN,"ลาดพร้าว",เรื่องร้องเรียน!CL:CL,"1")</f>
        <v>0</v>
      </c>
      <c r="K101" s="144"/>
      <c r="L101" s="144"/>
      <c r="M101" s="109">
        <f t="shared" si="42"/>
        <v>0</v>
      </c>
      <c r="N101" s="145">
        <f t="shared" si="42"/>
        <v>0</v>
      </c>
      <c r="O101" s="146">
        <f>COUNTIFS(เรื่องร้องเรียน!E:E,"1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P101" s="144">
        <f>COUNTIFS(เรื่องร้องเรียน!E:E,"2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Q101" s="144">
        <f>COUNTIFS(เรื่องร้องเรียน!E:E,"3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R101" s="144">
        <f>COUNTIFS(เรื่องร้องเรียน!E:E,"4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S101" s="144"/>
      <c r="T101" s="147">
        <f t="shared" si="34"/>
        <v>0</v>
      </c>
      <c r="U101" s="129">
        <f t="shared" si="31"/>
        <v>0</v>
      </c>
      <c r="V101" s="10" t="s">
        <v>73</v>
      </c>
      <c r="W101" s="129">
        <f t="shared" si="27"/>
        <v>0</v>
      </c>
    </row>
    <row r="102" spans="1:23">
      <c r="A102" s="148"/>
      <c r="B102" s="171" t="s">
        <v>91</v>
      </c>
      <c r="C102" s="123">
        <f>COUNTIFS(เรื่องร้องเรียน!E:E,"1",เรื่องร้องเรียน!N:N,"บางกะปิ",เรื่องร้องเรียน!AN:AN,"หัวหมาก")</f>
        <v>0</v>
      </c>
      <c r="D102" s="117">
        <f>COUNTIFS(เรื่องร้องเรียน!E:E,"1",เรื่องร้องเรียน!N:N,"บางกะปิ",เรื่องร้องเรียน!AN:AN,"หัวหมาก",เรื่องร้องเรียน!CL:CL,"1")</f>
        <v>0</v>
      </c>
      <c r="E102" s="117">
        <f>COUNTIFS(เรื่องร้องเรียน!E:E,"2",เรื่องร้องเรียน!N:N,"บางกะปิ",เรื่องร้องเรียน!AN:AN,"หัวหมาก")</f>
        <v>0</v>
      </c>
      <c r="F102" s="117">
        <f>COUNTIFS(เรื่องร้องเรียน!E:E,"2",เรื่องร้องเรียน!N:N,"บางกะปิ",เรื่องร้องเรียน!AN:AN,"หัวหมาก",เรื่องร้องเรียน!CL:CL,"1")</f>
        <v>0</v>
      </c>
      <c r="G102" s="117">
        <f>COUNTIFS(เรื่องร้องเรียน!E:E,"3",เรื่องร้องเรียน!N:N,"บางกะปิ",เรื่องร้องเรียน!AN:AN,"หัวหมาก")</f>
        <v>0</v>
      </c>
      <c r="H102" s="117">
        <f>COUNTIFS(เรื่องร้องเรียน!E:E,"3",เรื่องร้องเรียน!N:N,"บางกะปิ",เรื่องร้องเรียน!AN:AN,"หัวหมาก",เรื่องร้องเรียน!CL:CL,"1")</f>
        <v>0</v>
      </c>
      <c r="I102" s="117">
        <f>COUNTIFS(เรื่องร้องเรียน!E:E,"4",เรื่องร้องเรียน!N:N,"บางกะปิ",เรื่องร้องเรียน!AN:AN,"หัวหมาก")</f>
        <v>0</v>
      </c>
      <c r="J102" s="152">
        <f>COUNTIFS(เรื่องร้องเรียน!E:E,"4",เรื่องร้องเรียน!N:N,"บางกะปิ",เรื่องร้องเรียน!AN:AN,"หัวหมาก",เรื่องร้องเรียน!CL:CL,"1")</f>
        <v>0</v>
      </c>
      <c r="K102" s="152"/>
      <c r="L102" s="152"/>
      <c r="M102" s="117">
        <f t="shared" si="42"/>
        <v>0</v>
      </c>
      <c r="N102" s="122">
        <f t="shared" si="42"/>
        <v>0</v>
      </c>
      <c r="O102" s="153">
        <f>COUNTIFS(เรื่องร้องเรียน!E:E,"1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P102" s="152">
        <f>COUNTIFS(เรื่องร้องเรียน!E:E,"2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Q102" s="152">
        <f>COUNTIFS(เรื่องร้องเรียน!E:E,"3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R102" s="152">
        <f>COUNTIFS(เรื่องร้องเรียน!E:E,"4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S102" s="152"/>
      <c r="T102" s="154">
        <f t="shared" si="34"/>
        <v>0</v>
      </c>
      <c r="U102" s="129">
        <f t="shared" si="31"/>
        <v>0</v>
      </c>
      <c r="V102" s="10" t="s">
        <v>132</v>
      </c>
      <c r="W102" s="129">
        <f t="shared" si="27"/>
        <v>0</v>
      </c>
    </row>
    <row r="103" spans="1:23">
      <c r="A103" s="148"/>
      <c r="B103" s="171" t="s">
        <v>179</v>
      </c>
      <c r="C103" s="123">
        <f>COUNTIFS(เรื่องร้องเรียน!E:E,"1",เรื่องร้องเรียน!N:N,"บางกะปิ",เรื่องร้องเรียน!AN:AN,"วังทองหลาง")</f>
        <v>0</v>
      </c>
      <c r="D103" s="117">
        <f>COUNTIFS(เรื่องร้องเรียน!E:E,"1",เรื่องร้องเรียน!N:N,"บางกะปิ",เรื่องร้องเรียน!AN:AN,"วังทองหลาง",เรื่องร้องเรียน!CL:CL,"1")</f>
        <v>0</v>
      </c>
      <c r="E103" s="117">
        <f>COUNTIFS(เรื่องร้องเรียน!E:E,"2",เรื่องร้องเรียน!N:N,"บางกะปิ",เรื่องร้องเรียน!AN:AN,"วังทองหลาง")</f>
        <v>0</v>
      </c>
      <c r="F103" s="117">
        <f>COUNTIFS(เรื่องร้องเรียน!E:E,"2",เรื่องร้องเรียน!N:N,"บางกะปิ",เรื่องร้องเรียน!AN:AN,"วังทองหลาง",เรื่องร้องเรียน!CL:CL,"1")</f>
        <v>0</v>
      </c>
      <c r="G103" s="117">
        <f>COUNTIFS(เรื่องร้องเรียน!E:E,"3",เรื่องร้องเรียน!N:N,"บางกะปิ",เรื่องร้องเรียน!AN:AN,"วังทองหลาง")</f>
        <v>0</v>
      </c>
      <c r="H103" s="117">
        <f>COUNTIFS(เรื่องร้องเรียน!E:E,"3",เรื่องร้องเรียน!N:N,"บางกะปิ",เรื่องร้องเรียน!AN:AN,"วังทองหลาง",เรื่องร้องเรียน!CL:CL,"1")</f>
        <v>0</v>
      </c>
      <c r="I103" s="117">
        <f>COUNTIFS(เรื่องร้องเรียน!E:E,"4",เรื่องร้องเรียน!N:N,"บางกะปิ",เรื่องร้องเรียน!AN:AN,"วังทองหลาง")</f>
        <v>0</v>
      </c>
      <c r="J103" s="152">
        <f>COUNTIFS(เรื่องร้องเรียน!E:E,"4",เรื่องร้องเรียน!N:N,"บางกะปิ",เรื่องร้องเรียน!AN:AN,"วังทองหลาง",เรื่องร้องเรียน!CL:CL,"1")</f>
        <v>0</v>
      </c>
      <c r="K103" s="152"/>
      <c r="L103" s="152"/>
      <c r="M103" s="117">
        <f t="shared" si="42"/>
        <v>0</v>
      </c>
      <c r="N103" s="122">
        <f t="shared" si="42"/>
        <v>0</v>
      </c>
      <c r="O103" s="153">
        <f>COUNTIFS(เรื่องร้องเรียน!E:E,"1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P103" s="152">
        <f>COUNTIFS(เรื่องร้องเรียน!E:E,"2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Q103" s="152">
        <f>COUNTIFS(เรื่องร้องเรียน!E:E,"3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R103" s="152">
        <f>COUNTIFS(เรื่องร้องเรียน!E:E,"4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S103" s="152"/>
      <c r="T103" s="154">
        <f>SUM(O103:S103)</f>
        <v>0</v>
      </c>
      <c r="U103" s="129">
        <f>M103-N103-T103</f>
        <v>0</v>
      </c>
      <c r="V103" s="10" t="s">
        <v>67</v>
      </c>
      <c r="W103" s="129">
        <f t="shared" si="27"/>
        <v>0</v>
      </c>
    </row>
    <row r="104" spans="1:23">
      <c r="A104" s="148"/>
      <c r="B104" s="171" t="s">
        <v>73</v>
      </c>
      <c r="C104" s="123">
        <f>COUNTIFS(เรื่องร้องเรียน!E:E,"1",เรื่องร้องเรียน!N:N,"บางกะปิ",เรื่องร้องเรียน!AN:AN,"ประเวศ")</f>
        <v>0</v>
      </c>
      <c r="D104" s="117">
        <f>COUNTIFS(เรื่องร้องเรียน!E:E,"1",เรื่องร้องเรียน!N:N,"บางกะปิ",เรื่องร้องเรียน!AN:AN,"ประเวศ",เรื่องร้องเรียน!CL:CL,"1")</f>
        <v>0</v>
      </c>
      <c r="E104" s="117">
        <f>COUNTIFS(เรื่องร้องเรียน!E:E,"2",เรื่องร้องเรียน!N:N,"บางกะปิ",เรื่องร้องเรียน!AN:AN,"ประเวศ")</f>
        <v>0</v>
      </c>
      <c r="F104" s="117">
        <f>COUNTIFS(เรื่องร้องเรียน!E:E,"2",เรื่องร้องเรียน!N:N,"บางกะปิ",เรื่องร้องเรียน!AN:AN,"ประเวศ",เรื่องร้องเรียน!CL:CL,"1")</f>
        <v>0</v>
      </c>
      <c r="G104" s="117">
        <f>COUNTIFS(เรื่องร้องเรียน!E:E,"3",เรื่องร้องเรียน!N:N,"บางกะปิ",เรื่องร้องเรียน!AN:AN,"ประเวศ")</f>
        <v>0</v>
      </c>
      <c r="H104" s="117">
        <f>COUNTIFS(เรื่องร้องเรียน!E:E,"3",เรื่องร้องเรียน!N:N,"บางกะปิ",เรื่องร้องเรียน!AN:AN,"ประเวศ",เรื่องร้องเรียน!CL:CL,"1")</f>
        <v>0</v>
      </c>
      <c r="I104" s="117">
        <f>COUNTIFS(เรื่องร้องเรียน!E:E,"4",เรื่องร้องเรียน!N:N,"บางกะปิ",เรื่องร้องเรียน!AN:AN,"ประเวศ")</f>
        <v>0</v>
      </c>
      <c r="J104" s="152">
        <f>COUNTIFS(เรื่องร้องเรียน!E:E,"4",เรื่องร้องเรียน!N:N,"บางกะปิ",เรื่องร้องเรียน!AN:AN,"ประเวศ",เรื่องร้องเรียน!CL:CL,"1")</f>
        <v>0</v>
      </c>
      <c r="K104" s="152"/>
      <c r="L104" s="152"/>
      <c r="M104" s="117">
        <f t="shared" si="42"/>
        <v>0</v>
      </c>
      <c r="N104" s="122">
        <f t="shared" si="42"/>
        <v>0</v>
      </c>
      <c r="O104" s="153">
        <f>COUNTIFS(เรื่องร้องเรียน!E:E,"1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P104" s="152">
        <f>COUNTIFS(เรื่องร้องเรียน!E:E,"2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Q104" s="152">
        <f>COUNTIFS(เรื่องร้องเรียน!E:E,"3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R104" s="152">
        <f>COUNTIFS(เรื่องร้องเรียน!E:E,"4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S104" s="152"/>
      <c r="T104" s="154">
        <f>SUM(O104:S104)</f>
        <v>0</v>
      </c>
      <c r="U104" s="129">
        <f>M104-N104-T104</f>
        <v>0</v>
      </c>
      <c r="W104" s="129">
        <f t="shared" si="27"/>
        <v>0</v>
      </c>
    </row>
    <row r="105" spans="1:23">
      <c r="A105" s="150"/>
      <c r="B105" s="177" t="s">
        <v>132</v>
      </c>
      <c r="C105" s="123">
        <f>COUNTIFS(เรื่องร้องเรียน!E:E,"1",เรื่องร้องเรียน!N:N,"บางกะปิ",เรื่องร้องเรียน!AN:AN,"โชคชัย")</f>
        <v>0</v>
      </c>
      <c r="D105" s="117">
        <f>COUNTIFS(เรื่องร้องเรียน!E:E,"1",เรื่องร้องเรียน!N:N,"บางกะปิ",เรื่องร้องเรียน!AN:AN,"โชคชัย",เรื่องร้องเรียน!CL:CL,"1")</f>
        <v>0</v>
      </c>
      <c r="E105" s="117">
        <f>COUNTIFS(เรื่องร้องเรียน!E:E,"2",เรื่องร้องเรียน!N:N,"บางกะปิ",เรื่องร้องเรียน!AN:AN,"โชคชัย")</f>
        <v>0</v>
      </c>
      <c r="F105" s="117">
        <f>COUNTIFS(เรื่องร้องเรียน!E:E,"2",เรื่องร้องเรียน!N:N,"บางกะปิ",เรื่องร้องเรียน!AN:AN,"โชคชัย",เรื่องร้องเรียน!CL:CL,"1")</f>
        <v>0</v>
      </c>
      <c r="G105" s="117">
        <f>COUNTIFS(เรื่องร้องเรียน!E:E,"3",เรื่องร้องเรียน!N:N,"บางกะปิ",เรื่องร้องเรียน!AN:AN,"โชคชัย")</f>
        <v>0</v>
      </c>
      <c r="H105" s="117">
        <f>COUNTIFS(เรื่องร้องเรียน!E:E,"3",เรื่องร้องเรียน!N:N,"บางกะปิ",เรื่องร้องเรียน!AN:AN,"โชคชัย",เรื่องร้องเรียน!CL:CL,"1")</f>
        <v>0</v>
      </c>
      <c r="I105" s="117">
        <f>COUNTIFS(เรื่องร้องเรียน!E:E,"4",เรื่องร้องเรียน!N:N,"บางกะปิ",เรื่องร้องเรียน!AN:AN,"โชคชัย")</f>
        <v>0</v>
      </c>
      <c r="J105" s="152">
        <f>COUNTIFS(เรื่องร้องเรียน!E:E,"4",เรื่องร้องเรียน!N:N,"บางกะปิ",เรื่องร้องเรียน!AN:AN,"โชคชัย",เรื่องร้องเรียน!CL:CL,"1")</f>
        <v>0</v>
      </c>
      <c r="K105" s="152"/>
      <c r="L105" s="152"/>
      <c r="M105" s="117">
        <f t="shared" si="42"/>
        <v>0</v>
      </c>
      <c r="N105" s="122">
        <f t="shared" si="42"/>
        <v>0</v>
      </c>
      <c r="O105" s="153">
        <f>COUNTIFS(เรื่องร้องเรียน!E:E,"1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P105" s="152">
        <f>COUNTIFS(เรื่องร้องเรียน!E:E,"2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Q105" s="152">
        <f>COUNTIFS(เรื่องร้องเรียน!E:E,"3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R105" s="152">
        <f>COUNTIFS(เรื่องร้องเรียน!E:E,"4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S105" s="152"/>
      <c r="T105" s="154">
        <f>SUM(O105:S105)</f>
        <v>0</v>
      </c>
      <c r="U105" s="129">
        <f>M105-N105-T105</f>
        <v>0</v>
      </c>
      <c r="W105" s="129">
        <f t="shared" si="27"/>
        <v>0</v>
      </c>
    </row>
    <row r="106" spans="1:23" ht="21.6" thickBot="1">
      <c r="A106" s="168"/>
      <c r="B106" s="166" t="s">
        <v>67</v>
      </c>
      <c r="C106" s="123">
        <f>COUNTIFS(เรื่องร้องเรียน!E:E,"1",เรื่องร้องเรียน!N:N,"บางกะปิ",เรื่องร้องเรียน!AN:AN,"บึงกุ่ม")</f>
        <v>0</v>
      </c>
      <c r="D106" s="117">
        <f>COUNTIFS(เรื่องร้องเรียน!E:E,"1",เรื่องร้องเรียน!N:N,"บางกะปิ",เรื่องร้องเรียน!AN:AN,"บึงกุ่ม",เรื่องร้องเรียน!CL:CL,"1")</f>
        <v>0</v>
      </c>
      <c r="E106" s="117">
        <f>COUNTIFS(เรื่องร้องเรียน!E:E,"2",เรื่องร้องเรียน!N:N,"บางกะปิ",เรื่องร้องเรียน!AN:AN,"บึงกุ่ม")</f>
        <v>0</v>
      </c>
      <c r="F106" s="117">
        <f>COUNTIFS(เรื่องร้องเรียน!E:E,"2",เรื่องร้องเรียน!N:N,"บางกะปิ",เรื่องร้องเรียน!AN:AN,"บึงกุ่ม",เรื่องร้องเรียน!CL:CL,"1")</f>
        <v>0</v>
      </c>
      <c r="G106" s="117">
        <f>COUNTIFS(เรื่องร้องเรียน!E:E,"3",เรื่องร้องเรียน!N:N,"บางกะปิ",เรื่องร้องเรียน!AN:AN,"บึงกุ่ม")</f>
        <v>0</v>
      </c>
      <c r="H106" s="117">
        <f>COUNTIFS(เรื่องร้องเรียน!E:E,"3",เรื่องร้องเรียน!N:N,"บางกะปิ",เรื่องร้องเรียน!AN:AN,"บึงกุ่ม",เรื่องร้องเรียน!CL:CL,"1")</f>
        <v>0</v>
      </c>
      <c r="I106" s="117">
        <f>COUNTIFS(เรื่องร้องเรียน!E:E,"4",เรื่องร้องเรียน!N:N,"บางกะปิ",เรื่องร้องเรียน!AN:AN,"บึงกุ่ม")</f>
        <v>0</v>
      </c>
      <c r="J106" s="152">
        <f>COUNTIFS(เรื่องร้องเรียน!E:E,"4",เรื่องร้องเรียน!N:N,"บางกะปิ",เรื่องร้องเรียน!AN:AN,"บึงกุ่ม",เรื่องร้องเรียน!CL:CL,"1")</f>
        <v>0</v>
      </c>
      <c r="K106" s="152"/>
      <c r="L106" s="152"/>
      <c r="M106" s="117">
        <f t="shared" si="42"/>
        <v>0</v>
      </c>
      <c r="N106" s="122">
        <f t="shared" si="42"/>
        <v>0</v>
      </c>
      <c r="O106" s="153">
        <f>COUNTIFS(เรื่องร้องเรียน!E:E,"1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P106" s="152">
        <f>COUNTIFS(เรื่องร้องเรียน!E:E,"2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Q106" s="152">
        <f>COUNTIFS(เรื่องร้องเรียน!E:E,"3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R106" s="152">
        <f>COUNTIFS(เรื่องร้องเรียน!E:E,"4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S106" s="152"/>
      <c r="T106" s="154">
        <f>SUM(O106:S106)</f>
        <v>0</v>
      </c>
      <c r="U106" s="129">
        <f>M106-N106-T106</f>
        <v>0</v>
      </c>
      <c r="W106" s="129">
        <f t="shared" si="27"/>
        <v>0</v>
      </c>
    </row>
    <row r="107" spans="1:23" ht="21.6" thickBot="1">
      <c r="A107" s="130" t="s">
        <v>71</v>
      </c>
      <c r="B107" s="169" t="s">
        <v>152</v>
      </c>
      <c r="C107" s="132">
        <f>SUM(C108:C114 )</f>
        <v>0</v>
      </c>
      <c r="D107" s="131">
        <f>SUM(D108:D114 )</f>
        <v>0</v>
      </c>
      <c r="E107" s="131">
        <f>SUM(E108:E114 )</f>
        <v>0</v>
      </c>
      <c r="F107" s="131">
        <f>SUM(F108:F114 )</f>
        <v>0</v>
      </c>
      <c r="G107" s="131">
        <f>SUM(G108:G114)</f>
        <v>0</v>
      </c>
      <c r="H107" s="131">
        <f t="shared" ref="H107:N107" si="43">SUM(H108:H114 )</f>
        <v>0</v>
      </c>
      <c r="I107" s="131">
        <f t="shared" si="43"/>
        <v>0</v>
      </c>
      <c r="J107" s="131">
        <f t="shared" si="43"/>
        <v>0</v>
      </c>
      <c r="K107" s="131">
        <f t="shared" si="43"/>
        <v>0</v>
      </c>
      <c r="L107" s="131">
        <f t="shared" si="43"/>
        <v>0</v>
      </c>
      <c r="M107" s="131">
        <f t="shared" si="43"/>
        <v>0</v>
      </c>
      <c r="N107" s="163">
        <f t="shared" si="43"/>
        <v>0</v>
      </c>
      <c r="O107" s="132">
        <f t="shared" ref="O107:T107" si="44">SUM(O108:O114)</f>
        <v>0</v>
      </c>
      <c r="P107" s="132">
        <f t="shared" si="44"/>
        <v>0</v>
      </c>
      <c r="Q107" s="132">
        <f t="shared" si="44"/>
        <v>0</v>
      </c>
      <c r="R107" s="132">
        <f t="shared" si="44"/>
        <v>0</v>
      </c>
      <c r="S107" s="132">
        <f t="shared" si="44"/>
        <v>0</v>
      </c>
      <c r="T107" s="133">
        <f t="shared" si="44"/>
        <v>0</v>
      </c>
      <c r="U107" s="134">
        <f t="shared" si="31"/>
        <v>0</v>
      </c>
      <c r="W107" s="135">
        <f t="shared" si="27"/>
        <v>0</v>
      </c>
    </row>
    <row r="108" spans="1:23">
      <c r="A108" s="173"/>
      <c r="B108" s="170" t="s">
        <v>20</v>
      </c>
      <c r="C108" s="180"/>
      <c r="D108" s="178"/>
      <c r="E108" s="178"/>
      <c r="F108" s="178"/>
      <c r="G108" s="178"/>
      <c r="H108" s="178"/>
      <c r="I108" s="178"/>
      <c r="J108" s="178"/>
      <c r="K108" s="178">
        <f>COUNTIFS(เรื่องร้องเรียน!E:E,"5",เรื่องร้องเรียน!N:N,"บางขุนเทียน")</f>
        <v>0</v>
      </c>
      <c r="L108" s="178">
        <f>COUNTIFS(เรื่องร้องเรียน!E:E,"5",เรื่องร้องเรียน!N:N,"บางขุนเทียน",เรื่องร้องเรียน!CL:CL,"1")</f>
        <v>0</v>
      </c>
      <c r="M108" s="178">
        <f t="shared" ref="M108:N111" si="45">SUM(C108,E108,G108,I108,K108)</f>
        <v>0</v>
      </c>
      <c r="N108" s="179">
        <f t="shared" si="45"/>
        <v>0</v>
      </c>
      <c r="O108" s="180"/>
      <c r="P108" s="178"/>
      <c r="Q108" s="178"/>
      <c r="R108" s="178"/>
      <c r="S108" s="178">
        <f>COUNTIFS(เรื่องร้องเรียน!E:E,"5",เรื่องร้องเรียน!N:N,"บางขุนเทียน",เรื่องร้องเรียน!AQ:AQ,"1",เรื่องร้องเรียน!CL:CL,"")</f>
        <v>0</v>
      </c>
      <c r="T108" s="181">
        <f t="shared" si="34"/>
        <v>0</v>
      </c>
      <c r="U108" s="182">
        <f t="shared" si="31"/>
        <v>0</v>
      </c>
      <c r="V108" s="10" t="s">
        <v>190</v>
      </c>
      <c r="W108" s="129">
        <f t="shared" si="27"/>
        <v>0</v>
      </c>
    </row>
    <row r="109" spans="1:23">
      <c r="A109" s="148"/>
      <c r="B109" s="171" t="s">
        <v>112</v>
      </c>
      <c r="C109" s="246">
        <f>COUNTIFS(เรื่องร้องเรียน!E:E,"1",เรื่องร้องเรียน!N:N,"บางขุนเทียน",เรื่องร้องเรียน!AN:AN,"ท่าข้าม")</f>
        <v>0</v>
      </c>
      <c r="D109" s="109">
        <f>COUNTIFS(เรื่องร้องเรียน!E:E,"1",เรื่องร้องเรียน!N:N,"บางขุนเทียน",เรื่องร้องเรียน!AN:AN,"ท่าข้าม",เรื่องร้องเรียน!CL:CL,"1")</f>
        <v>0</v>
      </c>
      <c r="E109" s="109">
        <f>COUNTIFS(เรื่องร้องเรียน!E:E,"2",เรื่องร้องเรียน!N:N,"บางขุนเทียน",เรื่องร้องเรียน!AN:AN,"ท่าข้าม")</f>
        <v>0</v>
      </c>
      <c r="F109" s="109">
        <f>COUNTIFS(เรื่องร้องเรียน!E:E,"2",เรื่องร้องเรียน!N:N,"บางขุนเทียน",เรื่องร้องเรียน!AN:AN,"ท่าข้าม",เรื่องร้องเรียน!CL:CL,"1")</f>
        <v>0</v>
      </c>
      <c r="G109" s="109">
        <f>COUNTIFS(เรื่องร้องเรียน!E:E,"3",เรื่องร้องเรียน!N:N,"บางขุนเทียน",เรื่องร้องเรียน!AN:AN,"ท่าข้าม")</f>
        <v>0</v>
      </c>
      <c r="H109" s="109">
        <f>COUNTIFS(เรื่องร้องเรียน!E:E,"3",เรื่องร้องเรียน!N:N,"บางขุนเทียน",เรื่องร้องเรียน!AN:AN,"ท่าข้าม",เรื่องร้องเรียน!CL:CL,"1")</f>
        <v>0</v>
      </c>
      <c r="I109" s="109">
        <f>COUNTIFS(เรื่องร้องเรียน!E:E,"4",เรื่องร้องเรียน!N:N,"บางขุนเทียน",เรื่องร้องเรียน!AN:AN,"ท่าข้าม")</f>
        <v>0</v>
      </c>
      <c r="J109" s="144">
        <f>COUNTIFS(เรื่องร้องเรียน!E:E,"4",เรื่องร้องเรียน!N:N,"บางขุนเทียน",เรื่องร้องเรียน!AN:AN,"ท่าข้าม",เรื่องร้องเรียน!CL:CL,"1")</f>
        <v>0</v>
      </c>
      <c r="K109" s="144"/>
      <c r="L109" s="144"/>
      <c r="M109" s="109">
        <f t="shared" si="45"/>
        <v>0</v>
      </c>
      <c r="N109" s="145">
        <f t="shared" si="45"/>
        <v>0</v>
      </c>
      <c r="O109" s="146">
        <f>COUNTIFS(เรื่องร้องเรียน!E:E,"1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P109" s="144">
        <f>COUNTIFS(เรื่องร้องเรียน!E:E,"2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Q109" s="144">
        <f>COUNTIFS(เรื่องร้องเรียน!E:E,"3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R109" s="144">
        <f>COUNTIFS(เรื่องร้องเรียน!E:E,"4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S109" s="144"/>
      <c r="T109" s="147">
        <f t="shared" si="34"/>
        <v>0</v>
      </c>
      <c r="U109" s="183">
        <f t="shared" si="31"/>
        <v>0</v>
      </c>
      <c r="V109" s="10" t="s">
        <v>110</v>
      </c>
      <c r="W109" s="129">
        <f t="shared" si="27"/>
        <v>0</v>
      </c>
    </row>
    <row r="110" spans="1:23">
      <c r="A110" s="148"/>
      <c r="B110" s="171" t="s">
        <v>121</v>
      </c>
      <c r="C110" s="246">
        <f>COUNTIFS(เรื่องร้องเรียน!E:E,"1",เรื่องร้องเรียน!N:N,"บางขุนเทียน",เรื่องร้องเรียน!AN:AN,"เทียนทะเล")</f>
        <v>0</v>
      </c>
      <c r="D110" s="109">
        <f>COUNTIFS(เรื่องร้องเรียน!E:E,"1",เรื่องร้องเรียน!N:N,"บางขุนเทียน",เรื่องร้องเรียน!AN:AN,"เทียนทะเล",เรื่องร้องเรียน!CL:CL,"1")</f>
        <v>0</v>
      </c>
      <c r="E110" s="109">
        <f>COUNTIFS(เรื่องร้องเรียน!E:E,"2",เรื่องร้องเรียน!N:N,"บางขุนเทียน",เรื่องร้องเรียน!AN:AN,"เทียนทะเล")</f>
        <v>0</v>
      </c>
      <c r="F110" s="109">
        <f>COUNTIFS(เรื่องร้องเรียน!E:E,"2",เรื่องร้องเรียน!N:N,"บางขุนเทียน",เรื่องร้องเรียน!AN:AN,"เทียนทะเล",เรื่องร้องเรียน!CL:CL,"1")</f>
        <v>0</v>
      </c>
      <c r="G110" s="109">
        <f>COUNTIFS(เรื่องร้องเรียน!E:E,"3",เรื่องร้องเรียน!N:N,"บางขุนเทียน",เรื่องร้องเรียน!AN:AN,"เทียนทะเล")</f>
        <v>0</v>
      </c>
      <c r="H110" s="109">
        <f>COUNTIFS(เรื่องร้องเรียน!E:E,"3",เรื่องร้องเรียน!N:N,"บางขุนเทียน",เรื่องร้องเรียน!AN:AN,"เทียนทะเล",เรื่องร้องเรียน!CL:CL,"1")</f>
        <v>0</v>
      </c>
      <c r="I110" s="109">
        <f>COUNTIFS(เรื่องร้องเรียน!E:E,"4",เรื่องร้องเรียน!N:N,"บางขุนเทียน",เรื่องร้องเรียน!AN:AN,"เทียนทะเล")</f>
        <v>0</v>
      </c>
      <c r="J110" s="144">
        <f>COUNTIFS(เรื่องร้องเรียน!E:E,"4",เรื่องร้องเรียน!N:N,"บางขุนเทียน",เรื่องร้องเรียน!AN:AN,"เทียนทะเล",เรื่องร้องเรียน!CL:CL,"1")</f>
        <v>0</v>
      </c>
      <c r="K110" s="144"/>
      <c r="L110" s="144"/>
      <c r="M110" s="109">
        <f t="shared" si="45"/>
        <v>0</v>
      </c>
      <c r="N110" s="145">
        <f t="shared" si="45"/>
        <v>0</v>
      </c>
      <c r="O110" s="146">
        <f>COUNTIFS(เรื่องร้องเรียน!E:E,"1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P110" s="144">
        <f>COUNTIFS(เรื่องร้องเรียน!E:E,"2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Q110" s="144">
        <f>COUNTIFS(เรื่องร้องเรียน!E:E,"3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R110" s="144">
        <f>COUNTIFS(เรื่องร้องเรียน!E:E,"4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S110" s="144"/>
      <c r="T110" s="147">
        <f t="shared" si="34"/>
        <v>0</v>
      </c>
      <c r="U110" s="183">
        <f t="shared" si="31"/>
        <v>0</v>
      </c>
      <c r="W110" s="129">
        <f t="shared" si="27"/>
        <v>0</v>
      </c>
    </row>
    <row r="111" spans="1:23">
      <c r="A111" s="148"/>
      <c r="B111" s="171" t="s">
        <v>70</v>
      </c>
      <c r="C111" s="246">
        <f>COUNTIFS(เรื่องร้องเรียน!E:E,"1",เรื่องร้องเรียน!N:N,"บางขุนเทียน",เรื่องร้องเรียน!AN:AN,"แสมดำ")</f>
        <v>0</v>
      </c>
      <c r="D111" s="109">
        <f>COUNTIFS(เรื่องร้องเรียน!E:E,"1",เรื่องร้องเรียน!N:N,"บางขุนเทียน",เรื่องร้องเรียน!AN:AN,"แสมดำ",เรื่องร้องเรียน!CL:CL,"1")</f>
        <v>0</v>
      </c>
      <c r="E111" s="109">
        <f>COUNTIFS(เรื่องร้องเรียน!E:E,"2",เรื่องร้องเรียน!N:N,"บางขุนเทียน",เรื่องร้องเรียน!AN:AN,"แสมดำ")</f>
        <v>0</v>
      </c>
      <c r="F111" s="109">
        <f>COUNTIFS(เรื่องร้องเรียน!E:E,"2",เรื่องร้องเรียน!N:N,"บางขุนเทียน",เรื่องร้องเรียน!AN:AN,"แสมดำ",เรื่องร้องเรียน!CL:CL,"1")</f>
        <v>0</v>
      </c>
      <c r="G111" s="109">
        <f>COUNTIFS(เรื่องร้องเรียน!E:E,"3",เรื่องร้องเรียน!N:N,"บางขุนเทียน",เรื่องร้องเรียน!AN:AN,"แสมดำ")</f>
        <v>0</v>
      </c>
      <c r="H111" s="109">
        <f>COUNTIFS(เรื่องร้องเรียน!E:E,"3",เรื่องร้องเรียน!N:N,"บางขุนเทียน",เรื่องร้องเรียน!AN:AN,"แสมดำ",เรื่องร้องเรียน!CL:CL,"1")</f>
        <v>0</v>
      </c>
      <c r="I111" s="109">
        <f>COUNTIFS(เรื่องร้องเรียน!E:E,"4",เรื่องร้องเรียน!N:N,"บางขุนเทียน",เรื่องร้องเรียน!AN:AN,"แสมดำ")</f>
        <v>0</v>
      </c>
      <c r="J111" s="144">
        <f>COUNTIFS(เรื่องร้องเรียน!E:E,"4",เรื่องร้องเรียน!N:N,"บางขุนเทียน",เรื่องร้องเรียน!AN:AN,"แสมดำ",เรื่องร้องเรียน!CL:CL,"1")</f>
        <v>0</v>
      </c>
      <c r="K111" s="144"/>
      <c r="L111" s="144"/>
      <c r="M111" s="109">
        <f t="shared" si="45"/>
        <v>0</v>
      </c>
      <c r="N111" s="145">
        <f t="shared" si="45"/>
        <v>0</v>
      </c>
      <c r="O111" s="146">
        <f>COUNTIFS(เรื่องร้องเรียน!E:E,"1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P111" s="144">
        <f>COUNTIFS(เรื่องร้องเรียน!E:E,"2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Q111" s="144">
        <f>COUNTIFS(เรื่องร้องเรียน!E:E,"3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R111" s="144">
        <f>COUNTIFS(เรื่องร้องเรียน!E:E,"4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S111" s="144"/>
      <c r="T111" s="147">
        <f t="shared" si="34"/>
        <v>0</v>
      </c>
      <c r="U111" s="183">
        <f t="shared" si="31"/>
        <v>0</v>
      </c>
      <c r="W111" s="129">
        <f t="shared" si="27"/>
        <v>0</v>
      </c>
    </row>
    <row r="112" spans="1:23">
      <c r="A112" s="148"/>
      <c r="B112" s="171" t="s">
        <v>190</v>
      </c>
      <c r="C112" s="246">
        <f>COUNTIFS(เรื่องร้องเรียน!E:E,"1",เรื่องร้องเรียน!N:N,"บางขุนเทียน",เรื่องร้องเรียน!AN:AN,"บางเสาธง")</f>
        <v>0</v>
      </c>
      <c r="D112" s="109">
        <f>COUNTIFS(เรื่องร้องเรียน!E:E,"1",เรื่องร้องเรียน!N:N,"บางขุนเทียน",เรื่องร้องเรียน!AN:AN,"บางเสาธง",เรื่องร้องเรียน!CL:CL,"1")</f>
        <v>0</v>
      </c>
      <c r="E112" s="109">
        <f>COUNTIFS(เรื่องร้องเรียน!E:E,"2",เรื่องร้องเรียน!N:N,"บางขุนเทียน",เรื่องร้องเรียน!AN:AN,"บางเสาธง")</f>
        <v>0</v>
      </c>
      <c r="F112" s="109">
        <f>COUNTIFS(เรื่องร้องเรียน!E:E,"2",เรื่องร้องเรียน!N:N,"บางขุนเทียน",เรื่องร้องเรียน!AN:AN,"บางเสาธง",เรื่องร้องเรียน!CL:CL,"1")</f>
        <v>0</v>
      </c>
      <c r="G112" s="109">
        <f>COUNTIFS(เรื่องร้องเรียน!E:E,"3",เรื่องร้องเรียน!N:N,"บางขุนเทียน",เรื่องร้องเรียน!AN:AN,"บางเสาธง")</f>
        <v>0</v>
      </c>
      <c r="H112" s="109">
        <f>COUNTIFS(เรื่องร้องเรียน!E:E,"3",เรื่องร้องเรียน!N:N,"บางขุนเทียน",เรื่องร้องเรียน!AN:AN,"บางเสาธง",เรื่องร้องเรียน!CL:CL,"1")</f>
        <v>0</v>
      </c>
      <c r="I112" s="109">
        <f>COUNTIFS(เรื่องร้องเรียน!E:E,"4",เรื่องร้องเรียน!N:N,"บางขุนเทียน",เรื่องร้องเรียน!AN:AN,"บางเสาธง")</f>
        <v>0</v>
      </c>
      <c r="J112" s="144">
        <f>COUNTIFS(เรื่องร้องเรียน!E:E,"4",เรื่องร้องเรียน!N:N,"บางขุนเทียน",เรื่องร้องเรียน!AN:AN,"บางเสาธง",เรื่องร้องเรียน!CL:CL,"1")</f>
        <v>0</v>
      </c>
      <c r="K112" s="144"/>
      <c r="L112" s="144"/>
      <c r="M112" s="109">
        <f t="shared" ref="M112:N114" si="46">SUM(C112,E112,G112,I112,K112)</f>
        <v>0</v>
      </c>
      <c r="N112" s="145">
        <f t="shared" si="46"/>
        <v>0</v>
      </c>
      <c r="O112" s="146">
        <f>COUNTIFS(เรื่องร้องเรียน!E:E,"1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P112" s="144">
        <f>COUNTIFS(เรื่องร้องเรียน!E:E,"2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Q112" s="144">
        <f>COUNTIFS(เรื่องร้องเรียน!E:E,"3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R112" s="144">
        <f>COUNTIFS(เรื่องร้องเรียน!E:E,"4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S112" s="144"/>
      <c r="T112" s="147">
        <f>SUM(O112:S112)</f>
        <v>0</v>
      </c>
      <c r="U112" s="183">
        <f>M112-N112-T112</f>
        <v>0</v>
      </c>
      <c r="W112" s="129">
        <f t="shared" si="27"/>
        <v>0</v>
      </c>
    </row>
    <row r="113" spans="1:23">
      <c r="A113" s="148"/>
      <c r="B113" s="171" t="s">
        <v>110</v>
      </c>
      <c r="C113" s="246">
        <f>COUNTIFS(เรื่องร้องเรียน!E:E,"1",เรื่องร้องเรียน!N:N,"บางขุนเทียน",เรื่องร้องเรียน!AN:AN,"บางมด")</f>
        <v>0</v>
      </c>
      <c r="D113" s="109">
        <f>COUNTIFS(เรื่องร้องเรียน!E:E,"1",เรื่องร้องเรียน!N:N,"บางขุนเทียน",เรื่องร้องเรียน!AN:AN,"บางมด",เรื่องร้องเรียน!CL:CL,"1")</f>
        <v>0</v>
      </c>
      <c r="E113" s="109">
        <f>COUNTIFS(เรื่องร้องเรียน!E:E,"2",เรื่องร้องเรียน!N:N,"บางขุนเทียน",เรื่องร้องเรียน!AN:AN,"บางมด")</f>
        <v>0</v>
      </c>
      <c r="F113" s="109">
        <f>COUNTIFS(เรื่องร้องเรียน!E:E,"2",เรื่องร้องเรียน!N:N,"บางขุนเทียน",เรื่องร้องเรียน!AN:AN,"บางมด",เรื่องร้องเรียน!CL:CL,"1")</f>
        <v>0</v>
      </c>
      <c r="G113" s="109">
        <f>COUNTIFS(เรื่องร้องเรียน!E:E,"3",เรื่องร้องเรียน!N:N,"บางขุนเทียน",เรื่องร้องเรียน!AN:AN,"บางมด")</f>
        <v>0</v>
      </c>
      <c r="H113" s="109">
        <f>COUNTIFS(เรื่องร้องเรียน!E:E,"3",เรื่องร้องเรียน!N:N,"บางขุนเทียน",เรื่องร้องเรียน!AN:AN,"บางมด",เรื่องร้องเรียน!CL:CL,"1")</f>
        <v>0</v>
      </c>
      <c r="I113" s="109">
        <f>COUNTIFS(เรื่องร้องเรียน!E:E,"4",เรื่องร้องเรียน!N:N,"บางขุนเทียน",เรื่องร้องเรียน!AN:AN,"บางมด")</f>
        <v>0</v>
      </c>
      <c r="J113" s="144">
        <f>COUNTIFS(เรื่องร้องเรียน!E:E,"4",เรื่องร้องเรียน!N:N,"บางขุนเทียน",เรื่องร้องเรียน!AN:AN,"บางมด",เรื่องร้องเรียน!CL:CL,"1")</f>
        <v>0</v>
      </c>
      <c r="K113" s="144"/>
      <c r="L113" s="144"/>
      <c r="M113" s="109">
        <f t="shared" si="46"/>
        <v>0</v>
      </c>
      <c r="N113" s="145">
        <f t="shared" si="46"/>
        <v>0</v>
      </c>
      <c r="O113" s="146">
        <f>COUNTIFS(เรื่องร้องเรียน!E:E,"1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P113" s="144">
        <f>COUNTIFS(เรื่องร้องเรียน!E:E,"2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Q113" s="144">
        <f>COUNTIFS(เรื่องร้องเรียน!E:E,"3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R113" s="144">
        <f>COUNTIFS(เรื่องร้องเรียน!E:E,"4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S113" s="144"/>
      <c r="T113" s="147">
        <f>SUM(O113:S113)</f>
        <v>0</v>
      </c>
      <c r="U113" s="183">
        <f>M113-N113-T113</f>
        <v>0</v>
      </c>
      <c r="W113" s="129">
        <f t="shared" si="27"/>
        <v>0</v>
      </c>
    </row>
    <row r="114" spans="1:23" ht="21.6" thickBot="1">
      <c r="A114" s="155"/>
      <c r="B114" s="162" t="s">
        <v>71</v>
      </c>
      <c r="C114" s="492">
        <f>COUNTIFS(เรื่องร้องเรียน!E:E,"1",เรื่องร้องเรียน!N:N,"บางขุนเทียน",เรื่องร้องเรียน!AN:AN,"บางขุนเทียน")</f>
        <v>0</v>
      </c>
      <c r="D114" s="493">
        <f>COUNTIFS(เรื่องร้องเรียน!E:E,"1",เรื่องร้องเรียน!N:N,"บางขุนเทียน",เรื่องร้องเรียน!AN:AN,"บางขุนเทียน",เรื่องร้องเรียน!CL:CL,"1")</f>
        <v>0</v>
      </c>
      <c r="E114" s="493">
        <f>COUNTIFS(เรื่องร้องเรียน!E:E,"2",เรื่องร้องเรียน!N:N,"บางขุนเทียน",เรื่องร้องเรียน!AN:AN,"บางขุนเทียน")</f>
        <v>0</v>
      </c>
      <c r="F114" s="493">
        <f>COUNTIFS(เรื่องร้องเรียน!E:E,"2",เรื่องร้องเรียน!N:N,"บางขุนเทียน",เรื่องร้องเรียน!AN:AN,"บางขุนเทียน",เรื่องร้องเรียน!CL:CL,"1")</f>
        <v>0</v>
      </c>
      <c r="G114" s="493">
        <f>COUNTIFS(เรื่องร้องเรียน!E:E,"3",เรื่องร้องเรียน!N:N,"บางขุนเทียน",เรื่องร้องเรียน!AN:AN,"บางขุนเทียน")</f>
        <v>0</v>
      </c>
      <c r="H114" s="493">
        <f>COUNTIFS(เรื่องร้องเรียน!E:E,"3",เรื่องร้องเรียน!N:N,"บางขุนเทียน",เรื่องร้องเรียน!AN:AN,"บางขุนเทียน",เรื่องร้องเรียน!CL:CL,"1")</f>
        <v>0</v>
      </c>
      <c r="I114" s="493">
        <f>COUNTIFS(เรื่องร้องเรียน!E:E,"4",เรื่องร้องเรียน!N:N,"บางขุนเทียน",เรื่องร้องเรียน!AN:AN,"บางขุนเทียน")</f>
        <v>0</v>
      </c>
      <c r="J114" s="197">
        <f>COUNTIFS(เรื่องร้องเรียน!E:E,"4",เรื่องร้องเรียน!N:N,"บางขุนเทียน",เรื่องร้องเรียน!AN:AN,"บางขุนเทียน",เรื่องร้องเรียน!CL:CL,"1")</f>
        <v>0</v>
      </c>
      <c r="K114" s="197"/>
      <c r="L114" s="197"/>
      <c r="M114" s="493">
        <f t="shared" si="46"/>
        <v>0</v>
      </c>
      <c r="N114" s="494">
        <f t="shared" si="46"/>
        <v>0</v>
      </c>
      <c r="O114" s="164">
        <f>COUNTIFS(เรื่องร้องเรียน!E:E,"1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P114" s="197">
        <f>COUNTIFS(เรื่องร้องเรียน!E:E,"2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Q114" s="197">
        <f>COUNTIFS(เรื่องร้องเรียน!E:E,"3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R114" s="197">
        <f>COUNTIFS(เรื่องร้องเรียน!E:E,"4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S114" s="197"/>
      <c r="T114" s="198">
        <f>SUM(O114:S114)</f>
        <v>0</v>
      </c>
      <c r="U114" s="128">
        <f>M114-N114-T114</f>
        <v>0</v>
      </c>
      <c r="W114" s="129"/>
    </row>
    <row r="115" spans="1:23" ht="21.6" thickBot="1">
      <c r="A115" s="130" t="s">
        <v>107</v>
      </c>
      <c r="B115" s="169" t="s">
        <v>152</v>
      </c>
      <c r="C115" s="132">
        <f>SUM(C116:C120)</f>
        <v>0</v>
      </c>
      <c r="D115" s="131">
        <f t="shared" ref="D115:T115" si="47">SUM(D116:D120)</f>
        <v>0</v>
      </c>
      <c r="E115" s="131">
        <f t="shared" si="47"/>
        <v>0</v>
      </c>
      <c r="F115" s="131">
        <f t="shared" si="47"/>
        <v>0</v>
      </c>
      <c r="G115" s="131">
        <f t="shared" si="47"/>
        <v>0</v>
      </c>
      <c r="H115" s="131">
        <f t="shared" si="47"/>
        <v>0</v>
      </c>
      <c r="I115" s="131">
        <f t="shared" si="47"/>
        <v>0</v>
      </c>
      <c r="J115" s="131">
        <f t="shared" si="47"/>
        <v>0</v>
      </c>
      <c r="K115" s="131">
        <f t="shared" si="47"/>
        <v>0</v>
      </c>
      <c r="L115" s="131">
        <f t="shared" si="47"/>
        <v>0</v>
      </c>
      <c r="M115" s="131">
        <f t="shared" si="47"/>
        <v>0</v>
      </c>
      <c r="N115" s="163">
        <f t="shared" si="47"/>
        <v>0</v>
      </c>
      <c r="O115" s="132">
        <f t="shared" si="47"/>
        <v>0</v>
      </c>
      <c r="P115" s="132">
        <f t="shared" si="47"/>
        <v>0</v>
      </c>
      <c r="Q115" s="132">
        <f t="shared" si="47"/>
        <v>0</v>
      </c>
      <c r="R115" s="132">
        <f t="shared" si="47"/>
        <v>0</v>
      </c>
      <c r="S115" s="132">
        <f t="shared" si="47"/>
        <v>0</v>
      </c>
      <c r="T115" s="133">
        <f t="shared" si="47"/>
        <v>0</v>
      </c>
      <c r="U115" s="134">
        <f t="shared" si="31"/>
        <v>0</v>
      </c>
      <c r="W115" s="135">
        <f t="shared" si="27"/>
        <v>0</v>
      </c>
    </row>
    <row r="116" spans="1:23">
      <c r="A116" s="173"/>
      <c r="B116" s="170" t="s">
        <v>20</v>
      </c>
      <c r="C116" s="140"/>
      <c r="D116" s="138"/>
      <c r="E116" s="138"/>
      <c r="F116" s="138"/>
      <c r="G116" s="138"/>
      <c r="H116" s="138"/>
      <c r="I116" s="138"/>
      <c r="J116" s="138"/>
      <c r="K116" s="138">
        <f>COUNTIFS(เรื่องร้องเรียน!E:E,"5",เรื่องร้องเรียน!N:N,"บางเขน")</f>
        <v>0</v>
      </c>
      <c r="L116" s="138">
        <f>COUNTIFS(เรื่องร้องเรียน!E:E,"5",เรื่องร้องเรียน!N:N,"บางเขน",เรื่องร้องเรียน!CL:CL,"1")</f>
        <v>0</v>
      </c>
      <c r="M116" s="138">
        <f t="shared" ref="M116:N119" si="48">SUM(C116,E116,G116,I116,K116)</f>
        <v>0</v>
      </c>
      <c r="N116" s="139">
        <f t="shared" si="48"/>
        <v>0</v>
      </c>
      <c r="O116" s="140"/>
      <c r="P116" s="138"/>
      <c r="Q116" s="138"/>
      <c r="R116" s="138"/>
      <c r="S116" s="138">
        <f>COUNTIFS(เรื่องร้องเรียน!E:E,"5",เรื่องร้องเรียน!N:N,"บางเขน",เรื่องร้องเรียน!AQ:AQ,"1",เรื่องร้องเรียน!CL:CL,"")</f>
        <v>0</v>
      </c>
      <c r="T116" s="141">
        <f t="shared" si="34"/>
        <v>0</v>
      </c>
      <c r="U116" s="129">
        <f t="shared" si="31"/>
        <v>0</v>
      </c>
      <c r="W116" s="129">
        <f t="shared" si="27"/>
        <v>0</v>
      </c>
    </row>
    <row r="117" spans="1:23">
      <c r="A117" s="148"/>
      <c r="B117" s="171" t="s">
        <v>77</v>
      </c>
      <c r="C117" s="246">
        <f>COUNTIFS(เรื่องร้องเรียน!E:E,"1",เรื่องร้องเรียน!N:N,"บางเขน",เรื่องร้องเรียน!AN:AN,"คันนายาว")</f>
        <v>0</v>
      </c>
      <c r="D117" s="109">
        <f>COUNTIFS(เรื่องร้องเรียน!E:E,"1",เรื่องร้องเรียน!N:N,"บางเขน",เรื่องร้องเรียน!AN:AN,"คันนายาว",เรื่องร้องเรียน!CL:CL,"1")</f>
        <v>0</v>
      </c>
      <c r="E117" s="109">
        <f>COUNTIFS(เรื่องร้องเรียน!E:E,"2",เรื่องร้องเรียน!N:N,"บางเขน",เรื่องร้องเรียน!AN:AN,"คันนายาว")</f>
        <v>0</v>
      </c>
      <c r="F117" s="109">
        <f>COUNTIFS(เรื่องร้องเรียน!E:E,"2",เรื่องร้องเรียน!N:N,"บางเขน",เรื่องร้องเรียน!AN:AN,"คันนายาว",เรื่องร้องเรียน!CL:CL,"1")</f>
        <v>0</v>
      </c>
      <c r="G117" s="109">
        <f>COUNTIFS(เรื่องร้องเรียน!E:E,"3",เรื่องร้องเรียน!N:N,"บางเขน",เรื่องร้องเรียน!AN:AN,"คันนายาว")</f>
        <v>0</v>
      </c>
      <c r="H117" s="109">
        <f>COUNTIFS(เรื่องร้องเรียน!E:E,"3",เรื่องร้องเรียน!N:N,"บางเขน",เรื่องร้องเรียน!AN:AN,"คันนายาว",เรื่องร้องเรียน!CL:CL,"1")</f>
        <v>0</v>
      </c>
      <c r="I117" s="109">
        <f>COUNTIFS(เรื่องร้องเรียน!E:E,"4",เรื่องร้องเรียน!N:N,"บางเขน",เรื่องร้องเรียน!AN:AN,"คันนายาว")</f>
        <v>0</v>
      </c>
      <c r="J117" s="144">
        <f>COUNTIFS(เรื่องร้องเรียน!E:E,"4",เรื่องร้องเรียน!N:N,"บางเขน",เรื่องร้องเรียน!AN:AN,"คันนายาว",เรื่องร้องเรียน!CL:CL,"1")</f>
        <v>0</v>
      </c>
      <c r="K117" s="144"/>
      <c r="L117" s="144"/>
      <c r="M117" s="109">
        <f t="shared" si="48"/>
        <v>0</v>
      </c>
      <c r="N117" s="145">
        <f t="shared" si="48"/>
        <v>0</v>
      </c>
      <c r="O117" s="146">
        <f>COUNTIFS(เรื่องร้องเรียน!E:E,"1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P117" s="144">
        <f>COUNTIFS(เรื่องร้องเรียน!E:E,"2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Q117" s="144">
        <f>COUNTIFS(เรื่องร้องเรียน!E:E,"3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R117" s="144">
        <f>COUNTIFS(เรื่องร้องเรียน!E:E,"4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S117" s="144"/>
      <c r="T117" s="147">
        <f t="shared" si="34"/>
        <v>0</v>
      </c>
      <c r="U117" s="129">
        <f t="shared" si="31"/>
        <v>0</v>
      </c>
      <c r="V117" s="10" t="s">
        <v>143</v>
      </c>
      <c r="W117" s="129">
        <f t="shared" si="27"/>
        <v>0</v>
      </c>
    </row>
    <row r="118" spans="1:23">
      <c r="A118" s="148"/>
      <c r="B118" s="177" t="s">
        <v>69</v>
      </c>
      <c r="C118" s="123">
        <f>COUNTIFS(เรื่องร้องเรียน!E:E,"1",เรื่องร้องเรียน!N:N,"บางเขน",เรื่องร้องเรียน!AN:AN,"โคกคราม")</f>
        <v>0</v>
      </c>
      <c r="D118" s="117">
        <f>COUNTIFS(เรื่องร้องเรียน!E:E,"1",เรื่องร้องเรียน!N:N,"บางเขน",เรื่องร้องเรียน!AN:AN,"โคกคราม",เรื่องร้องเรียน!CL:CL,"1")</f>
        <v>0</v>
      </c>
      <c r="E118" s="117">
        <f>COUNTIFS(เรื่องร้องเรียน!E:E,"2",เรื่องร้องเรียน!N:N,"บางเขน",เรื่องร้องเรียน!AN:AN,"โคกคราม")</f>
        <v>0</v>
      </c>
      <c r="F118" s="117">
        <f>COUNTIFS(เรื่องร้องเรียน!E:E,"2",เรื่องร้องเรียน!N:N,"บางเขน",เรื่องร้องเรียน!AN:AN,"โคกคราม",เรื่องร้องเรียน!CL:CL,"1")</f>
        <v>0</v>
      </c>
      <c r="G118" s="117">
        <f>COUNTIFS(เรื่องร้องเรียน!E:E,"3",เรื่องร้องเรียน!N:N,"บางเขน",เรื่องร้องเรียน!AN:AN,"โคกคราม")</f>
        <v>0</v>
      </c>
      <c r="H118" s="117">
        <f>COUNTIFS(เรื่องร้องเรียน!E:E,"3",เรื่องร้องเรียน!N:N,"บางเขน",เรื่องร้องเรียน!AN:AN,"โคกคราม",เรื่องร้องเรียน!CL:CL,"1")</f>
        <v>0</v>
      </c>
      <c r="I118" s="117">
        <f>COUNTIFS(เรื่องร้องเรียน!E:E,"4",เรื่องร้องเรียน!N:N,"บางเขน",เรื่องร้องเรียน!AN:AN,"โคกคราม")</f>
        <v>0</v>
      </c>
      <c r="J118" s="152">
        <f>COUNTIFS(เรื่องร้องเรียน!E:E,"4",เรื่องร้องเรียน!N:N,"บางเขน",เรื่องร้องเรียน!AN:AN,"โคกคราม",เรื่องร้องเรียน!CL:CL,"1")</f>
        <v>0</v>
      </c>
      <c r="K118" s="152"/>
      <c r="L118" s="152"/>
      <c r="M118" s="117">
        <f t="shared" si="48"/>
        <v>0</v>
      </c>
      <c r="N118" s="122">
        <f t="shared" si="48"/>
        <v>0</v>
      </c>
      <c r="O118" s="153">
        <f>COUNTIFS(เรื่องร้องเรียน!E:E,"1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P118" s="152">
        <f>COUNTIFS(เรื่องร้องเรียน!E:E,"2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Q118" s="152">
        <f>COUNTIFS(เรื่องร้องเรียน!E:E,"3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R118" s="152">
        <f>COUNTIFS(เรื่องร้องเรียน!E:E,"4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S118" s="152"/>
      <c r="T118" s="154">
        <f t="shared" si="34"/>
        <v>0</v>
      </c>
      <c r="U118" s="129">
        <f t="shared" si="31"/>
        <v>0</v>
      </c>
      <c r="W118" s="129">
        <f t="shared" si="27"/>
        <v>0</v>
      </c>
    </row>
    <row r="119" spans="1:23">
      <c r="A119" s="148"/>
      <c r="B119" s="171" t="s">
        <v>107</v>
      </c>
      <c r="C119" s="246">
        <f>COUNTIFS(เรื่องร้องเรียน!E:E,"1",เรื่องร้องเรียน!N:N,"บางเขน",เรื่องร้องเรียน!AN:AN,"บางเขน")</f>
        <v>0</v>
      </c>
      <c r="D119" s="109">
        <f>COUNTIFS(เรื่องร้องเรียน!E:E,"1",เรื่องร้องเรียน!N:N,"บางเขน",เรื่องร้องเรียน!AN:AN,"บางเขน",เรื่องร้องเรียน!CL:CL,"1")</f>
        <v>0</v>
      </c>
      <c r="E119" s="109">
        <f>COUNTIFS(เรื่องร้องเรียน!E:E,"2",เรื่องร้องเรียน!N:N,"บางเขน",เรื่องร้องเรียน!AN:AN,"บางเขน")</f>
        <v>0</v>
      </c>
      <c r="F119" s="109">
        <f>COUNTIFS(เรื่องร้องเรียน!E:E,"2",เรื่องร้องเรียน!N:N,"บางเขน",เรื่องร้องเรียน!AN:AN,"บางเขน",เรื่องร้องเรียน!CL:CL,"1")</f>
        <v>0</v>
      </c>
      <c r="G119" s="109">
        <f>COUNTIFS(เรื่องร้องเรียน!E:E,"3",เรื่องร้องเรียน!N:N,"บางเขน",เรื่องร้องเรียน!AN:AN,"บางเขน")</f>
        <v>0</v>
      </c>
      <c r="H119" s="109">
        <f>COUNTIFS(เรื่องร้องเรียน!E:E,"3",เรื่องร้องเรียน!N:N,"บางเขน",เรื่องร้องเรียน!AN:AN,"บางเขน",เรื่องร้องเรียน!CL:CL,"1")</f>
        <v>0</v>
      </c>
      <c r="I119" s="109">
        <f>COUNTIFS(เรื่องร้องเรียน!E:E,"4",เรื่องร้องเรียน!N:N,"บางเขน",เรื่องร้องเรียน!AN:AN,"บางเขน")</f>
        <v>0</v>
      </c>
      <c r="J119" s="144">
        <f>COUNTIFS(เรื่องร้องเรียน!E:E,"4",เรื่องร้องเรียน!N:N,"บางเขน",เรื่องร้องเรียน!AN:AN,"บางเขน",เรื่องร้องเรียน!CL:CL,"1")</f>
        <v>0</v>
      </c>
      <c r="K119" s="144"/>
      <c r="L119" s="144"/>
      <c r="M119" s="109">
        <f t="shared" si="48"/>
        <v>0</v>
      </c>
      <c r="N119" s="145">
        <f t="shared" si="48"/>
        <v>0</v>
      </c>
      <c r="O119" s="146">
        <f>COUNTIFS(เรื่องร้องเรียน!E:E,"1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P119" s="144">
        <f>COUNTIFS(เรื่องร้องเรียน!E:E,"2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Q119" s="144">
        <f>COUNTIFS(เรื่องร้องเรียน!E:E,"3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R119" s="144">
        <f>COUNTIFS(เรื่องร้องเรียน!E:E,"4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S119" s="144"/>
      <c r="T119" s="147">
        <f t="shared" si="34"/>
        <v>0</v>
      </c>
      <c r="U119" s="183">
        <f t="shared" si="31"/>
        <v>0</v>
      </c>
      <c r="W119" s="129">
        <f t="shared" si="27"/>
        <v>0</v>
      </c>
    </row>
    <row r="120" spans="1:23" ht="21.6" thickBot="1">
      <c r="A120" s="174"/>
      <c r="B120" s="172" t="s">
        <v>143</v>
      </c>
      <c r="C120" s="231">
        <f>COUNTIFS(เรื่องร้องเรียน!E:E,"1",เรื่องร้องเรียน!N:N,"บางเขน",เรื่องร้องเรียน!AN:AN,"สายไหม")</f>
        <v>0</v>
      </c>
      <c r="D120" s="124">
        <f>COUNTIFS(เรื่องร้องเรียน!E:E,"1",เรื่องร้องเรียน!N:N,"บางเขน",เรื่องร้องเรียน!AN:AN,"สายไหม",เรื่องร้องเรียน!CL:CL,"1")</f>
        <v>0</v>
      </c>
      <c r="E120" s="124">
        <f>COUNTIFS(เรื่องร้องเรียน!E:E,"2",เรื่องร้องเรียน!N:N,"บางเขน",เรื่องร้องเรียน!AN:AN,"สายไหม")</f>
        <v>0</v>
      </c>
      <c r="F120" s="124">
        <f>COUNTIFS(เรื่องร้องเรียน!E:E,"2",เรื่องร้องเรียน!N:N,"บางเขน",เรื่องร้องเรียน!AN:AN,"สายไหม",เรื่องร้องเรียน!CL:CL,"1")</f>
        <v>0</v>
      </c>
      <c r="G120" s="124">
        <f>COUNTIFS(เรื่องร้องเรียน!E:E,"3",เรื่องร้องเรียน!N:N,"บางเขน",เรื่องร้องเรียน!AN:AN,"สายไหม")</f>
        <v>0</v>
      </c>
      <c r="H120" s="124">
        <f>COUNTIFS(เรื่องร้องเรียน!E:E,"3",เรื่องร้องเรียน!N:N,"บางเขน",เรื่องร้องเรียน!AN:AN,"สายไหม",เรื่องร้องเรียน!CL:CL,"1")</f>
        <v>0</v>
      </c>
      <c r="I120" s="124">
        <f>COUNTIFS(เรื่องร้องเรียน!E:E,"4",เรื่องร้องเรียน!N:N,"บางเขน",เรื่องร้องเรียน!AN:AN,"สายไหม")</f>
        <v>0</v>
      </c>
      <c r="J120" s="157">
        <f>COUNTIFS(เรื่องร้องเรียน!E:E,"4",เรื่องร้องเรียน!N:N,"บางเขน",เรื่องร้องเรียน!AN:AN,"สายไหม",เรื่องร้องเรียน!CL:CL,"1")</f>
        <v>0</v>
      </c>
      <c r="K120" s="157"/>
      <c r="L120" s="157"/>
      <c r="M120" s="124">
        <f>SUM(C120,E120,G120,I120,K120)</f>
        <v>0</v>
      </c>
      <c r="N120" s="158">
        <f>SUM(D120,F120,H120,J120,L120)</f>
        <v>0</v>
      </c>
      <c r="O120" s="159">
        <f>COUNTIFS(เรื่องร้องเรียน!E:E,"1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P120" s="157">
        <f>COUNTIFS(เรื่องร้องเรียน!E:E,"2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Q120" s="157">
        <f>COUNTIFS(เรื่องร้องเรียน!E:E,"3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R120" s="157">
        <f>COUNTIFS(เรื่องร้องเรียน!E:E,"4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S120" s="157"/>
      <c r="T120" s="160">
        <f>SUM(O120:S120)</f>
        <v>0</v>
      </c>
      <c r="U120" s="184">
        <f>M120-N120-T120</f>
        <v>0</v>
      </c>
      <c r="W120" s="129">
        <f t="shared" si="27"/>
        <v>0</v>
      </c>
    </row>
    <row r="121" spans="1:23" ht="21.6" thickBot="1">
      <c r="A121" s="175" t="s">
        <v>105</v>
      </c>
      <c r="B121" s="169" t="s">
        <v>152</v>
      </c>
      <c r="C121" s="95">
        <f>SUM(C122:C124)</f>
        <v>0</v>
      </c>
      <c r="D121" s="92">
        <f t="shared" ref="D121:T121" si="49">SUM(D122:D124)</f>
        <v>0</v>
      </c>
      <c r="E121" s="92">
        <f t="shared" si="49"/>
        <v>0</v>
      </c>
      <c r="F121" s="92">
        <f t="shared" si="49"/>
        <v>0</v>
      </c>
      <c r="G121" s="92">
        <f t="shared" si="49"/>
        <v>0</v>
      </c>
      <c r="H121" s="92">
        <f t="shared" si="49"/>
        <v>0</v>
      </c>
      <c r="I121" s="92">
        <f t="shared" si="49"/>
        <v>0</v>
      </c>
      <c r="J121" s="92">
        <f t="shared" si="49"/>
        <v>0</v>
      </c>
      <c r="K121" s="92">
        <f t="shared" si="49"/>
        <v>0</v>
      </c>
      <c r="L121" s="92">
        <f t="shared" si="49"/>
        <v>0</v>
      </c>
      <c r="M121" s="92">
        <f t="shared" si="49"/>
        <v>0</v>
      </c>
      <c r="N121" s="94">
        <f t="shared" si="49"/>
        <v>0</v>
      </c>
      <c r="O121" s="95">
        <f t="shared" si="49"/>
        <v>0</v>
      </c>
      <c r="P121" s="95">
        <f t="shared" si="49"/>
        <v>0</v>
      </c>
      <c r="Q121" s="95">
        <f t="shared" si="49"/>
        <v>0</v>
      </c>
      <c r="R121" s="95">
        <f t="shared" si="49"/>
        <v>0</v>
      </c>
      <c r="S121" s="95">
        <f t="shared" si="49"/>
        <v>0</v>
      </c>
      <c r="T121" s="176">
        <f t="shared" si="49"/>
        <v>0</v>
      </c>
      <c r="U121" s="134">
        <f t="shared" si="31"/>
        <v>0</v>
      </c>
      <c r="W121" s="135">
        <f t="shared" si="27"/>
        <v>0</v>
      </c>
    </row>
    <row r="122" spans="1:23">
      <c r="A122" s="173"/>
      <c r="B122" s="170" t="s">
        <v>20</v>
      </c>
      <c r="C122" s="140"/>
      <c r="D122" s="138"/>
      <c r="E122" s="138"/>
      <c r="F122" s="138"/>
      <c r="G122" s="138"/>
      <c r="H122" s="138"/>
      <c r="I122" s="138"/>
      <c r="J122" s="138"/>
      <c r="K122" s="138">
        <f>COUNTIFS(เรื่องร้องเรียน!E:E,"5",เรื่องร้องเรียน!N:N,"บางคอแหลม")</f>
        <v>0</v>
      </c>
      <c r="L122" s="138">
        <f>COUNTIFS(เรื่องร้องเรียน!E:E,"5",เรื่องร้องเรียน!N:N,"บางคอแหลม",เรื่องร้องเรียน!CL:CL,"1")</f>
        <v>0</v>
      </c>
      <c r="M122" s="138">
        <f t="shared" ref="M122:N124" si="50">SUM(C122,E122,G122,I122,K122)</f>
        <v>0</v>
      </c>
      <c r="N122" s="139">
        <f t="shared" si="50"/>
        <v>0</v>
      </c>
      <c r="O122" s="140"/>
      <c r="P122" s="138"/>
      <c r="Q122" s="138"/>
      <c r="R122" s="138"/>
      <c r="S122" s="138">
        <f>COUNTIFS(เรื่องร้องเรียน!E:E,"5",เรื่องร้องเรียน!N:N,"บางคอแหลม",เรื่องร้องเรียน!AQ:AQ,"1",เรื่องร้องเรียน!CL:CL,"")</f>
        <v>0</v>
      </c>
      <c r="T122" s="141">
        <f t="shared" si="34"/>
        <v>0</v>
      </c>
      <c r="U122" s="129">
        <f t="shared" si="31"/>
        <v>0</v>
      </c>
      <c r="V122" s="10" t="s">
        <v>80</v>
      </c>
      <c r="W122" s="129">
        <f t="shared" si="27"/>
        <v>0</v>
      </c>
    </row>
    <row r="123" spans="1:23">
      <c r="A123" s="148"/>
      <c r="B123" s="171" t="s">
        <v>104</v>
      </c>
      <c r="C123" s="123">
        <f>COUNTIFS(เรื่องร้องเรียน!E:E,"1",เรื่องร้องเรียน!N:N,"บางคอแหลม",เรื่องร้องเรียน!AN:AN,"วัดพระยาไกร")</f>
        <v>0</v>
      </c>
      <c r="D123" s="117">
        <f>COUNTIFS(เรื่องร้องเรียน!E:E,"1",เรื่องร้องเรียน!N:N,"บางคอแหลม",เรื่องร้องเรียน!AN:AN,"วัดพระยาไกร",เรื่องร้องเรียน!CL:CL,"1")</f>
        <v>0</v>
      </c>
      <c r="E123" s="117">
        <f>COUNTIFS(เรื่องร้องเรียน!E:E,"2",เรื่องร้องเรียน!N:N,"บางคอแหลม",เรื่องร้องเรียน!AN:AN,"วัดพระยาไกร")</f>
        <v>0</v>
      </c>
      <c r="F123" s="117">
        <f>COUNTIFS(เรื่องร้องเรียน!E:E,"2",เรื่องร้องเรียน!N:N,"บางคอแหลม",เรื่องร้องเรียน!AN:AN,"วัดพระยาไกร",เรื่องร้องเรียน!CL:CL,"1")</f>
        <v>0</v>
      </c>
      <c r="G123" s="117">
        <f>COUNTIFS(เรื่องร้องเรียน!E:E,"3",เรื่องร้องเรียน!N:N,"บางคอแหลม",เรื่องร้องเรียน!AN:AN,"วัดพระยาไกร")</f>
        <v>0</v>
      </c>
      <c r="H123" s="117">
        <f>COUNTIFS(เรื่องร้องเรียน!E:E,"3",เรื่องร้องเรียน!N:N,"บางคอแหลม",เรื่องร้องเรียน!AN:AN,"วัดพระยาไกร",เรื่องร้องเรียน!CL:CL,"1")</f>
        <v>0</v>
      </c>
      <c r="I123" s="117">
        <f>COUNTIFS(เรื่องร้องเรียน!E:E,"4",เรื่องร้องเรียน!N:N,"บางคอแหลม",เรื่องร้องเรียน!AN:AN,"วัดพระยาไกร")</f>
        <v>0</v>
      </c>
      <c r="J123" s="152">
        <f>COUNTIFS(เรื่องร้องเรียน!E:E,"4",เรื่องร้องเรียน!N:N,"บางคอแหลม",เรื่องร้องเรียน!AN:AN,"วัดพระยาไกร",เรื่องร้องเรียน!CL:CL,"1")</f>
        <v>0</v>
      </c>
      <c r="K123" s="152"/>
      <c r="L123" s="152"/>
      <c r="M123" s="117">
        <f t="shared" si="50"/>
        <v>0</v>
      </c>
      <c r="N123" s="122">
        <f t="shared" si="50"/>
        <v>0</v>
      </c>
      <c r="O123" s="153">
        <f>COUNTIFS(เรื่องร้องเรียน!E:E,"1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P123" s="152">
        <f>COUNTIFS(เรื่องร้องเรียน!E:E,"2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Q123" s="152">
        <f>COUNTIFS(เรื่องร้องเรียน!E:E,"3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R123" s="152">
        <f>COUNTIFS(เรื่องร้องเรียน!E:E,"4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S123" s="152"/>
      <c r="T123" s="154">
        <f t="shared" si="34"/>
        <v>0</v>
      </c>
      <c r="U123" s="129">
        <f t="shared" si="31"/>
        <v>0</v>
      </c>
      <c r="W123" s="129">
        <f t="shared" si="27"/>
        <v>0</v>
      </c>
    </row>
    <row r="124" spans="1:23" ht="21.6" thickBot="1">
      <c r="A124" s="150"/>
      <c r="B124" s="177" t="s">
        <v>80</v>
      </c>
      <c r="C124" s="123">
        <f>COUNTIFS(เรื่องร้องเรียน!E:E,"1",เรื่องร้องเรียน!N:N,"บางคอแหลม",เรื่องร้องเรียน!AN:AN,"ยานนาวา")</f>
        <v>0</v>
      </c>
      <c r="D124" s="117">
        <f>COUNTIFS(เรื่องร้องเรียน!E:E,"1",เรื่องร้องเรียน!N:N,"บางคอแหลม",เรื่องร้องเรียน!AN:AN,"ยานนาวา",เรื่องร้องเรียน!CL:CL,"1")</f>
        <v>0</v>
      </c>
      <c r="E124" s="117">
        <f>COUNTIFS(เรื่องร้องเรียน!E:E,"2",เรื่องร้องเรียน!N:N,"บางคอแหลม",เรื่องร้องเรียน!AN:AN,"ยานนาวา")</f>
        <v>0</v>
      </c>
      <c r="F124" s="117">
        <f>COUNTIFS(เรื่องร้องเรียน!E:E,"2",เรื่องร้องเรียน!N:N,"บางคอแหลม",เรื่องร้องเรียน!AN:AN,"ยานนาวา",เรื่องร้องเรียน!CL:CL,"1")</f>
        <v>0</v>
      </c>
      <c r="G124" s="117">
        <f>COUNTIFS(เรื่องร้องเรียน!E:E,"3",เรื่องร้องเรียน!N:N,"บางคอแหลม",เรื่องร้องเรียน!AN:AN,"ยานนาวา")</f>
        <v>0</v>
      </c>
      <c r="H124" s="117">
        <f>COUNTIFS(เรื่องร้องเรียน!E:E,"3",เรื่องร้องเรียน!N:N,"บางคอแหลม",เรื่องร้องเรียน!AN:AN,"ยานนาวา",เรื่องร้องเรียน!CL:CL,"1")</f>
        <v>0</v>
      </c>
      <c r="I124" s="117">
        <f>COUNTIFS(เรื่องร้องเรียน!E:E,"4",เรื่องร้องเรียน!N:N,"บางคอแหลม",เรื่องร้องเรียน!AN:AN,"ยานนาวา")</f>
        <v>0</v>
      </c>
      <c r="J124" s="152">
        <f>COUNTIFS(เรื่องร้องเรียน!E:E,"4",เรื่องร้องเรียน!N:N,"บางคอแหลม",เรื่องร้องเรียน!AN:AN,"ยานนาวา",เรื่องร้องเรียน!CL:CL,"1")</f>
        <v>0</v>
      </c>
      <c r="K124" s="152"/>
      <c r="L124" s="152"/>
      <c r="M124" s="117">
        <f t="shared" si="50"/>
        <v>0</v>
      </c>
      <c r="N124" s="122">
        <f t="shared" si="50"/>
        <v>0</v>
      </c>
      <c r="O124" s="153">
        <f>COUNTIFS(เรื่องร้องเรียน!E:E,"1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P124" s="152">
        <f>COUNTIFS(เรื่องร้องเรียน!E:E,"2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Q124" s="152">
        <f>COUNTIFS(เรื่องร้องเรียน!E:E,"3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R124" s="152">
        <f>COUNTIFS(เรื่องร้องเรียน!E:E,"4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S124" s="152"/>
      <c r="T124" s="154">
        <f>SUM(O124:S124)</f>
        <v>0</v>
      </c>
      <c r="U124" s="129">
        <f>M124-N124-T124</f>
        <v>0</v>
      </c>
      <c r="W124" s="129">
        <f t="shared" si="27"/>
        <v>0</v>
      </c>
    </row>
    <row r="125" spans="1:23" ht="21.6" thickBot="1">
      <c r="A125" s="130" t="s">
        <v>75</v>
      </c>
      <c r="B125" s="169" t="s">
        <v>152</v>
      </c>
      <c r="C125" s="132">
        <f t="shared" ref="C125:U125" si="51">SUM(C126:C131)</f>
        <v>0</v>
      </c>
      <c r="D125" s="131">
        <f t="shared" si="51"/>
        <v>0</v>
      </c>
      <c r="E125" s="131">
        <f t="shared" si="51"/>
        <v>0</v>
      </c>
      <c r="F125" s="131">
        <f t="shared" si="51"/>
        <v>0</v>
      </c>
      <c r="G125" s="131">
        <f t="shared" si="51"/>
        <v>0</v>
      </c>
      <c r="H125" s="131">
        <f t="shared" si="51"/>
        <v>0</v>
      </c>
      <c r="I125" s="131">
        <f t="shared" si="51"/>
        <v>0</v>
      </c>
      <c r="J125" s="131">
        <f t="shared" si="51"/>
        <v>0</v>
      </c>
      <c r="K125" s="131">
        <f t="shared" si="51"/>
        <v>0</v>
      </c>
      <c r="L125" s="131">
        <f t="shared" si="51"/>
        <v>0</v>
      </c>
      <c r="M125" s="131">
        <f t="shared" si="51"/>
        <v>0</v>
      </c>
      <c r="N125" s="163">
        <f t="shared" si="51"/>
        <v>0</v>
      </c>
      <c r="O125" s="132">
        <f t="shared" si="51"/>
        <v>0</v>
      </c>
      <c r="P125" s="131">
        <f t="shared" si="51"/>
        <v>0</v>
      </c>
      <c r="Q125" s="131">
        <f t="shared" si="51"/>
        <v>0</v>
      </c>
      <c r="R125" s="131">
        <f t="shared" si="51"/>
        <v>0</v>
      </c>
      <c r="S125" s="131">
        <f t="shared" si="51"/>
        <v>0</v>
      </c>
      <c r="T125" s="131">
        <f t="shared" si="51"/>
        <v>0</v>
      </c>
      <c r="U125" s="131">
        <f t="shared" si="51"/>
        <v>0</v>
      </c>
      <c r="W125" s="135">
        <f t="shared" si="27"/>
        <v>0</v>
      </c>
    </row>
    <row r="126" spans="1:23">
      <c r="A126" s="173"/>
      <c r="B126" s="170" t="s">
        <v>20</v>
      </c>
      <c r="C126" s="140"/>
      <c r="D126" s="138"/>
      <c r="E126" s="138"/>
      <c r="F126" s="138"/>
      <c r="G126" s="138"/>
      <c r="H126" s="138"/>
      <c r="I126" s="138"/>
      <c r="J126" s="138"/>
      <c r="K126" s="138">
        <f>COUNTIFS(เรื่องร้องเรียน!E:E,"5",เรื่องร้องเรียน!N:N,"บางแค")</f>
        <v>0</v>
      </c>
      <c r="L126" s="138">
        <f>COUNTIFS(เรื่องร้องเรียน!E:E,"5",เรื่องร้องเรียน!N:N,"บางแค",เรื่องร้องเรียน!CL:CL,"1")</f>
        <v>0</v>
      </c>
      <c r="M126" s="138">
        <f t="shared" ref="M126:N128" si="52">SUM(C126,E126,G126,I126,K126)</f>
        <v>0</v>
      </c>
      <c r="N126" s="139">
        <f t="shared" si="52"/>
        <v>0</v>
      </c>
      <c r="O126" s="140"/>
      <c r="P126" s="138"/>
      <c r="Q126" s="138"/>
      <c r="R126" s="138"/>
      <c r="S126" s="138">
        <f>COUNTIFS(เรื่องร้องเรียน!E:E,"5",เรื่องร้องเรียน!N:N,"บางแค",เรื่องร้องเรียน!AQ:AQ,"1",เรื่องร้องเรียน!CL:CL,"")</f>
        <v>0</v>
      </c>
      <c r="T126" s="141">
        <f t="shared" si="34"/>
        <v>0</v>
      </c>
      <c r="U126" s="129">
        <f t="shared" si="31"/>
        <v>0</v>
      </c>
      <c r="W126" s="129">
        <f t="shared" si="27"/>
        <v>0</v>
      </c>
    </row>
    <row r="127" spans="1:23">
      <c r="A127" s="148"/>
      <c r="B127" s="171" t="s">
        <v>76</v>
      </c>
      <c r="C127" s="246">
        <f>COUNTIFS(เรื่องร้องเรียน!E:E,"1",เรื่องร้องเรียน!N:N,"บางแค",เรื่องร้องเรียน!AN:AN,"เพชรเกษม")</f>
        <v>0</v>
      </c>
      <c r="D127" s="109">
        <f>COUNTIFS(เรื่องร้องเรียน!E:E,"1",เรื่องร้องเรียน!N:N,"บางแค",เรื่องร้องเรียน!AN:AN,"เพชรเกษม",เรื่องร้องเรียน!CL:CL,"1")</f>
        <v>0</v>
      </c>
      <c r="E127" s="109">
        <f>COUNTIFS(เรื่องร้องเรียน!E:E,"2",เรื่องร้องเรียน!N:N,"บางแค",เรื่องร้องเรียน!AN:AN,"เพชรเกษม")</f>
        <v>0</v>
      </c>
      <c r="F127" s="109">
        <f>COUNTIFS(เรื่องร้องเรียน!E:E,"2",เรื่องร้องเรียน!N:N,"บางแค",เรื่องร้องเรียน!AN:AN,"เพชรเกษม",เรื่องร้องเรียน!CL:CL,"1")</f>
        <v>0</v>
      </c>
      <c r="G127" s="109">
        <f>COUNTIFS(เรื่องร้องเรียน!E:E,"3",เรื่องร้องเรียน!N:N,"บางแค",เรื่องร้องเรียน!AN:AN,"เพชรเกษม")</f>
        <v>0</v>
      </c>
      <c r="H127" s="109">
        <f>COUNTIFS(เรื่องร้องเรียน!E:E,"3",เรื่องร้องเรียน!N:N,"บางแค",เรื่องร้องเรียน!AN:AN,"เพชรเกษม",เรื่องร้องเรียน!CL:CL,"1")</f>
        <v>0</v>
      </c>
      <c r="I127" s="109">
        <f>COUNTIFS(เรื่องร้องเรียน!E:E,"4",เรื่องร้องเรียน!N:N,"บางแค",เรื่องร้องเรียน!AN:AN,"เพชรเกษม")</f>
        <v>0</v>
      </c>
      <c r="J127" s="144">
        <f>COUNTIFS(เรื่องร้องเรียน!E:E,"4",เรื่องร้องเรียน!N:N,"บางแค",เรื่องร้องเรียน!AN:AN,"เพชรเกษม",เรื่องร้องเรียน!CL:CL,"1")</f>
        <v>0</v>
      </c>
      <c r="K127" s="144"/>
      <c r="L127" s="144"/>
      <c r="M127" s="109">
        <f t="shared" si="52"/>
        <v>0</v>
      </c>
      <c r="N127" s="145">
        <f t="shared" si="52"/>
        <v>0</v>
      </c>
      <c r="O127" s="146">
        <f>COUNTIFS(เรื่องร้องเรียน!E:E,"1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P127" s="144">
        <f>COUNTIFS(เรื่องร้องเรียน!E:E,"2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Q127" s="144">
        <f>COUNTIFS(เรื่องร้องเรียน!E:E,"3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R127" s="144">
        <f>COUNTIFS(เรื่องร้องเรียน!E:E,"4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S127" s="144"/>
      <c r="T127" s="147">
        <f t="shared" si="34"/>
        <v>0</v>
      </c>
      <c r="U127" s="129">
        <f t="shared" si="31"/>
        <v>0</v>
      </c>
      <c r="V127" s="10" t="s">
        <v>191</v>
      </c>
      <c r="W127" s="129">
        <f t="shared" si="27"/>
        <v>0</v>
      </c>
    </row>
    <row r="128" spans="1:23">
      <c r="A128" s="148"/>
      <c r="B128" s="171" t="s">
        <v>92</v>
      </c>
      <c r="C128" s="123">
        <f>COUNTIFS(เรื่องร้องเรียน!E:E,"1",เรื่องร้องเรียน!N:N,"บางแค",เรื่องร้องเรียน!AN:AN,"หลักสอง")</f>
        <v>0</v>
      </c>
      <c r="D128" s="117">
        <f>COUNTIFS(เรื่องร้องเรียน!E:E,"1",เรื่องร้องเรียน!N:N,"บางแค",เรื่องร้องเรียน!AN:AN,"หลักสอง",เรื่องร้องเรียน!CL:CL,"1")</f>
        <v>0</v>
      </c>
      <c r="E128" s="117">
        <f>COUNTIFS(เรื่องร้องเรียน!E:E,"2",เรื่องร้องเรียน!N:N,"บางแค",เรื่องร้องเรียน!AN:AN,"หลักสอง")</f>
        <v>0</v>
      </c>
      <c r="F128" s="117">
        <f>COUNTIFS(เรื่องร้องเรียน!E:E,"2",เรื่องร้องเรียน!N:N,"บางแค",เรื่องร้องเรียน!AN:AN,"หลักสอง",เรื่องร้องเรียน!CL:CL,"1")</f>
        <v>0</v>
      </c>
      <c r="G128" s="117">
        <f>COUNTIFS(เรื่องร้องเรียน!E:E,"3",เรื่องร้องเรียน!N:N,"บางแค",เรื่องร้องเรียน!AN:AN,"หลักสอง")</f>
        <v>0</v>
      </c>
      <c r="H128" s="117">
        <f>COUNTIFS(เรื่องร้องเรียน!E:E,"3",เรื่องร้องเรียน!N:N,"บางแค",เรื่องร้องเรียน!AN:AN,"หลักสอง",เรื่องร้องเรียน!CL:CL,"1")</f>
        <v>0</v>
      </c>
      <c r="I128" s="117">
        <f>COUNTIFS(เรื่องร้องเรียน!E:E,"4",เรื่องร้องเรียน!N:N,"บางแค",เรื่องร้องเรียน!AN:AN,"หลักสอง")</f>
        <v>0</v>
      </c>
      <c r="J128" s="152">
        <f>COUNTIFS(เรื่องร้องเรียน!E:E,"4",เรื่องร้องเรียน!N:N,"บางแค",เรื่องร้องเรียน!AN:AN,"หลักสอง",เรื่องร้องเรียน!CL:CL,"1")</f>
        <v>0</v>
      </c>
      <c r="K128" s="152"/>
      <c r="L128" s="152"/>
      <c r="M128" s="117">
        <f t="shared" si="52"/>
        <v>0</v>
      </c>
      <c r="N128" s="122">
        <f t="shared" si="52"/>
        <v>0</v>
      </c>
      <c r="O128" s="153">
        <f>COUNTIFS(เรื่องร้องเรียน!E:E,"1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P128" s="152">
        <f>COUNTIFS(เรื่องร้องเรียน!E:E,"2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Q128" s="152">
        <f>COUNTIFS(เรื่องร้องเรียน!E:E,"3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R128" s="152">
        <f>COUNTIFS(เรื่องร้องเรียน!E:E,"4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S128" s="152"/>
      <c r="T128" s="154">
        <f t="shared" si="34"/>
        <v>0</v>
      </c>
      <c r="U128" s="129">
        <f t="shared" si="31"/>
        <v>0</v>
      </c>
      <c r="V128" s="10" t="s">
        <v>190</v>
      </c>
      <c r="W128" s="129">
        <f t="shared" si="27"/>
        <v>0</v>
      </c>
    </row>
    <row r="129" spans="1:25">
      <c r="A129" s="150"/>
      <c r="B129" s="177" t="s">
        <v>191</v>
      </c>
      <c r="C129" s="123">
        <f>COUNTIFS(เรื่องร้องเรียน!E:E,"1",เรื่องร้องเรียน!N:N,"บางแค",เรื่องร้องเรียน!AN:AN,"ศาลาแดง")</f>
        <v>0</v>
      </c>
      <c r="D129" s="117">
        <f>COUNTIFS(เรื่องร้องเรียน!E:E,"1",เรื่องร้องเรียน!N:N,"บางแค",เรื่องร้องเรียน!AN:AN,"ศาลาแดง",เรื่องร้องเรียน!CL:CL,"1")</f>
        <v>0</v>
      </c>
      <c r="E129" s="117">
        <f>COUNTIFS(เรื่องร้องเรียน!E:E,"2",เรื่องร้องเรียน!N:N,"บางแค",เรื่องร้องเรียน!AN:AN,"ศาลาแดง")</f>
        <v>0</v>
      </c>
      <c r="F129" s="117">
        <f>COUNTIFS(เรื่องร้องเรียน!E:E,"2",เรื่องร้องเรียน!N:N,"บางแค",เรื่องร้องเรียน!AN:AN,"ศาลาแดง",เรื่องร้องเรียน!CL:CL,"1")</f>
        <v>0</v>
      </c>
      <c r="G129" s="117">
        <f>COUNTIFS(เรื่องร้องเรียน!E:E,"3",เรื่องร้องเรียน!N:N,"บางแค",เรื่องร้องเรียน!AN:AN,"ศาลาแดง")</f>
        <v>0</v>
      </c>
      <c r="H129" s="117">
        <f>COUNTIFS(เรื่องร้องเรียน!E:E,"3",เรื่องร้องเรียน!N:N,"บางแค",เรื่องร้องเรียน!AN:AN,"ศาลาแดง",เรื่องร้องเรียน!CL:CL,"1")</f>
        <v>0</v>
      </c>
      <c r="I129" s="117">
        <f>COUNTIFS(เรื่องร้องเรียน!E:E,"4",เรื่องร้องเรียน!N:N,"บางแค",เรื่องร้องเรียน!AN:AN,"ศาลาแดง")</f>
        <v>0</v>
      </c>
      <c r="J129" s="152">
        <f>COUNTIFS(เรื่องร้องเรียน!E:E,"4",เรื่องร้องเรียน!N:N,"บางแค",เรื่องร้องเรียน!AN:AN,"ศาลาแดง",เรื่องร้องเรียน!CL:CL,"1")</f>
        <v>0</v>
      </c>
      <c r="K129" s="152"/>
      <c r="L129" s="152"/>
      <c r="M129" s="117">
        <f t="shared" ref="M129:N131" si="53">SUM(C129,E129,G129,I129,K129)</f>
        <v>0</v>
      </c>
      <c r="N129" s="122">
        <f t="shared" si="53"/>
        <v>0</v>
      </c>
      <c r="O129" s="153">
        <f>COUNTIFS(เรื่องร้องเรียน!E:E,"1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P129" s="152">
        <f>COUNTIFS(เรื่องร้องเรียน!E:E,"2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Q129" s="152">
        <f>COUNTIFS(เรื่องร้องเรียน!E:E,"3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R129" s="152">
        <f>COUNTIFS(เรื่องร้องเรียน!E:E,"4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S129" s="152"/>
      <c r="T129" s="154">
        <f>SUM(O129:S129)</f>
        <v>0</v>
      </c>
      <c r="U129" s="129">
        <f>M129-N129-T129</f>
        <v>0</v>
      </c>
      <c r="W129" s="129">
        <f t="shared" si="27"/>
        <v>0</v>
      </c>
    </row>
    <row r="130" spans="1:25">
      <c r="A130" s="168"/>
      <c r="B130" s="166" t="s">
        <v>190</v>
      </c>
      <c r="C130" s="123">
        <f>COUNTIFS(เรื่องร้องเรียน!E:E,"1",เรื่องร้องเรียน!N:N,"บางแค",เรื่องร้องเรียน!AN:AN,"บางเสาธง")</f>
        <v>0</v>
      </c>
      <c r="D130" s="117">
        <f>COUNTIFS(เรื่องร้องเรียน!E:E,"1",เรื่องร้องเรียน!N:N,"บางแค",เรื่องร้องเรียน!AN:AN,"บางเสาธง",เรื่องร้องเรียน!CL:CL,"1")</f>
        <v>0</v>
      </c>
      <c r="E130" s="117">
        <f>COUNTIFS(เรื่องร้องเรียน!E:E,"2",เรื่องร้องเรียน!N:N,"บางแค",เรื่องร้องเรียน!AN:AN,"บางเสาธง")</f>
        <v>0</v>
      </c>
      <c r="F130" s="117">
        <f>COUNTIFS(เรื่องร้องเรียน!E:E,"2",เรื่องร้องเรียน!N:N,"บางแค",เรื่องร้องเรียน!AN:AN,"บางเสาธง",เรื่องร้องเรียน!CL:CL,"1")</f>
        <v>0</v>
      </c>
      <c r="G130" s="117">
        <f>COUNTIFS(เรื่องร้องเรียน!E:E,"3",เรื่องร้องเรียน!N:N,"บางแค",เรื่องร้องเรียน!AN:AN,"บางเสาธง")</f>
        <v>0</v>
      </c>
      <c r="H130" s="117">
        <f>COUNTIFS(เรื่องร้องเรียน!E:E,"3",เรื่องร้องเรียน!N:N,"บางแค",เรื่องร้องเรียน!AN:AN,"บางเสาธง",เรื่องร้องเรียน!CL:CL,"1")</f>
        <v>0</v>
      </c>
      <c r="I130" s="117">
        <f>COUNTIFS(เรื่องร้องเรียน!E:E,"4",เรื่องร้องเรียน!N:N,"บางแค",เรื่องร้องเรียน!AN:AN,"บางเสาธง")</f>
        <v>0</v>
      </c>
      <c r="J130" s="152">
        <f>COUNTIFS(เรื่องร้องเรียน!E:E,"4",เรื่องร้องเรียน!N:N,"บางแค",เรื่องร้องเรียน!AN:AN,"บางเสาธง",เรื่องร้องเรียน!CL:CL,"1")</f>
        <v>0</v>
      </c>
      <c r="K130" s="152"/>
      <c r="L130" s="152"/>
      <c r="M130" s="117">
        <f t="shared" si="53"/>
        <v>0</v>
      </c>
      <c r="N130" s="122">
        <f t="shared" si="53"/>
        <v>0</v>
      </c>
      <c r="O130" s="153">
        <f>COUNTIFS(เรื่องร้องเรียน!E:E,"1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P130" s="152">
        <f>COUNTIFS(เรื่องร้องเรียน!E:E,"2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Q130" s="152">
        <f>COUNTIFS(เรื่องร้องเรียน!E:E,"3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R130" s="152">
        <f>COUNTIFS(เรื่องร้องเรียน!E:E,"4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S130" s="152"/>
      <c r="T130" s="154">
        <f>SUM(O130:S130)</f>
        <v>0</v>
      </c>
      <c r="U130" s="129">
        <f>M130-N130-T130</f>
        <v>0</v>
      </c>
      <c r="W130" s="129">
        <f t="shared" si="27"/>
        <v>0</v>
      </c>
    </row>
    <row r="131" spans="1:25" ht="21.6" thickBot="1">
      <c r="A131" s="168"/>
      <c r="B131" s="166" t="s">
        <v>199</v>
      </c>
      <c r="C131" s="123">
        <f>COUNTIFS(เรื่องร้องเรียน!E:E,"1",เรื่องร้องเรียน!N:N,"บางแค",เรื่องร้องเรียน!AN:AN,"ภาษีเจริญ")</f>
        <v>0</v>
      </c>
      <c r="D131" s="117">
        <f>COUNTIFS(เรื่องร้องเรียน!E:E,"1",เรื่องร้องเรียน!N:N,"บางแค",เรื่องร้องเรียน!AN:AN,"ภาษีเจริญ",เรื่องร้องเรียน!CL:CL,"1")</f>
        <v>0</v>
      </c>
      <c r="E131" s="117">
        <f>COUNTIFS(เรื่องร้องเรียน!E:E,"2",เรื่องร้องเรียน!N:N,"บางแค",เรื่องร้องเรียน!AN:AN,"ภาษีเจริญ")</f>
        <v>0</v>
      </c>
      <c r="F131" s="117">
        <f>COUNTIFS(เรื่องร้องเรียน!E:E,"2",เรื่องร้องเรียน!N:N,"บางแค",เรื่องร้องเรียน!AN:AN,"ภาษีเจริญ",เรื่องร้องเรียน!CL:CL,"1")</f>
        <v>0</v>
      </c>
      <c r="G131" s="117">
        <f>COUNTIFS(เรื่องร้องเรียน!E:E,"3",เรื่องร้องเรียน!N:N,"บางแค",เรื่องร้องเรียน!AN:AN,"ภาษีเจริญ")</f>
        <v>0</v>
      </c>
      <c r="H131" s="117">
        <f>COUNTIFS(เรื่องร้องเรียน!E:E,"3",เรื่องร้องเรียน!N:N,"บางแค",เรื่องร้องเรียน!AN:AN,"ภาษีเจริญ",เรื่องร้องเรียน!CL:CL,"1")</f>
        <v>0</v>
      </c>
      <c r="I131" s="117">
        <f>COUNTIFS(เรื่องร้องเรียน!E:E,"4",เรื่องร้องเรียน!N:N,"บางแค",เรื่องร้องเรียน!AN:AN,"ภาษีเจริญ")</f>
        <v>0</v>
      </c>
      <c r="J131" s="152">
        <f>COUNTIFS(เรื่องร้องเรียน!E:E,"4",เรื่องร้องเรียน!N:N,"บางแค",เรื่องร้องเรียน!AN:AN,"ภาษีเจริญ",เรื่องร้องเรียน!CL:CL,"1")</f>
        <v>0</v>
      </c>
      <c r="K131" s="152"/>
      <c r="L131" s="152"/>
      <c r="M131" s="117">
        <f t="shared" si="53"/>
        <v>0</v>
      </c>
      <c r="N131" s="122">
        <f t="shared" si="53"/>
        <v>0</v>
      </c>
      <c r="O131" s="153">
        <f>COUNTIFS(เรื่องร้องเรียน!E:E,"1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P131" s="152">
        <f>COUNTIFS(เรื่องร้องเรียน!E:E,"2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Q131" s="152">
        <f>COUNTIFS(เรื่องร้องเรียน!E:E,"3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R131" s="152">
        <f>COUNTIFS(เรื่องร้องเรียน!E:E,"4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S131" s="152"/>
      <c r="T131" s="154">
        <f>SUM(O131:S131)</f>
        <v>0</v>
      </c>
      <c r="U131" s="129">
        <f>M131-N131-T131</f>
        <v>0</v>
      </c>
      <c r="W131" s="129">
        <f t="shared" si="27"/>
        <v>0</v>
      </c>
    </row>
    <row r="132" spans="1:25" ht="21.6" thickBot="1">
      <c r="A132" s="130" t="s">
        <v>133</v>
      </c>
      <c r="B132" s="169" t="s">
        <v>152</v>
      </c>
      <c r="C132" s="132">
        <f>SUM(C133:C136 )</f>
        <v>0</v>
      </c>
      <c r="D132" s="131">
        <f t="shared" ref="D132:T132" si="54">SUM(D133:D136 )</f>
        <v>0</v>
      </c>
      <c r="E132" s="131">
        <f t="shared" si="54"/>
        <v>0</v>
      </c>
      <c r="F132" s="131">
        <f t="shared" si="54"/>
        <v>0</v>
      </c>
      <c r="G132" s="131">
        <f t="shared" si="54"/>
        <v>0</v>
      </c>
      <c r="H132" s="131">
        <f t="shared" si="54"/>
        <v>0</v>
      </c>
      <c r="I132" s="131">
        <f t="shared" si="54"/>
        <v>0</v>
      </c>
      <c r="J132" s="131">
        <f t="shared" si="54"/>
        <v>0</v>
      </c>
      <c r="K132" s="131">
        <f t="shared" si="54"/>
        <v>0</v>
      </c>
      <c r="L132" s="131">
        <f t="shared" si="54"/>
        <v>0</v>
      </c>
      <c r="M132" s="131">
        <f t="shared" si="54"/>
        <v>0</v>
      </c>
      <c r="N132" s="163">
        <f t="shared" si="54"/>
        <v>0</v>
      </c>
      <c r="O132" s="132">
        <f t="shared" si="54"/>
        <v>0</v>
      </c>
      <c r="P132" s="131">
        <f t="shared" si="54"/>
        <v>0</v>
      </c>
      <c r="Q132" s="131">
        <f t="shared" si="54"/>
        <v>0</v>
      </c>
      <c r="R132" s="131">
        <f t="shared" si="54"/>
        <v>0</v>
      </c>
      <c r="S132" s="131">
        <f>SUM(S133:S136 )</f>
        <v>0</v>
      </c>
      <c r="T132" s="133">
        <f t="shared" si="54"/>
        <v>0</v>
      </c>
      <c r="U132" s="134">
        <f t="shared" si="31"/>
        <v>0</v>
      </c>
      <c r="W132" s="135">
        <f t="shared" si="27"/>
        <v>0</v>
      </c>
    </row>
    <row r="133" spans="1:25">
      <c r="A133" s="173"/>
      <c r="B133" s="170" t="s">
        <v>20</v>
      </c>
      <c r="C133" s="140"/>
      <c r="D133" s="138"/>
      <c r="E133" s="138"/>
      <c r="F133" s="138"/>
      <c r="G133" s="138"/>
      <c r="H133" s="138"/>
      <c r="I133" s="138"/>
      <c r="J133" s="138"/>
      <c r="K133" s="138">
        <f>COUNTIFS(เรื่องร้องเรียน!E:E,"5",เรื่องร้องเรียน!N:N,"บางซื่อ")</f>
        <v>0</v>
      </c>
      <c r="L133" s="138">
        <f>COUNTIFS(เรื่องร้องเรียน!E:E,"5",เรื่องร้องเรียน!N:N,"บางซื่อ",เรื่องร้องเรียน!CL:CL,"1")</f>
        <v>0</v>
      </c>
      <c r="M133" s="138">
        <f t="shared" ref="M133:N136" si="55">SUM(C133,E133,G133,I133,K133)</f>
        <v>0</v>
      </c>
      <c r="N133" s="139">
        <f t="shared" si="55"/>
        <v>0</v>
      </c>
      <c r="O133" s="140"/>
      <c r="P133" s="138"/>
      <c r="Q133" s="138"/>
      <c r="R133" s="138"/>
      <c r="S133" s="138">
        <f>COUNTIFS(เรื่องร้องเรียน!E:E,"5",เรื่องร้องเรียน!N:N,"บางซื่อ",เรื่องร้องเรียน!AQ:AQ,"1",เรื่องร้องเรียน!CL:CL,"")</f>
        <v>0</v>
      </c>
      <c r="T133" s="141">
        <f t="shared" si="34"/>
        <v>0</v>
      </c>
      <c r="U133" s="129">
        <f t="shared" si="31"/>
        <v>0</v>
      </c>
      <c r="V133" s="10" t="s">
        <v>204</v>
      </c>
      <c r="W133" s="129">
        <f t="shared" si="27"/>
        <v>0</v>
      </c>
    </row>
    <row r="134" spans="1:25">
      <c r="A134" s="148"/>
      <c r="B134" s="171" t="s">
        <v>134</v>
      </c>
      <c r="C134" s="246">
        <f>COUNTIFS(เรื่องร้องเรียน!E:E,"1",เรื่องร้องเรียน!N:N,"บางซื่อ",เรื่องร้องเรียน!AN:AN,"เตาปูน")</f>
        <v>0</v>
      </c>
      <c r="D134" s="109">
        <f>COUNTIFS(เรื่องร้องเรียน!E:E,"1",เรื่องร้องเรียน!N:N,"บางซื่อ",เรื่องร้องเรียน!AN:AN,"เตาปูน",เรื่องร้องเรียน!CL:CL,"1")</f>
        <v>0</v>
      </c>
      <c r="E134" s="109">
        <f>COUNTIFS(เรื่องร้องเรียน!E:E,"2",เรื่องร้องเรียน!N:N,"บางซื่อ",เรื่องร้องเรียน!AN:AN,"เตาปูน")</f>
        <v>0</v>
      </c>
      <c r="F134" s="109">
        <f>COUNTIFS(เรื่องร้องเรียน!E:E,"2",เรื่องร้องเรียน!N:N,"บางซื่อ",เรื่องร้องเรียน!AN:AN,"เตาปูน",เรื่องร้องเรียน!CL:CL,"1")</f>
        <v>0</v>
      </c>
      <c r="G134" s="109">
        <f>COUNTIFS(เรื่องร้องเรียน!E:E,"3",เรื่องร้องเรียน!N:N,"บางซื่อ",เรื่องร้องเรียน!AN:AN,"เตาปูน")</f>
        <v>0</v>
      </c>
      <c r="H134" s="109">
        <f>COUNTIFS(เรื่องร้องเรียน!E:E,"3",เรื่องร้องเรียน!N:N,"บางซื่อ",เรื่องร้องเรียน!AN:AN,"เตาปูน",เรื่องร้องเรียน!CL:CL,"1")</f>
        <v>0</v>
      </c>
      <c r="I134" s="109">
        <f>COUNTIFS(เรื่องร้องเรียน!E:E,"4",เรื่องร้องเรียน!N:N,"บางซื่อ",เรื่องร้องเรียน!AN:AN,"เตาปูน")</f>
        <v>0</v>
      </c>
      <c r="J134" s="144">
        <f>COUNTIFS(เรื่องร้องเรียน!E:E,"4",เรื่องร้องเรียน!N:N,"บางซื่อ",เรื่องร้องเรียน!AN:AN,"เตาปูน",เรื่องร้องเรียน!CL:CL,"1")</f>
        <v>0</v>
      </c>
      <c r="K134" s="144"/>
      <c r="L134" s="144"/>
      <c r="M134" s="109">
        <f t="shared" si="55"/>
        <v>0</v>
      </c>
      <c r="N134" s="145">
        <f t="shared" si="55"/>
        <v>0</v>
      </c>
      <c r="O134" s="146">
        <f>COUNTIFS(เรื่องร้องเรียน!E:E,"1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P134" s="144">
        <f>COUNTIFS(เรื่องร้องเรียน!E:E,"2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Q134" s="144">
        <f>COUNTIFS(เรื่องร้องเรียน!E:E,"3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R134" s="144">
        <f>COUNTIFS(เรื่องร้องเรียน!E:E,"4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S134" s="144"/>
      <c r="T134" s="147">
        <f t="shared" si="34"/>
        <v>0</v>
      </c>
      <c r="U134" s="129">
        <f t="shared" si="31"/>
        <v>0</v>
      </c>
      <c r="W134" s="129">
        <f t="shared" si="27"/>
        <v>0</v>
      </c>
    </row>
    <row r="135" spans="1:25">
      <c r="A135" s="148"/>
      <c r="B135" s="171" t="s">
        <v>172</v>
      </c>
      <c r="C135" s="246">
        <f>COUNTIFS(เรื่องร้องเรียน!E:E,"1",เรื่องร้องเรียน!N:N,"บางซื่อ",เรื่องร้องเรียน!AN:AN,"บางโพ")</f>
        <v>0</v>
      </c>
      <c r="D135" s="109">
        <f>COUNTIFS(เรื่องร้องเรียน!E:E,"1",เรื่องร้องเรียน!N:N,"บางซื่อ",เรื่องร้องเรียน!AN:AN,"บางโพ",เรื่องร้องเรียน!CL:CL,"1")</f>
        <v>0</v>
      </c>
      <c r="E135" s="109">
        <f>COUNTIFS(เรื่องร้องเรียน!E:E,"2",เรื่องร้องเรียน!N:N,"บางซื่อ",เรื่องร้องเรียน!AN:AN,"บางโพ")</f>
        <v>0</v>
      </c>
      <c r="F135" s="109">
        <f>COUNTIFS(เรื่องร้องเรียน!E:E,"2",เรื่องร้องเรียน!N:N,"บางซื่อ",เรื่องร้องเรียน!AN:AN,"บางโพ",เรื่องร้องเรียน!CL:CL,"1")</f>
        <v>0</v>
      </c>
      <c r="G135" s="109">
        <f>COUNTIFS(เรื่องร้องเรียน!E:E,"3",เรื่องร้องเรียน!N:N,"บางซื่อ",เรื่องร้องเรียน!AN:AN,"บางโพ")</f>
        <v>0</v>
      </c>
      <c r="H135" s="109">
        <f>COUNTIFS(เรื่องร้องเรียน!E:E,"3",เรื่องร้องเรียน!N:N,"บางซื่อ",เรื่องร้องเรียน!AN:AN,"บางโพ",เรื่องร้องเรียน!CL:CL,"1")</f>
        <v>0</v>
      </c>
      <c r="I135" s="109">
        <f>COUNTIFS(เรื่องร้องเรียน!E:E,"4",เรื่องร้องเรียน!N:N,"บางซื่อ",เรื่องร้องเรียน!AN:AN,"บางโพ")</f>
        <v>0</v>
      </c>
      <c r="J135" s="144">
        <f>COUNTIFS(เรื่องร้องเรียน!E:E,"4",เรื่องร้องเรียน!N:N,"บางซื่อ",เรื่องร้องเรียน!AN:AN,"บางโพ",เรื่องร้องเรียน!CL:CL,"1")</f>
        <v>0</v>
      </c>
      <c r="K135" s="144"/>
      <c r="L135" s="144"/>
      <c r="M135" s="109">
        <f t="shared" si="55"/>
        <v>0</v>
      </c>
      <c r="N135" s="145">
        <f t="shared" si="55"/>
        <v>0</v>
      </c>
      <c r="O135" s="146">
        <f>COUNTIFS(เรื่องร้องเรียน!E:E,"1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P135" s="144">
        <f>COUNTIFS(เรื่องร้องเรียน!E:E,"2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Q135" s="144">
        <f>COUNTIFS(เรื่องร้องเรียน!E:E,"3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R135" s="144">
        <f>COUNTIFS(เรื่องร้องเรียน!E:E,"4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S135" s="144"/>
      <c r="T135" s="147">
        <f>SUM(O135:S135)</f>
        <v>0</v>
      </c>
      <c r="U135" s="129">
        <f t="shared" si="31"/>
        <v>0</v>
      </c>
      <c r="W135" s="129">
        <f t="shared" si="27"/>
        <v>0</v>
      </c>
    </row>
    <row r="136" spans="1:25" ht="21.6" thickBot="1">
      <c r="A136" s="150"/>
      <c r="B136" s="177" t="s">
        <v>173</v>
      </c>
      <c r="C136" s="123">
        <f>COUNTIFS(เรื่องร้องเรียน!E:E,"1",เรื่องร้องเรียน!N:N,"บางซื่อ",เรื่องร้องเรียน!AN:AN,"ประชาชื่น")</f>
        <v>0</v>
      </c>
      <c r="D136" s="117">
        <f>COUNTIFS(เรื่องร้องเรียน!E:E,"1",เรื่องร้องเรียน!N:N,"บางซื่อ",เรื่องร้องเรียน!AN:AN,"ประชาชื่น",เรื่องร้องเรียน!CL:CL,"1")</f>
        <v>0</v>
      </c>
      <c r="E136" s="117">
        <f>COUNTIFS(เรื่องร้องเรียน!E:E,"2",เรื่องร้องเรียน!N:N,"บางซื่อ",เรื่องร้องเรียน!AN:AN,"ประชาชื่น")</f>
        <v>0</v>
      </c>
      <c r="F136" s="117">
        <f>COUNTIFS(เรื่องร้องเรียน!E:E,"2",เรื่องร้องเรียน!N:N,"บางซื่อ",เรื่องร้องเรียน!AN:AN,"ประชาชื่น",เรื่องร้องเรียน!CL:CL,"1")</f>
        <v>0</v>
      </c>
      <c r="G136" s="117">
        <f>COUNTIFS(เรื่องร้องเรียน!E:E,"3",เรื่องร้องเรียน!N:N,"บางซื่อ",เรื่องร้องเรียน!AN:AN,"ประชาชื่น")</f>
        <v>0</v>
      </c>
      <c r="H136" s="117">
        <f>COUNTIFS(เรื่องร้องเรียน!E:E,"3",เรื่องร้องเรียน!N:N,"บางซื่อ",เรื่องร้องเรียน!AN:AN,"ประชาชื่น",เรื่องร้องเรียน!CL:CL,"1")</f>
        <v>0</v>
      </c>
      <c r="I136" s="117">
        <f>COUNTIFS(เรื่องร้องเรียน!E:E,"4",เรื่องร้องเรียน!N:N,"บางซื่อ",เรื่องร้องเรียน!AN:AN,"ประชาชื่น")</f>
        <v>0</v>
      </c>
      <c r="J136" s="152">
        <f>COUNTIFS(เรื่องร้องเรียน!E:E,"4",เรื่องร้องเรียน!N:N,"บางซื่อ",เรื่องร้องเรียน!AN:AN,"ประชาชื่น",เรื่องร้องเรียน!CL:CL,"1")</f>
        <v>0</v>
      </c>
      <c r="K136" s="152"/>
      <c r="L136" s="152"/>
      <c r="M136" s="117">
        <f t="shared" si="55"/>
        <v>0</v>
      </c>
      <c r="N136" s="122">
        <f t="shared" si="55"/>
        <v>0</v>
      </c>
      <c r="O136" s="153">
        <f>COUNTIFS(เรื่องร้องเรียน!E:E,"1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P136" s="144">
        <f>COUNTIFS(เรื่องร้องเรียน!E:E,"2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Q136" s="152">
        <f>COUNTIFS(เรื่องร้องเรียน!E:E,"3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R136" s="152">
        <f>COUNTIFS(เรื่องร้องเรียน!E:E,"4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S136" s="152"/>
      <c r="T136" s="154">
        <f>SUM(O136:S136)</f>
        <v>0</v>
      </c>
      <c r="U136" s="129">
        <f t="shared" si="31"/>
        <v>0</v>
      </c>
      <c r="W136" s="129">
        <f t="shared" si="27"/>
        <v>0</v>
      </c>
    </row>
    <row r="137" spans="1:25" ht="21.6" thickBot="1">
      <c r="A137" s="175" t="s">
        <v>108</v>
      </c>
      <c r="B137" s="169" t="s">
        <v>152</v>
      </c>
      <c r="C137" s="95">
        <f>SUM(C138:C139)</f>
        <v>0</v>
      </c>
      <c r="D137" s="92">
        <f t="shared" ref="D137:T137" si="56">SUM(D138:D139)</f>
        <v>0</v>
      </c>
      <c r="E137" s="92">
        <f t="shared" si="56"/>
        <v>0</v>
      </c>
      <c r="F137" s="92">
        <f t="shared" si="56"/>
        <v>0</v>
      </c>
      <c r="G137" s="92">
        <f t="shared" si="56"/>
        <v>0</v>
      </c>
      <c r="H137" s="92">
        <f t="shared" si="56"/>
        <v>0</v>
      </c>
      <c r="I137" s="92">
        <f t="shared" si="56"/>
        <v>0</v>
      </c>
      <c r="J137" s="92">
        <f t="shared" si="56"/>
        <v>0</v>
      </c>
      <c r="K137" s="92">
        <f t="shared" si="56"/>
        <v>0</v>
      </c>
      <c r="L137" s="92">
        <f t="shared" si="56"/>
        <v>0</v>
      </c>
      <c r="M137" s="92">
        <f t="shared" si="56"/>
        <v>0</v>
      </c>
      <c r="N137" s="94">
        <f t="shared" si="56"/>
        <v>0</v>
      </c>
      <c r="O137" s="95">
        <f t="shared" si="56"/>
        <v>0</v>
      </c>
      <c r="P137" s="92">
        <f t="shared" si="56"/>
        <v>0</v>
      </c>
      <c r="Q137" s="92">
        <f t="shared" si="56"/>
        <v>0</v>
      </c>
      <c r="R137" s="92">
        <f t="shared" si="56"/>
        <v>0</v>
      </c>
      <c r="S137" s="92">
        <f t="shared" si="56"/>
        <v>0</v>
      </c>
      <c r="T137" s="176">
        <f t="shared" si="56"/>
        <v>0</v>
      </c>
      <c r="U137" s="134">
        <f t="shared" si="31"/>
        <v>0</v>
      </c>
      <c r="W137" s="135">
        <f t="shared" si="27"/>
        <v>0</v>
      </c>
    </row>
    <row r="138" spans="1:25">
      <c r="A138" s="173"/>
      <c r="B138" s="170" t="s">
        <v>20</v>
      </c>
      <c r="C138" s="140"/>
      <c r="D138" s="138"/>
      <c r="E138" s="138"/>
      <c r="F138" s="138"/>
      <c r="G138" s="138"/>
      <c r="H138" s="138"/>
      <c r="I138" s="138"/>
      <c r="J138" s="138"/>
      <c r="K138" s="138">
        <f>COUNTIFS(เรื่องร้องเรียน!E:E,"5",เรื่องร้องเรียน!N:N,"บางนา")</f>
        <v>0</v>
      </c>
      <c r="L138" s="138">
        <f>COUNTIFS(เรื่องร้องเรียน!E:E,"5",เรื่องร้องเรียน!N:N,"บางนา",เรื่องร้องเรียน!CL:CL,"1")</f>
        <v>0</v>
      </c>
      <c r="M138" s="138">
        <f>SUM(C138,E138,G138,I138,K138)</f>
        <v>0</v>
      </c>
      <c r="N138" s="139">
        <f>SUM(D138,F138,H138,J138,L138)</f>
        <v>0</v>
      </c>
      <c r="O138" s="140"/>
      <c r="P138" s="138"/>
      <c r="Q138" s="138"/>
      <c r="R138" s="138"/>
      <c r="S138" s="138">
        <f>COUNTIFS(เรื่องร้องเรียน!E:E,"5",เรื่องร้องเรียน!N:N,"บางนา",เรื่องร้องเรียน!AQ:AQ,"1",เรื่องร้องเรียน!CL:CL,"")</f>
        <v>0</v>
      </c>
      <c r="T138" s="141">
        <f t="shared" si="34"/>
        <v>0</v>
      </c>
      <c r="U138" s="129">
        <f t="shared" si="31"/>
        <v>0</v>
      </c>
      <c r="W138" s="129">
        <f t="shared" si="27"/>
        <v>0</v>
      </c>
    </row>
    <row r="139" spans="1:25" ht="21.6" thickBot="1">
      <c r="A139" s="150"/>
      <c r="B139" s="177" t="s">
        <v>108</v>
      </c>
      <c r="C139" s="123">
        <f>COUNTIFS(เรื่องร้องเรียน!E:E,"1",เรื่องร้องเรียน!N:N,"บางนา",เรื่องร้องเรียน!AN:AN,"บางนา")</f>
        <v>0</v>
      </c>
      <c r="D139" s="117">
        <f>COUNTIFS(เรื่องร้องเรียน!E:E,"1",เรื่องร้องเรียน!N:N,"บางนา",เรื่องร้องเรียน!AN:AN,"บางนา",เรื่องร้องเรียน!CL:CL,"1")</f>
        <v>0</v>
      </c>
      <c r="E139" s="117">
        <f>COUNTIFS(เรื่องร้องเรียน!E:E,"2",เรื่องร้องเรียน!N:N,"บางนา",เรื่องร้องเรียน!AN:AN,"บางนา")</f>
        <v>0</v>
      </c>
      <c r="F139" s="117">
        <f>COUNTIFS(เรื่องร้องเรียน!E:E,"2",เรื่องร้องเรียน!N:N,"บางนา",เรื่องร้องเรียน!AN:AN,"บางนา",เรื่องร้องเรียน!CL:CL,"1")</f>
        <v>0</v>
      </c>
      <c r="G139" s="117">
        <f>COUNTIFS(เรื่องร้องเรียน!E:E,"3",เรื่องร้องเรียน!N:N,"บางนา",เรื่องร้องเรียน!AN:AN,"บางนา")</f>
        <v>0</v>
      </c>
      <c r="H139" s="117">
        <f>COUNTIFS(เรื่องร้องเรียน!E:E,"3",เรื่องร้องเรียน!N:N,"บางนา",เรื่องร้องเรียน!AN:AN,"บางนา",เรื่องร้องเรียน!CL:CL,"1")</f>
        <v>0</v>
      </c>
      <c r="I139" s="117">
        <f>COUNTIFS(เรื่องร้องเรียน!E:E,"4",เรื่องร้องเรียน!N:N,"บางนา",เรื่องร้องเรียน!AN:AN,"บางนา")</f>
        <v>0</v>
      </c>
      <c r="J139" s="152">
        <f>COUNTIFS(เรื่องร้องเรียน!E:E,"4",เรื่องร้องเรียน!N:N,"บางนา",เรื่องร้องเรียน!AN:AN,"บางนา",เรื่องร้องเรียน!CL:CL,"1")</f>
        <v>0</v>
      </c>
      <c r="K139" s="152"/>
      <c r="L139" s="152"/>
      <c r="M139" s="117">
        <f>SUM(C139,E139,G139,I139,K139)</f>
        <v>0</v>
      </c>
      <c r="N139" s="122">
        <f>SUM(D139,F139,H139,J139,L139)</f>
        <v>0</v>
      </c>
      <c r="O139" s="153">
        <f>COUNTIFS(เรื่องร้องเรียน!E:E,"1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P139" s="152">
        <f>COUNTIFS(เรื่องร้องเรียน!E:E,"2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Q139" s="152">
        <f>COUNTIFS(เรื่องร้องเรียน!E:E,"3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R139" s="152">
        <f>COUNTIFS(เรื่องร้องเรียน!E:E,"4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S139" s="152"/>
      <c r="T139" s="154">
        <f t="shared" si="34"/>
        <v>0</v>
      </c>
      <c r="U139" s="129">
        <f t="shared" si="31"/>
        <v>0</v>
      </c>
      <c r="W139" s="129">
        <f t="shared" si="27"/>
        <v>0</v>
      </c>
    </row>
    <row r="140" spans="1:25" ht="21.6" thickBot="1">
      <c r="A140" s="130" t="s">
        <v>94</v>
      </c>
      <c r="B140" s="169" t="s">
        <v>152</v>
      </c>
      <c r="C140" s="132">
        <f>SUM(C141:C146)</f>
        <v>0</v>
      </c>
      <c r="D140" s="131">
        <f t="shared" ref="D140:T140" si="57">SUM(D141:D146)</f>
        <v>0</v>
      </c>
      <c r="E140" s="131">
        <f t="shared" si="57"/>
        <v>0</v>
      </c>
      <c r="F140" s="131">
        <f t="shared" si="57"/>
        <v>0</v>
      </c>
      <c r="G140" s="131">
        <f t="shared" si="57"/>
        <v>0</v>
      </c>
      <c r="H140" s="131">
        <f t="shared" si="57"/>
        <v>0</v>
      </c>
      <c r="I140" s="131">
        <f t="shared" si="57"/>
        <v>0</v>
      </c>
      <c r="J140" s="131">
        <f t="shared" si="57"/>
        <v>0</v>
      </c>
      <c r="K140" s="131">
        <f t="shared" si="57"/>
        <v>0</v>
      </c>
      <c r="L140" s="131">
        <f t="shared" si="57"/>
        <v>0</v>
      </c>
      <c r="M140" s="131">
        <f t="shared" si="57"/>
        <v>0</v>
      </c>
      <c r="N140" s="163">
        <f t="shared" si="57"/>
        <v>0</v>
      </c>
      <c r="O140" s="132">
        <f t="shared" si="57"/>
        <v>0</v>
      </c>
      <c r="P140" s="132">
        <f t="shared" si="57"/>
        <v>0</v>
      </c>
      <c r="Q140" s="132">
        <f t="shared" si="57"/>
        <v>0</v>
      </c>
      <c r="R140" s="132">
        <f t="shared" si="57"/>
        <v>0</v>
      </c>
      <c r="S140" s="132">
        <f t="shared" si="57"/>
        <v>0</v>
      </c>
      <c r="T140" s="133">
        <f t="shared" si="57"/>
        <v>0</v>
      </c>
      <c r="U140" s="134">
        <f t="shared" si="31"/>
        <v>0</v>
      </c>
      <c r="W140" s="135">
        <f t="shared" si="27"/>
        <v>0</v>
      </c>
    </row>
    <row r="141" spans="1:25">
      <c r="A141" s="173"/>
      <c r="B141" s="170" t="s">
        <v>20</v>
      </c>
      <c r="C141" s="140"/>
      <c r="D141" s="138"/>
      <c r="E141" s="138"/>
      <c r="F141" s="138"/>
      <c r="G141" s="138"/>
      <c r="H141" s="138"/>
      <c r="I141" s="138"/>
      <c r="J141" s="138"/>
      <c r="K141" s="138">
        <f>COUNTIFS(เรื่องร้องเรียน!E:E,"5",เรื่องร้องเรียน!N:N,"บางบอน")</f>
        <v>0</v>
      </c>
      <c r="L141" s="138">
        <f>COUNTIFS(เรื่องร้องเรียน!E:E,"5",เรื่องร้องเรียน!N:N,"บางบอน",เรื่องร้องเรียน!CL:CL,"1")</f>
        <v>0</v>
      </c>
      <c r="M141" s="138">
        <f t="shared" ref="M141:N144" si="58">SUM(C141,E141,G141,I141,K141)</f>
        <v>0</v>
      </c>
      <c r="N141" s="139">
        <f t="shared" si="58"/>
        <v>0</v>
      </c>
      <c r="O141" s="140"/>
      <c r="P141" s="138"/>
      <c r="Q141" s="138"/>
      <c r="R141" s="138"/>
      <c r="S141" s="138">
        <f>COUNTIFS(เรื่องร้องเรียน!E:E,"5",เรื่องร้องเรียน!N:N,"บางบอน",เรื่องร้องเรียน!AQ:AQ,"1",เรื่องร้องเรียน!CL:CL,"")</f>
        <v>0</v>
      </c>
      <c r="T141" s="141">
        <f t="shared" si="34"/>
        <v>0</v>
      </c>
      <c r="U141" s="129">
        <f t="shared" si="31"/>
        <v>0</v>
      </c>
      <c r="V141" s="10" t="s">
        <v>112</v>
      </c>
      <c r="W141" s="129">
        <f t="shared" ref="W141:W207" si="59">SUM(M141-N141)</f>
        <v>0</v>
      </c>
    </row>
    <row r="142" spans="1:25">
      <c r="A142" s="148"/>
      <c r="B142" s="171" t="s">
        <v>71</v>
      </c>
      <c r="C142" s="246">
        <f>COUNTIFS(เรื่องร้องเรียน!E:E,"1",เรื่องร้องเรียน!N:N,"บางบอน",เรื่องร้องเรียน!AN:AN,"บางขุนเทียน")</f>
        <v>0</v>
      </c>
      <c r="D142" s="109">
        <f>COUNTIFS(เรื่องร้องเรียน!E:E,"1",เรื่องร้องเรียน!N:N,"บางบอน",เรื่องร้องเรียน!AN:AN,"บางขุนเทียน",เรื่องร้องเรียน!CL:CL,"1")</f>
        <v>0</v>
      </c>
      <c r="E142" s="109">
        <f>COUNTIFS(เรื่องร้องเรียน!E:E,"2",เรื่องร้องเรียน!N:N,"บางบอน",เรื่องร้องเรียน!AN:AN,"บางขุนเทียน")</f>
        <v>0</v>
      </c>
      <c r="F142" s="109">
        <f>COUNTIFS(เรื่องร้องเรียน!E:E,"2",เรื่องร้องเรียน!N:N,"บางบอน",เรื่องร้องเรียน!AN:AN,"บางขุนเทียน",เรื่องร้องเรียน!CL:CL,"1")</f>
        <v>0</v>
      </c>
      <c r="G142" s="109">
        <f>COUNTIFS(เรื่องร้องเรียน!E:E,"3",เรื่องร้องเรียน!N:N,"บางบอน",เรื่องร้องเรียน!AN:AN,"บางขุนเทียน")</f>
        <v>0</v>
      </c>
      <c r="H142" s="109">
        <f>COUNTIFS(เรื่องร้องเรียน!E:E,"3",เรื่องร้องเรียน!N:N,"บางบอน",เรื่องร้องเรียน!AN:AN,"บางขุนเทียน",เรื่องร้องเรียน!CL:CL,"1")</f>
        <v>0</v>
      </c>
      <c r="I142" s="109">
        <f>COUNTIFS(เรื่องร้องเรียน!E:E,"4",เรื่องร้องเรียน!N:N,"บางบอน",เรื่องร้องเรียน!AN:AN,"บางขุนเทียน")</f>
        <v>0</v>
      </c>
      <c r="J142" s="144">
        <f>COUNTIFS(เรื่องร้องเรียน!E:E,"4",เรื่องร้องเรียน!N:N,"บางบอน",เรื่องร้องเรียน!AN:AN,"บางขุนเทียน",เรื่องร้องเรียน!CL:CL,"1")</f>
        <v>0</v>
      </c>
      <c r="K142" s="144"/>
      <c r="L142" s="144"/>
      <c r="M142" s="109">
        <f t="shared" si="58"/>
        <v>0</v>
      </c>
      <c r="N142" s="145">
        <f t="shared" si="58"/>
        <v>0</v>
      </c>
      <c r="O142" s="146">
        <f>COUNTIFS(เรื่องร้องเรียน!E:E,"1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P142" s="144">
        <f>COUNTIFS(เรื่องร้องเรียน!E:E,"2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Q142" s="144">
        <f>COUNTIFS(เรื่องร้องเรียน!E:E,"3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R142" s="144">
        <f>COUNTIFS(เรื่องร้องเรียน!E:E,"4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S142" s="144"/>
      <c r="T142" s="147">
        <f t="shared" si="34"/>
        <v>0</v>
      </c>
      <c r="U142" s="129">
        <f t="shared" si="31"/>
        <v>0</v>
      </c>
      <c r="V142" s="10" t="s">
        <v>76</v>
      </c>
      <c r="W142" s="129">
        <f t="shared" si="59"/>
        <v>0</v>
      </c>
      <c r="Y142" s="10" t="s">
        <v>112</v>
      </c>
    </row>
    <row r="143" spans="1:25">
      <c r="A143" s="148"/>
      <c r="B143" s="171" t="s">
        <v>94</v>
      </c>
      <c r="C143" s="246">
        <f>COUNTIFS(เรื่องร้องเรียน!E:E,"1",เรื่องร้องเรียน!N:N,"บางบอน",เรื่องร้องเรียน!AN:AN,"บางบอน")</f>
        <v>0</v>
      </c>
      <c r="D143" s="109">
        <f>COUNTIFS(เรื่องร้องเรียน!E:E,"1",เรื่องร้องเรียน!N:N,"บางบอน",เรื่องร้องเรียน!AN:AN,"บางบอน",เรื่องร้องเรียน!CL:CL,"1")</f>
        <v>0</v>
      </c>
      <c r="E143" s="109">
        <f>COUNTIFS(เรื่องร้องเรียน!E:E,"2",เรื่องร้องเรียน!N:N,"บางบอน",เรื่องร้องเรียน!AN:AN,"บางบอน")</f>
        <v>0</v>
      </c>
      <c r="F143" s="109">
        <f>COUNTIFS(เรื่องร้องเรียน!E:E,"2",เรื่องร้องเรียน!N:N,"บางบอน",เรื่องร้องเรียน!AN:AN,"บางบอน",เรื่องร้องเรียน!CL:CL,"1")</f>
        <v>0</v>
      </c>
      <c r="G143" s="109">
        <f>COUNTIFS(เรื่องร้องเรียน!E:E,"3",เรื่องร้องเรียน!N:N,"บางบอน",เรื่องร้องเรียน!AN:AN,"บางบอน")</f>
        <v>0</v>
      </c>
      <c r="H143" s="109">
        <f>COUNTIFS(เรื่องร้องเรียน!E:E,"3",เรื่องร้องเรียน!N:N,"บางบอน",เรื่องร้องเรียน!AN:AN,"บางบอน",เรื่องร้องเรียน!CL:CL,"1")</f>
        <v>0</v>
      </c>
      <c r="I143" s="109">
        <f>COUNTIFS(เรื่องร้องเรียน!E:E,"4",เรื่องร้องเรียน!N:N,"บางบอน",เรื่องร้องเรียน!AN:AN,"บางบอน")</f>
        <v>0</v>
      </c>
      <c r="J143" s="144">
        <f>COUNTIFS(เรื่องร้องเรียน!E:E,"4",เรื่องร้องเรียน!N:N,"บางบอน",เรื่องร้องเรียน!AN:AN,"บางบอน",เรื่องร้องเรียน!CL:CL,"1")</f>
        <v>0</v>
      </c>
      <c r="K143" s="144"/>
      <c r="L143" s="144"/>
      <c r="M143" s="109">
        <f t="shared" si="58"/>
        <v>0</v>
      </c>
      <c r="N143" s="145">
        <f t="shared" si="58"/>
        <v>0</v>
      </c>
      <c r="O143" s="146">
        <f>COUNTIFS(เรื่องร้องเรียน!E:E,"1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P143" s="144">
        <f>COUNTIFS(เรื่องร้องเรียน!E:E,"2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Q143" s="144">
        <f>COUNTIFS(เรื่องร้องเรียน!E:E,"3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R143" s="144">
        <f>COUNTIFS(เรื่องร้องเรียน!E:E,"4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S143" s="144"/>
      <c r="T143" s="147">
        <f t="shared" si="34"/>
        <v>0</v>
      </c>
      <c r="U143" s="129">
        <f t="shared" si="31"/>
        <v>0</v>
      </c>
      <c r="W143" s="129">
        <f t="shared" si="59"/>
        <v>0</v>
      </c>
    </row>
    <row r="144" spans="1:25">
      <c r="A144" s="148"/>
      <c r="B144" s="171" t="s">
        <v>70</v>
      </c>
      <c r="C144" s="123">
        <f>COUNTIFS(เรื่องร้องเรียน!E:E,"1",เรื่องร้องเรียน!N:N,"บางบอน",เรื่องร้องเรียน!AN:AN,"แสมดำ")</f>
        <v>0</v>
      </c>
      <c r="D144" s="117">
        <f>COUNTIFS(เรื่องร้องเรียน!E:E,"1",เรื่องร้องเรียน!N:N,"บางบอน",เรื่องร้องเรียน!AN:AN,"แสมดำ",เรื่องร้องเรียน!CL:CL,"1")</f>
        <v>0</v>
      </c>
      <c r="E144" s="117">
        <f>COUNTIFS(เรื่องร้องเรียน!E:E,"2",เรื่องร้องเรียน!N:N,"บางบอน",เรื่องร้องเรียน!AN:AN,"แสมดำ")</f>
        <v>0</v>
      </c>
      <c r="F144" s="117">
        <f>COUNTIFS(เรื่องร้องเรียน!E:E,"2",เรื่องร้องเรียน!N:N,"บางบอน",เรื่องร้องเรียน!AN:AN,"แสมดำ",เรื่องร้องเรียน!CL:CL,"1")</f>
        <v>0</v>
      </c>
      <c r="G144" s="117">
        <f>COUNTIFS(เรื่องร้องเรียน!E:E,"3",เรื่องร้องเรียน!N:N,"บางบอน",เรื่องร้องเรียน!AN:AN,"แสมดำ")</f>
        <v>0</v>
      </c>
      <c r="H144" s="117">
        <f>COUNTIFS(เรื่องร้องเรียน!E:E,"3",เรื่องร้องเรียน!N:N,"บางบอน",เรื่องร้องเรียน!AN:AN,"แสมดำ",เรื่องร้องเรียน!CL:CL,"1")</f>
        <v>0</v>
      </c>
      <c r="I144" s="117">
        <f>COUNTIFS(เรื่องร้องเรียน!E:E,"4",เรื่องร้องเรียน!N:N,"บางบอน",เรื่องร้องเรียน!AN:AN,"แสมดำ")</f>
        <v>0</v>
      </c>
      <c r="J144" s="152">
        <f>COUNTIFS(เรื่องร้องเรียน!E:E,"4",เรื่องร้องเรียน!N:N,"บางบอน",เรื่องร้องเรียน!AN:AN,"แสมดำ",เรื่องร้องเรียน!CL:CL,"1")</f>
        <v>0</v>
      </c>
      <c r="K144" s="152"/>
      <c r="L144" s="152"/>
      <c r="M144" s="117">
        <f t="shared" si="58"/>
        <v>0</v>
      </c>
      <c r="N144" s="122">
        <f t="shared" si="58"/>
        <v>0</v>
      </c>
      <c r="O144" s="153">
        <f>COUNTIFS(เรื่องร้องเรียน!E:E,"1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P144" s="152">
        <f>COUNTIFS(เรื่องร้องเรียน!E:E,"2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Q144" s="152">
        <f>COUNTIFS(เรื่องร้องเรียน!E:E,"3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R144" s="152">
        <f>COUNTIFS(เรื่องร้องเรียน!E:E,"4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S144" s="152"/>
      <c r="T144" s="154">
        <f t="shared" si="34"/>
        <v>0</v>
      </c>
      <c r="U144" s="129">
        <f t="shared" si="31"/>
        <v>0</v>
      </c>
      <c r="W144" s="129">
        <f t="shared" si="59"/>
        <v>0</v>
      </c>
    </row>
    <row r="145" spans="1:23">
      <c r="A145" s="148"/>
      <c r="B145" s="171" t="s">
        <v>112</v>
      </c>
      <c r="C145" s="123">
        <f>COUNTIFS(เรื่องร้องเรียน!E:E,"1",เรื่องร้องเรียน!N:N,"บางบอน",เรื่องร้องเรียน!AN:AN,"ท่าข้าม")</f>
        <v>0</v>
      </c>
      <c r="D145" s="117">
        <f>COUNTIFS(เรื่องร้องเรียน!E:E,"1",เรื่องร้องเรียน!N:N,"บางบอน",เรื่องร้องเรียน!AN:AN,"ท่าข้าม",เรื่องร้องเรียน!CL:CL,"1")</f>
        <v>0</v>
      </c>
      <c r="E145" s="117">
        <f>COUNTIFS(เรื่องร้องเรียน!E:E,"2",เรื่องร้องเรียน!N:N,"บางบอน",เรื่องร้องเรียน!AN:AN,"ท่าข้าม")</f>
        <v>0</v>
      </c>
      <c r="F145" s="117">
        <f>COUNTIFS(เรื่องร้องเรียน!E:E,"2",เรื่องร้องเรียน!N:N,"บางบอน",เรื่องร้องเรียน!AN:AN,"ท่าข้าม",เรื่องร้องเรียน!CL:CL,"1")</f>
        <v>0</v>
      </c>
      <c r="G145" s="117">
        <f>COUNTIFS(เรื่องร้องเรียน!E:E,"3",เรื่องร้องเรียน!N:N,"บางบอน",เรื่องร้องเรียน!AN:AN,"ท่าข้าม")</f>
        <v>0</v>
      </c>
      <c r="H145" s="117">
        <f>COUNTIFS(เรื่องร้องเรียน!E:E,"3",เรื่องร้องเรียน!N:N,"บางบอน",เรื่องร้องเรียน!AN:AN,"ท่าข้าม",เรื่องร้องเรียน!CL:CL,"1")</f>
        <v>0</v>
      </c>
      <c r="I145" s="117">
        <f>COUNTIFS(เรื่องร้องเรียน!E:E,"4",เรื่องร้องเรียน!N:N,"บางบอน",เรื่องร้องเรียน!AN:AN,"ท่าข้าม")</f>
        <v>0</v>
      </c>
      <c r="J145" s="152">
        <f>COUNTIFS(เรื่องร้องเรียน!E:E,"4",เรื่องร้องเรียน!N:N,"บางบอน",เรื่องร้องเรียน!AN:AN,"ท่าข้าม",เรื่องร้องเรียน!CL:CL,"1")</f>
        <v>0</v>
      </c>
      <c r="K145" s="152"/>
      <c r="L145" s="152"/>
      <c r="M145" s="117">
        <f>SUM(C145,E145,G145,I145,K145)</f>
        <v>0</v>
      </c>
      <c r="N145" s="122">
        <f>SUM(D145,F145,H145,J145,L145)</f>
        <v>0</v>
      </c>
      <c r="O145" s="153">
        <f>COUNTIFS(เรื่องร้องเรียน!E:E,"1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P145" s="152">
        <f>COUNTIFS(เรื่องร้องเรียน!E:E,"2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Q145" s="152">
        <f>COUNTIFS(เรื่องร้องเรียน!E:E,"3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R145" s="152">
        <f>COUNTIFS(เรื่องร้องเรียน!E:E,"4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S145" s="152"/>
      <c r="T145" s="154">
        <f>SUM(O145:S145)</f>
        <v>0</v>
      </c>
      <c r="U145" s="129">
        <f>M145-N145-T145</f>
        <v>0</v>
      </c>
      <c r="W145" s="129">
        <f t="shared" si="59"/>
        <v>0</v>
      </c>
    </row>
    <row r="146" spans="1:23" ht="21.6" thickBot="1">
      <c r="A146" s="150"/>
      <c r="B146" s="177" t="s">
        <v>76</v>
      </c>
      <c r="C146" s="123">
        <f>COUNTIFS(เรื่องร้องเรียน!E:E,"1",เรื่องร้องเรียน!N:N,"บางบอน",เรื่องร้องเรียน!AN:AN,"เพชรเกษม")</f>
        <v>0</v>
      </c>
      <c r="D146" s="117">
        <f>COUNTIFS(เรื่องร้องเรียน!E:E,"1",เรื่องร้องเรียน!N:N,"บางบอน",เรื่องร้องเรียน!AN:AN,"เพชรเกษม",เรื่องร้องเรียน!CL:CL,"1")</f>
        <v>0</v>
      </c>
      <c r="E146" s="117">
        <f>COUNTIFS(เรื่องร้องเรียน!E:E,"2",เรื่องร้องเรียน!N:N,"บางบอน",เรื่องร้องเรียน!AN:AN,"เพชรเกษม")</f>
        <v>0</v>
      </c>
      <c r="F146" s="117">
        <f>COUNTIFS(เรื่องร้องเรียน!E:E,"2",เรื่องร้องเรียน!N:N,"บางบอน",เรื่องร้องเรียน!AN:AN,"เพชรเกษม",เรื่องร้องเรียน!CL:CL,"1")</f>
        <v>0</v>
      </c>
      <c r="G146" s="117">
        <f>COUNTIFS(เรื่องร้องเรียน!E:E,"3",เรื่องร้องเรียน!N:N,"บางบอน",เรื่องร้องเรียน!AN:AN,"เพชรเกษม")</f>
        <v>0</v>
      </c>
      <c r="H146" s="117">
        <f>COUNTIFS(เรื่องร้องเรียน!E:E,"3",เรื่องร้องเรียน!N:N,"บางบอน",เรื่องร้องเรียน!AN:AN,"เพชรเกษม",เรื่องร้องเรียน!CL:CL,"1")</f>
        <v>0</v>
      </c>
      <c r="I146" s="117">
        <f>COUNTIFS(เรื่องร้องเรียน!E:E,"4",เรื่องร้องเรียน!N:N,"บางบอน",เรื่องร้องเรียน!AN:AN,"เพชรเกษม")</f>
        <v>0</v>
      </c>
      <c r="J146" s="152">
        <f>COUNTIFS(เรื่องร้องเรียน!E:E,"4",เรื่องร้องเรียน!N:N,"บางบอน",เรื่องร้องเรียน!AN:AN,"เพชรเกษม",เรื่องร้องเรียน!CL:CL,"1")</f>
        <v>0</v>
      </c>
      <c r="K146" s="152"/>
      <c r="L146" s="152"/>
      <c r="M146" s="117">
        <f>SUM(C146,E146,G146,I146,K146)</f>
        <v>0</v>
      </c>
      <c r="N146" s="122">
        <f>SUM(D146,F146,H146,J146,L146)</f>
        <v>0</v>
      </c>
      <c r="O146" s="153">
        <f>COUNTIFS(เรื่องร้องเรียน!E:E,"1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P146" s="152">
        <f>COUNTIFS(เรื่องร้องเรียน!E:E,"2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Q146" s="152">
        <f>COUNTIFS(เรื่องร้องเรียน!E:E,"3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R146" s="152">
        <f>COUNTIFS(เรื่องร้องเรียน!E:E,"4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S146" s="152"/>
      <c r="T146" s="154">
        <f>SUM(O146:S146)</f>
        <v>0</v>
      </c>
      <c r="U146" s="129">
        <f>M146-N146-T146</f>
        <v>0</v>
      </c>
      <c r="W146" s="129">
        <f t="shared" si="59"/>
        <v>0</v>
      </c>
    </row>
    <row r="147" spans="1:23" ht="21.6" thickBot="1">
      <c r="A147" s="130" t="s">
        <v>106</v>
      </c>
      <c r="B147" s="169" t="s">
        <v>152</v>
      </c>
      <c r="C147" s="132">
        <f>SUM(C148:C152 )</f>
        <v>0</v>
      </c>
      <c r="D147" s="131">
        <f t="shared" ref="D147:U147" si="60">SUM(D148:D152 )</f>
        <v>0</v>
      </c>
      <c r="E147" s="131">
        <f t="shared" si="60"/>
        <v>0</v>
      </c>
      <c r="F147" s="131">
        <f t="shared" si="60"/>
        <v>0</v>
      </c>
      <c r="G147" s="131">
        <f t="shared" si="60"/>
        <v>0</v>
      </c>
      <c r="H147" s="131">
        <f t="shared" si="60"/>
        <v>0</v>
      </c>
      <c r="I147" s="131">
        <f t="shared" si="60"/>
        <v>0</v>
      </c>
      <c r="J147" s="131">
        <f t="shared" si="60"/>
        <v>0</v>
      </c>
      <c r="K147" s="131">
        <f t="shared" si="60"/>
        <v>0</v>
      </c>
      <c r="L147" s="131">
        <f t="shared" si="60"/>
        <v>0</v>
      </c>
      <c r="M147" s="131">
        <f t="shared" si="60"/>
        <v>0</v>
      </c>
      <c r="N147" s="163">
        <f t="shared" si="60"/>
        <v>0</v>
      </c>
      <c r="O147" s="132">
        <f t="shared" si="60"/>
        <v>0</v>
      </c>
      <c r="P147" s="131">
        <f t="shared" si="60"/>
        <v>0</v>
      </c>
      <c r="Q147" s="131">
        <f t="shared" si="60"/>
        <v>0</v>
      </c>
      <c r="R147" s="131">
        <f t="shared" si="60"/>
        <v>0</v>
      </c>
      <c r="S147" s="131">
        <f t="shared" si="60"/>
        <v>0</v>
      </c>
      <c r="T147" s="133">
        <f t="shared" si="60"/>
        <v>0</v>
      </c>
      <c r="U147" s="185">
        <f t="shared" si="60"/>
        <v>0</v>
      </c>
      <c r="W147" s="135">
        <f t="shared" si="59"/>
        <v>0</v>
      </c>
    </row>
    <row r="148" spans="1:23">
      <c r="A148" s="173"/>
      <c r="B148" s="170" t="s">
        <v>20</v>
      </c>
      <c r="C148" s="140"/>
      <c r="D148" s="138"/>
      <c r="E148" s="138"/>
      <c r="F148" s="138"/>
      <c r="G148" s="138"/>
      <c r="H148" s="138"/>
      <c r="I148" s="138"/>
      <c r="J148" s="138"/>
      <c r="K148" s="138">
        <f>COUNTIFS(เรื่องร้องเรียน!E:E,"5",เรื่องร้องเรียน!N:N,"บางพลัด")</f>
        <v>0</v>
      </c>
      <c r="L148" s="138">
        <f>COUNTIFS(เรื่องร้องเรียน!E:E,"5",เรื่องร้องเรียน!N:N,"บางพลัด",เรื่องร้องเรียน!CL:CL,"1")</f>
        <v>0</v>
      </c>
      <c r="M148" s="138">
        <f t="shared" ref="M148:N152" si="61">SUM(C148,E148,G148,I148,K148)</f>
        <v>0</v>
      </c>
      <c r="N148" s="139">
        <f t="shared" si="61"/>
        <v>0</v>
      </c>
      <c r="O148" s="140"/>
      <c r="P148" s="138"/>
      <c r="Q148" s="138"/>
      <c r="R148" s="138"/>
      <c r="S148" s="138">
        <f>COUNTIFS(เรื่องร้องเรียน!E:E,"5",เรื่องร้องเรียน!N:N,"บางพลัด",เรื่องร้องเรียน!AQ:AQ,"1",เรื่องร้องเรียน!CL:CL,"")</f>
        <v>0</v>
      </c>
      <c r="T148" s="141">
        <f t="shared" si="34"/>
        <v>0</v>
      </c>
      <c r="U148" s="129">
        <f t="shared" si="31"/>
        <v>0</v>
      </c>
      <c r="V148" s="10" t="s">
        <v>185</v>
      </c>
      <c r="W148" s="129">
        <f t="shared" si="59"/>
        <v>0</v>
      </c>
    </row>
    <row r="149" spans="1:23">
      <c r="A149" s="148"/>
      <c r="B149" s="171" t="s">
        <v>192</v>
      </c>
      <c r="C149" s="246">
        <f>COUNTIFS(เรื่องร้องเรียน!E:E,"1",เรื่องร้องเรียน!N:N,"บางพลัด",เรื่องร้องเรียน!AN:AN,"บวรมงคล")</f>
        <v>0</v>
      </c>
      <c r="D149" s="109">
        <f>COUNTIFS(เรื่องร้องเรียน!E:E,"1",เรื่องร้องเรียน!N:N,"บางพลัด",เรื่องร้องเรียน!AN:AN,"บวรมงคล",เรื่องร้องเรียน!CL:CL,"1")</f>
        <v>0</v>
      </c>
      <c r="E149" s="109">
        <f>COUNTIFS(เรื่องร้องเรียน!E:E,"2",เรื่องร้องเรียน!N:N,"บางพลัด",เรื่องร้องเรียน!AN:AN,"บวรมงคล")</f>
        <v>0</v>
      </c>
      <c r="F149" s="109">
        <f>COUNTIFS(เรื่องร้องเรียน!E:E,"2",เรื่องร้องเรียน!N:N,"บางพลัด",เรื่องร้องเรียน!AN:AN,"บวรมงคล",เรื่องร้องเรียน!CL:CL,"1")</f>
        <v>0</v>
      </c>
      <c r="G149" s="109">
        <f>COUNTIFS(เรื่องร้องเรียน!E:E,"3",เรื่องร้องเรียน!N:N,"บางพลัด",เรื่องร้องเรียน!AN:AN,"บวรมงคล")</f>
        <v>0</v>
      </c>
      <c r="H149" s="109">
        <f>COUNTIFS(เรื่องร้องเรียน!E:E,"3",เรื่องร้องเรียน!N:N,"บางพลัด",เรื่องร้องเรียน!AN:AN,"บวรมงคล",เรื่องร้องเรียน!CL:CL,"1")</f>
        <v>0</v>
      </c>
      <c r="I149" s="109">
        <f>COUNTIFS(เรื่องร้องเรียน!E:E,"4",เรื่องร้องเรียน!N:N,"บางพลัด",เรื่องร้องเรียน!AN:AN,"บวรมงคล")</f>
        <v>0</v>
      </c>
      <c r="J149" s="144">
        <f>COUNTIFS(เรื่องร้องเรียน!E:E,"4",เรื่องร้องเรียน!N:N,"บางพลัด",เรื่องร้องเรียน!AN:AN,"บวรมงคล",เรื่องร้องเรียน!CL:CL,"1")</f>
        <v>0</v>
      </c>
      <c r="K149" s="144"/>
      <c r="L149" s="144"/>
      <c r="M149" s="109">
        <f t="shared" si="61"/>
        <v>0</v>
      </c>
      <c r="N149" s="145">
        <f t="shared" si="61"/>
        <v>0</v>
      </c>
      <c r="O149" s="146">
        <f>COUNTIFS(เรื่องร้องเรียน!E:E,"1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P149" s="144">
        <f>COUNTIFS(เรื่องร้องเรียน!E:E,"2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Q149" s="144">
        <f>COUNTIFS(เรื่องร้องเรียน!E:E,"3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R149" s="144">
        <f>COUNTIFS(เรื่องร้องเรียน!E:E,"4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S149" s="144"/>
      <c r="T149" s="147">
        <f t="shared" si="34"/>
        <v>0</v>
      </c>
      <c r="U149" s="129">
        <f t="shared" si="31"/>
        <v>0</v>
      </c>
      <c r="W149" s="129">
        <f t="shared" si="59"/>
        <v>0</v>
      </c>
    </row>
    <row r="150" spans="1:23">
      <c r="A150" s="148"/>
      <c r="B150" s="171" t="s">
        <v>106</v>
      </c>
      <c r="C150" s="246">
        <f>COUNTIFS(เรื่องร้องเรียน!E:E,"1",เรื่องร้องเรียน!N:N,"บางพลัด",เรื่องร้องเรียน!AN:AN,"บางพลัด")</f>
        <v>0</v>
      </c>
      <c r="D150" s="109">
        <f>COUNTIFS(เรื่องร้องเรียน!E:E,"1",เรื่องร้องเรียน!N:N,"บางพลัด",เรื่องร้องเรียน!AN:AN,"บางพลัด",เรื่องร้องเรียน!CL:CL,"1")</f>
        <v>0</v>
      </c>
      <c r="E150" s="109">
        <f>COUNTIFS(เรื่องร้องเรียน!E:E,"2",เรื่องร้องเรียน!N:N,"บางพลัด",เรื่องร้องเรียน!AN:AN,"บางพลัด")</f>
        <v>0</v>
      </c>
      <c r="F150" s="109">
        <f>COUNTIFS(เรื่องร้องเรียน!E:E,"2",เรื่องร้องเรียน!N:N,"บางพลัด",เรื่องร้องเรียน!AN:AN,"บางพลัด",เรื่องร้องเรียน!CL:CL,"1")</f>
        <v>0</v>
      </c>
      <c r="G150" s="109">
        <f>COUNTIFS(เรื่องร้องเรียน!E:E,"3",เรื่องร้องเรียน!N:N,"บางพลัด",เรื่องร้องเรียน!AN:AN,"บางพลัด")</f>
        <v>0</v>
      </c>
      <c r="H150" s="109">
        <f>COUNTIFS(เรื่องร้องเรียน!E:E,"3",เรื่องร้องเรียน!N:N,"บางพลัด",เรื่องร้องเรียน!AN:AN,"บางพลัด",เรื่องร้องเรียน!CL:CL,"1")</f>
        <v>0</v>
      </c>
      <c r="I150" s="109">
        <f>COUNTIFS(เรื่องร้องเรียน!E:E,"4",เรื่องร้องเรียน!N:N,"บางพลัด",เรื่องร้องเรียน!AN:AN,"บางพลัด")</f>
        <v>0</v>
      </c>
      <c r="J150" s="144">
        <f>COUNTIFS(เรื่องร้องเรียน!E:E,"4",เรื่องร้องเรียน!N:N,"บางพลัด",เรื่องร้องเรียน!AN:AN,"บางพลัด",เรื่องร้องเรียน!CL:CL,"1")</f>
        <v>0</v>
      </c>
      <c r="K150" s="144"/>
      <c r="L150" s="144"/>
      <c r="M150" s="109">
        <f t="shared" si="61"/>
        <v>0</v>
      </c>
      <c r="N150" s="145">
        <f t="shared" si="61"/>
        <v>0</v>
      </c>
      <c r="O150" s="146">
        <f>COUNTIFS(เรื่องร้องเรียน!E:E,"1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P150" s="144">
        <f>COUNTIFS(เรื่องร้องเรียน!E:E,"2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Q150" s="144">
        <f>COUNTIFS(เรื่องร้องเรียน!E:E,"3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R150" s="144">
        <f>COUNTIFS(เรื่องร้องเรียน!E:E,"4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S150" s="144"/>
      <c r="T150" s="147">
        <f t="shared" si="34"/>
        <v>0</v>
      </c>
      <c r="U150" s="129">
        <f t="shared" si="31"/>
        <v>0</v>
      </c>
      <c r="W150" s="129">
        <f t="shared" si="59"/>
        <v>0</v>
      </c>
    </row>
    <row r="151" spans="1:23">
      <c r="A151" s="150"/>
      <c r="B151" s="177" t="s">
        <v>127</v>
      </c>
      <c r="C151" s="123">
        <f>COUNTIFS(เรื่องร้องเรียน!E:E,"1",เรื่องร้องเรียน!N:N,"บางพลัด",เรื่องร้องเรียน!AN:AN,"บางยี่ขัน")</f>
        <v>0</v>
      </c>
      <c r="D151" s="117">
        <f>COUNTIFS(เรื่องร้องเรียน!E:E,"1",เรื่องร้องเรียน!N:N,"บางพลัด",เรื่องร้องเรียน!AN:AN,"บางยี่ขัน",เรื่องร้องเรียน!CL:CL,"1")</f>
        <v>0</v>
      </c>
      <c r="E151" s="117">
        <f>COUNTIFS(เรื่องร้องเรียน!E:E,"2",เรื่องร้องเรียน!N:N,"บางพลัด",เรื่องร้องเรียน!AN:AN,"บางยี่ขัน")</f>
        <v>0</v>
      </c>
      <c r="F151" s="117">
        <f>COUNTIFS(เรื่องร้องเรียน!E:E,"2",เรื่องร้องเรียน!N:N,"บางพลัด",เรื่องร้องเรียน!AN:AN,"บางยี่ขัน",เรื่องร้องเรียน!CL:CL,"1")</f>
        <v>0</v>
      </c>
      <c r="G151" s="117">
        <f>COUNTIFS(เรื่องร้องเรียน!E:E,"3",เรื่องร้องเรียน!N:N,"บางพลัด",เรื่องร้องเรียน!AN:AN,"บางยี่ขัน")</f>
        <v>0</v>
      </c>
      <c r="H151" s="117">
        <f>COUNTIFS(เรื่องร้องเรียน!E:E,"3",เรื่องร้องเรียน!N:N,"บางพลัด",เรื่องร้องเรียน!AN:AN,"บางยี่ขัน",เรื่องร้องเรียน!CL:CL,"1")</f>
        <v>0</v>
      </c>
      <c r="I151" s="117">
        <f>COUNTIFS(เรื่องร้องเรียน!E:E,"4",เรื่องร้องเรียน!N:N,"บางพลัด",เรื่องร้องเรียน!AN:AN,"บางยี่ขัน")</f>
        <v>0</v>
      </c>
      <c r="J151" s="152">
        <f>COUNTIFS(เรื่องร้องเรียน!E:E,"4",เรื่องร้องเรียน!N:N,"บางพลัด",เรื่องร้องเรียน!AN:AN,"บางยี่ขัน",เรื่องร้องเรียน!CL:CL,"1")</f>
        <v>0</v>
      </c>
      <c r="K151" s="152"/>
      <c r="L151" s="152"/>
      <c r="M151" s="117">
        <f t="shared" si="61"/>
        <v>0</v>
      </c>
      <c r="N151" s="122">
        <f t="shared" si="61"/>
        <v>0</v>
      </c>
      <c r="O151" s="153">
        <f>COUNTIFS(เรื่องร้องเรียน!E:E,"1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P151" s="152">
        <f>COUNTIFS(เรื่องร้องเรียน!E:E,"2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Q151" s="152">
        <f>COUNTIFS(เรื่องร้องเรียน!E:E,"3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R151" s="152">
        <f>COUNTIFS(เรื่องร้องเรียน!E:E,"4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S151" s="152"/>
      <c r="T151" s="154">
        <f t="shared" si="34"/>
        <v>0</v>
      </c>
      <c r="U151" s="129">
        <f t="shared" si="31"/>
        <v>0</v>
      </c>
      <c r="W151" s="129">
        <f t="shared" si="59"/>
        <v>0</v>
      </c>
    </row>
    <row r="152" spans="1:23" ht="21.6" thickBot="1">
      <c r="A152" s="168"/>
      <c r="B152" s="166" t="s">
        <v>185</v>
      </c>
      <c r="C152" s="123">
        <f>COUNTIFS(เรื่องร้องเรียน!E:E,"1",เรื่องร้องเรียน!N:N,"บางพลัด",เรื่องร้องเรียน!AN:AN,"ตลิ่งชัน")</f>
        <v>0</v>
      </c>
      <c r="D152" s="117">
        <f>COUNTIFS(เรื่องร้องเรียน!E:E,"1",เรื่องร้องเรียน!N:N,"บางพลัด",เรื่องร้องเรียน!AN:AN,"ตลิ่งชัน",เรื่องร้องเรียน!CL:CL,"1")</f>
        <v>0</v>
      </c>
      <c r="E152" s="117">
        <f>COUNTIFS(เรื่องร้องเรียน!E:E,"2",เรื่องร้องเรียน!N:N,"บางพลัด",เรื่องร้องเรียน!AN:AN,"ตลิ่งชัน")</f>
        <v>0</v>
      </c>
      <c r="F152" s="117">
        <f>COUNTIFS(เรื่องร้องเรียน!E:E,"2",เรื่องร้องเรียน!N:N,"บางพลัด",เรื่องร้องเรียน!AN:AN,"ตลิ่งชัน",เรื่องร้องเรียน!CL:CL,"1")</f>
        <v>0</v>
      </c>
      <c r="G152" s="117">
        <f>COUNTIFS(เรื่องร้องเรียน!E:E,"3",เรื่องร้องเรียน!N:N,"บางพลัด",เรื่องร้องเรียน!AN:AN,"ตลิ่งชัน")</f>
        <v>0</v>
      </c>
      <c r="H152" s="117">
        <f>COUNTIFS(เรื่องร้องเรียน!E:E,"3",เรื่องร้องเรียน!N:N,"บางพลัด",เรื่องร้องเรียน!AN:AN,"ตลิ่งชัน",เรื่องร้องเรียน!CL:CL,"1")</f>
        <v>0</v>
      </c>
      <c r="I152" s="117">
        <f>COUNTIFS(เรื่องร้องเรียน!E:E,"4",เรื่องร้องเรียน!N:N,"บางพลัด",เรื่องร้องเรียน!AN:AN,"ตลิ่งชัน")</f>
        <v>0</v>
      </c>
      <c r="J152" s="152">
        <f>COUNTIFS(เรื่องร้องเรียน!E:E,"4",เรื่องร้องเรียน!N:N,"บางพลัด",เรื่องร้องเรียน!AN:AN,"ตลิ่งชัน",เรื่องร้องเรียน!CL:CL,"1")</f>
        <v>0</v>
      </c>
      <c r="K152" s="152"/>
      <c r="L152" s="152"/>
      <c r="M152" s="117">
        <f t="shared" si="61"/>
        <v>0</v>
      </c>
      <c r="N152" s="122">
        <f t="shared" si="61"/>
        <v>0</v>
      </c>
      <c r="O152" s="153">
        <f>COUNTIFS(เรื่องร้องเรียน!E:E,"1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P152" s="152">
        <f>COUNTIFS(เรื่องร้องเรียน!E:E,"2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Q152" s="152">
        <f>COUNTIFS(เรื่องร้องเรียน!E:E,"3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R152" s="152">
        <f>COUNTIFS(เรื่องร้องเรียน!E:E,"4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S152" s="152"/>
      <c r="T152" s="154">
        <f t="shared" si="34"/>
        <v>0</v>
      </c>
      <c r="U152" s="129">
        <f t="shared" si="31"/>
        <v>0</v>
      </c>
      <c r="W152" s="129">
        <f t="shared" si="59"/>
        <v>0</v>
      </c>
    </row>
    <row r="153" spans="1:23" ht="21.6" thickBot="1">
      <c r="A153" s="130" t="s">
        <v>125</v>
      </c>
      <c r="B153" s="169" t="s">
        <v>152</v>
      </c>
      <c r="C153" s="132">
        <f>SUM(C154:C157 )</f>
        <v>0</v>
      </c>
      <c r="D153" s="131">
        <f t="shared" ref="D153:T153" si="62">SUM(D154:D157 )</f>
        <v>0</v>
      </c>
      <c r="E153" s="131">
        <f t="shared" si="62"/>
        <v>0</v>
      </c>
      <c r="F153" s="131">
        <f t="shared" si="62"/>
        <v>0</v>
      </c>
      <c r="G153" s="131">
        <f t="shared" si="62"/>
        <v>0</v>
      </c>
      <c r="H153" s="131">
        <f t="shared" si="62"/>
        <v>0</v>
      </c>
      <c r="I153" s="131">
        <f t="shared" si="62"/>
        <v>0</v>
      </c>
      <c r="J153" s="131">
        <f t="shared" si="62"/>
        <v>0</v>
      </c>
      <c r="K153" s="131">
        <f t="shared" si="62"/>
        <v>0</v>
      </c>
      <c r="L153" s="131">
        <f t="shared" si="62"/>
        <v>0</v>
      </c>
      <c r="M153" s="131">
        <f t="shared" si="62"/>
        <v>0</v>
      </c>
      <c r="N153" s="163">
        <f t="shared" si="62"/>
        <v>0</v>
      </c>
      <c r="O153" s="132">
        <f t="shared" si="62"/>
        <v>0</v>
      </c>
      <c r="P153" s="131">
        <f t="shared" si="62"/>
        <v>0</v>
      </c>
      <c r="Q153" s="131">
        <f t="shared" si="62"/>
        <v>0</v>
      </c>
      <c r="R153" s="131">
        <f t="shared" si="62"/>
        <v>0</v>
      </c>
      <c r="S153" s="131">
        <f t="shared" si="62"/>
        <v>0</v>
      </c>
      <c r="T153" s="133">
        <f t="shared" si="62"/>
        <v>0</v>
      </c>
      <c r="U153" s="134">
        <f t="shared" si="31"/>
        <v>0</v>
      </c>
      <c r="W153" s="135">
        <f t="shared" si="59"/>
        <v>0</v>
      </c>
    </row>
    <row r="154" spans="1:23">
      <c r="A154" s="173"/>
      <c r="B154" s="170" t="s">
        <v>20</v>
      </c>
      <c r="C154" s="140"/>
      <c r="D154" s="138"/>
      <c r="E154" s="138"/>
      <c r="F154" s="138"/>
      <c r="G154" s="138"/>
      <c r="H154" s="138"/>
      <c r="I154" s="138"/>
      <c r="J154" s="138"/>
      <c r="K154" s="138">
        <f>COUNTIFS(เรื่องร้องเรียน!E:E,"5",เรื่องร้องเรียน!N:N,"บางรัก")</f>
        <v>0</v>
      </c>
      <c r="L154" s="138">
        <f>COUNTIFS(เรื่องร้องเรียน!E:E,"5",เรื่องร้องเรียน!N:N,"บางรัก",เรื่องร้องเรียน!CL:CL,"1")</f>
        <v>0</v>
      </c>
      <c r="M154" s="138">
        <f t="shared" ref="M154:N157" si="63">SUM(C154,E154,G154,I154,K154)</f>
        <v>0</v>
      </c>
      <c r="N154" s="139">
        <f t="shared" si="63"/>
        <v>0</v>
      </c>
      <c r="O154" s="140"/>
      <c r="P154" s="138"/>
      <c r="Q154" s="138"/>
      <c r="R154" s="138"/>
      <c r="S154" s="138">
        <f>COUNTIFS(เรื่องร้องเรียน!E:E,"5",เรื่องร้องเรียน!N:N,"บางรัก",เรื่องร้องเรียน!AQ:AQ,"1",เรื่องร้องเรียน!CL:CL,"")</f>
        <v>0</v>
      </c>
      <c r="T154" s="141">
        <f t="shared" si="34"/>
        <v>0</v>
      </c>
      <c r="U154" s="129">
        <f t="shared" si="31"/>
        <v>0</v>
      </c>
      <c r="W154" s="129">
        <f t="shared" si="59"/>
        <v>0</v>
      </c>
    </row>
    <row r="155" spans="1:23">
      <c r="A155" s="148"/>
      <c r="B155" s="171" t="s">
        <v>142</v>
      </c>
      <c r="C155" s="246">
        <f>COUNTIFS(เรื่องร้องเรียน!E:E,"1",เรื่องร้องเรียน!N:N,"บางรัก",เรื่องร้องเรียน!AN:AN,"ทุ่งมหาเมฆ")</f>
        <v>0</v>
      </c>
      <c r="D155" s="109">
        <f>COUNTIFS(เรื่องร้องเรียน!E:E,"1",เรื่องร้องเรียน!N:N,"บางรัก",เรื่องร้องเรียน!AN:AN,"ทุ่งมหาเมฆ",เรื่องร้องเรียน!CL:CL,"1")</f>
        <v>0</v>
      </c>
      <c r="E155" s="109">
        <f>COUNTIFS(เรื่องร้องเรียน!E:E,"2",เรื่องร้องเรียน!N:N,"บางรัก",เรื่องร้องเรียน!AN:AN,"ทุ่งมหาเมฆ")</f>
        <v>0</v>
      </c>
      <c r="F155" s="109">
        <f>COUNTIFS(เรื่องร้องเรียน!E:E,"2",เรื่องร้องเรียน!N:N,"บางรัก",เรื่องร้องเรียน!AN:AN,"ทุ่งมหาเมฆ",เรื่องร้องเรียน!CL:CL,"1")</f>
        <v>0</v>
      </c>
      <c r="G155" s="109">
        <f>COUNTIFS(เรื่องร้องเรียน!E:E,"3",เรื่องร้องเรียน!N:N,"บางรัก",เรื่องร้องเรียน!AN:AN,"ทุ่งมหาเมฆ")</f>
        <v>0</v>
      </c>
      <c r="H155" s="109">
        <f>COUNTIFS(เรื่องร้องเรียน!E:E,"3",เรื่องร้องเรียน!N:N,"บางรัก",เรื่องร้องเรียน!AN:AN,"ทุ่งมหาเมฆ",เรื่องร้องเรียน!CL:CL,"1")</f>
        <v>0</v>
      </c>
      <c r="I155" s="109">
        <f>COUNTIFS(เรื่องร้องเรียน!E:E,"4",เรื่องร้องเรียน!N:N,"บางรัก",เรื่องร้องเรียน!AN:AN,"ทุ่งมหาเมฆ")</f>
        <v>0</v>
      </c>
      <c r="J155" s="144">
        <f>COUNTIFS(เรื่องร้องเรียน!E:E,"4",เรื่องร้องเรียน!N:N,"บางรัก",เรื่องร้องเรียน!AN:AN,"ทุ่งมหาเมฆ",เรื่องร้องเรียน!CL:CL,"1")</f>
        <v>0</v>
      </c>
      <c r="K155" s="144"/>
      <c r="L155" s="144"/>
      <c r="M155" s="109">
        <f t="shared" si="63"/>
        <v>0</v>
      </c>
      <c r="N155" s="145">
        <f t="shared" si="63"/>
        <v>0</v>
      </c>
      <c r="O155" s="146">
        <f>COUNTIFS(เรื่องร้องเรียน!E:E,"1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P155" s="144">
        <f>COUNTIFS(เรื่องร้องเรียน!E:E,"2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Q155" s="144">
        <f>COUNTIFS(เรื่องร้องเรียน!E:E,"3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R155" s="144">
        <f>COUNTIFS(เรื่องร้องเรียน!E:E,"4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S155" s="144"/>
      <c r="T155" s="147">
        <f t="shared" si="34"/>
        <v>0</v>
      </c>
      <c r="U155" s="129">
        <f t="shared" si="31"/>
        <v>0</v>
      </c>
      <c r="W155" s="129">
        <f t="shared" si="59"/>
        <v>0</v>
      </c>
    </row>
    <row r="156" spans="1:23">
      <c r="A156" s="148"/>
      <c r="B156" s="171" t="s">
        <v>125</v>
      </c>
      <c r="C156" s="246">
        <f>COUNTIFS(เรื่องร้องเรียน!E:E,"1",เรื่องร้องเรียน!N:N,"บางรัก",เรื่องร้องเรียน!AN:AN,"บางรัก")</f>
        <v>0</v>
      </c>
      <c r="D156" s="109">
        <f>COUNTIFS(เรื่องร้องเรียน!E:E,"1",เรื่องร้องเรียน!N:N,"บางรัก",เรื่องร้องเรียน!AN:AN,"บางรัก",เรื่องร้องเรียน!CL:CL,"1")</f>
        <v>0</v>
      </c>
      <c r="E156" s="109">
        <f>COUNTIFS(เรื่องร้องเรียน!E:E,"2",เรื่องร้องเรียน!N:N,"บางรัก",เรื่องร้องเรียน!AN:AN,"บางรัก")</f>
        <v>0</v>
      </c>
      <c r="F156" s="109">
        <f>COUNTIFS(เรื่องร้องเรียน!E:E,"2",เรื่องร้องเรียน!N:N,"บางรัก",เรื่องร้องเรียน!AN:AN,"บางรัก",เรื่องร้องเรียน!CL:CL,"1")</f>
        <v>0</v>
      </c>
      <c r="G156" s="109">
        <f>COUNTIFS(เรื่องร้องเรียน!E:E,"3",เรื่องร้องเรียน!N:N,"บางรัก",เรื่องร้องเรียน!AN:AN,"บางรัก")</f>
        <v>0</v>
      </c>
      <c r="H156" s="109">
        <f>COUNTIFS(เรื่องร้องเรียน!E:E,"3",เรื่องร้องเรียน!N:N,"บางรัก",เรื่องร้องเรียน!AN:AN,"บางรัก",เรื่องร้องเรียน!CL:CL,"1")</f>
        <v>0</v>
      </c>
      <c r="I156" s="109">
        <f>COUNTIFS(เรื่องร้องเรียน!E:E,"4",เรื่องร้องเรียน!N:N,"บางรัก",เรื่องร้องเรียน!AN:AN,"บางรัก")</f>
        <v>0</v>
      </c>
      <c r="J156" s="144">
        <f>COUNTIFS(เรื่องร้องเรียน!E:E,"4",เรื่องร้องเรียน!N:N,"บางรัก",เรื่องร้องเรียน!AN:AN,"บางรัก",เรื่องร้องเรียน!CL:CL,"1")</f>
        <v>0</v>
      </c>
      <c r="K156" s="144"/>
      <c r="L156" s="144"/>
      <c r="M156" s="109">
        <f t="shared" si="63"/>
        <v>0</v>
      </c>
      <c r="N156" s="145">
        <f t="shared" si="63"/>
        <v>0</v>
      </c>
      <c r="O156" s="146">
        <f>COUNTIFS(เรื่องร้องเรียน!E:E,"1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P156" s="144">
        <f>COUNTIFS(เรื่องร้องเรียน!E:E,"2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Q156" s="144">
        <f>COUNTIFS(เรื่องร้องเรียน!E:E,"3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R156" s="144">
        <f>COUNTIFS(เรื่องร้องเรียน!E:E,"4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S156" s="144"/>
      <c r="T156" s="147">
        <f t="shared" si="34"/>
        <v>0</v>
      </c>
      <c r="U156" s="129">
        <f t="shared" si="31"/>
        <v>0</v>
      </c>
      <c r="W156" s="129">
        <f t="shared" si="59"/>
        <v>0</v>
      </c>
    </row>
    <row r="157" spans="1:23" ht="21.6" thickBot="1">
      <c r="A157" s="150"/>
      <c r="B157" s="177" t="s">
        <v>80</v>
      </c>
      <c r="C157" s="123">
        <f>COUNTIFS(เรื่องร้องเรียน!E:E,"1",เรื่องร้องเรียน!N:N,"บางรัก",เรื่องร้องเรียน!AN:AN,"ยานนาวา")</f>
        <v>0</v>
      </c>
      <c r="D157" s="117">
        <f>COUNTIFS(เรื่องร้องเรียน!E:E,"1",เรื่องร้องเรียน!N:N,"บางรัก",เรื่องร้องเรียน!AN:AN,"ยานนาวา",เรื่องร้องเรียน!CL:CL,"1")</f>
        <v>0</v>
      </c>
      <c r="E157" s="117">
        <f>COUNTIFS(เรื่องร้องเรียน!E:E,"2",เรื่องร้องเรียน!N:N,"บางรัก",เรื่องร้องเรียน!AN:AN,"ยานนาวา")</f>
        <v>0</v>
      </c>
      <c r="F157" s="117">
        <f>COUNTIFS(เรื่องร้องเรียน!E:E,"2",เรื่องร้องเรียน!N:N,"บางรัก",เรื่องร้องเรียน!AN:AN,"ยานนาวา",เรื่องร้องเรียน!CL:CL,"1")</f>
        <v>0</v>
      </c>
      <c r="G157" s="117">
        <f>COUNTIFS(เรื่องร้องเรียน!E:E,"3",เรื่องร้องเรียน!N:N,"บางรัก",เรื่องร้องเรียน!AN:AN,"ยานนาวา")</f>
        <v>0</v>
      </c>
      <c r="H157" s="117">
        <f>COUNTIFS(เรื่องร้องเรียน!E:E,"3",เรื่องร้องเรียน!N:N,"บางรัก",เรื่องร้องเรียน!AN:AN,"ยานนาวา",เรื่องร้องเรียน!CL:CL,"1")</f>
        <v>0</v>
      </c>
      <c r="I157" s="117">
        <f>COUNTIFS(เรื่องร้องเรียน!E:E,"4",เรื่องร้องเรียน!N:N,"บางรัก",เรื่องร้องเรียน!AN:AN,"ยานนาวา")</f>
        <v>0</v>
      </c>
      <c r="J157" s="152">
        <f>COUNTIFS(เรื่องร้องเรียน!E:E,"4",เรื่องร้องเรียน!N:N,"บางรัก",เรื่องร้องเรียน!AN:AN,"ยานนาวา",เรื่องร้องเรียน!CL:CL,"1")</f>
        <v>0</v>
      </c>
      <c r="K157" s="152"/>
      <c r="L157" s="152"/>
      <c r="M157" s="117">
        <f t="shared" si="63"/>
        <v>0</v>
      </c>
      <c r="N157" s="122">
        <f t="shared" si="63"/>
        <v>0</v>
      </c>
      <c r="O157" s="153">
        <f>COUNTIFS(เรื่องร้องเรียน!E:E,"1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P157" s="152">
        <f>COUNTIFS(เรื่องร้องเรียน!E:E,"2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Q157" s="152">
        <f>COUNTIFS(เรื่องร้องเรียน!E:E,"3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R157" s="152">
        <f>COUNTIFS(เรื่องร้องเรียน!E:E,"4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S157" s="152"/>
      <c r="T157" s="154">
        <f t="shared" si="34"/>
        <v>0</v>
      </c>
      <c r="U157" s="129">
        <f t="shared" si="31"/>
        <v>0</v>
      </c>
      <c r="W157" s="129">
        <f t="shared" si="59"/>
        <v>0</v>
      </c>
    </row>
    <row r="158" spans="1:23" ht="21.6" thickBot="1">
      <c r="A158" s="130" t="s">
        <v>67</v>
      </c>
      <c r="B158" s="169" t="s">
        <v>152</v>
      </c>
      <c r="C158" s="132">
        <f>SUM(C159:C163 )</f>
        <v>0</v>
      </c>
      <c r="D158" s="131">
        <f t="shared" ref="D158:T158" si="64">SUM(D159:D163 )</f>
        <v>0</v>
      </c>
      <c r="E158" s="131">
        <f t="shared" si="64"/>
        <v>0</v>
      </c>
      <c r="F158" s="131">
        <f t="shared" si="64"/>
        <v>0</v>
      </c>
      <c r="G158" s="131">
        <f t="shared" si="64"/>
        <v>0</v>
      </c>
      <c r="H158" s="131">
        <f t="shared" si="64"/>
        <v>0</v>
      </c>
      <c r="I158" s="131">
        <f t="shared" si="64"/>
        <v>0</v>
      </c>
      <c r="J158" s="131">
        <f t="shared" si="64"/>
        <v>0</v>
      </c>
      <c r="K158" s="131">
        <f t="shared" si="64"/>
        <v>0</v>
      </c>
      <c r="L158" s="131">
        <f t="shared" si="64"/>
        <v>0</v>
      </c>
      <c r="M158" s="131">
        <f t="shared" si="64"/>
        <v>0</v>
      </c>
      <c r="N158" s="163">
        <f t="shared" si="64"/>
        <v>0</v>
      </c>
      <c r="O158" s="132">
        <f t="shared" si="64"/>
        <v>0</v>
      </c>
      <c r="P158" s="131">
        <f t="shared" si="64"/>
        <v>0</v>
      </c>
      <c r="Q158" s="131">
        <f t="shared" si="64"/>
        <v>0</v>
      </c>
      <c r="R158" s="131">
        <f t="shared" si="64"/>
        <v>0</v>
      </c>
      <c r="S158" s="131">
        <f t="shared" si="64"/>
        <v>0</v>
      </c>
      <c r="T158" s="133">
        <f t="shared" si="64"/>
        <v>0</v>
      </c>
      <c r="U158" s="134">
        <f t="shared" si="31"/>
        <v>0</v>
      </c>
      <c r="W158" s="135">
        <f t="shared" si="59"/>
        <v>0</v>
      </c>
    </row>
    <row r="159" spans="1:23">
      <c r="A159" s="173"/>
      <c r="B159" s="170" t="s">
        <v>20</v>
      </c>
      <c r="C159" s="140"/>
      <c r="D159" s="138"/>
      <c r="E159" s="138"/>
      <c r="F159" s="138"/>
      <c r="G159" s="138"/>
      <c r="H159" s="138"/>
      <c r="I159" s="138"/>
      <c r="J159" s="138"/>
      <c r="K159" s="138">
        <f>COUNTIFS(เรื่องร้องเรียน!E:E,"5",เรื่องร้องเรียน!N:N,"บึงกุ่ม")</f>
        <v>0</v>
      </c>
      <c r="L159" s="138">
        <f>COUNTIFS(เรื่องร้องเรียน!E:E,"5",เรื่องร้องเรียน!N:N,"บึงกุ่ม",เรื่องร้องเรียน!CL:CL,"1")</f>
        <v>0</v>
      </c>
      <c r="M159" s="138">
        <f t="shared" ref="M159:N162" si="65">SUM(C159,E159,G159,I159,K159)</f>
        <v>0</v>
      </c>
      <c r="N159" s="139">
        <f t="shared" si="65"/>
        <v>0</v>
      </c>
      <c r="O159" s="140"/>
      <c r="P159" s="138"/>
      <c r="Q159" s="138"/>
      <c r="R159" s="138"/>
      <c r="S159" s="138">
        <f>COUNTIFS(เรื่องร้องเรียน!E:E,"5",เรื่องร้องเรียน!N:N,"บึงกุ่ม",เรื่องร้องเรียน!AQ:AQ,"1",เรื่องร้องเรียน!CL:CL,"")</f>
        <v>0</v>
      </c>
      <c r="T159" s="141">
        <f t="shared" si="34"/>
        <v>0</v>
      </c>
      <c r="U159" s="129">
        <f t="shared" si="31"/>
        <v>0</v>
      </c>
      <c r="W159" s="129">
        <f t="shared" si="59"/>
        <v>0</v>
      </c>
    </row>
    <row r="160" spans="1:23">
      <c r="A160" s="148"/>
      <c r="B160" s="171" t="s">
        <v>69</v>
      </c>
      <c r="C160" s="246">
        <f>COUNTIFS(เรื่องร้องเรียน!E:E,"1",เรื่องร้องเรียน!N:N,"บึงกุ่ม",เรื่องร้องเรียน!AN:AN,"โคกคราม")</f>
        <v>0</v>
      </c>
      <c r="D160" s="109">
        <f>COUNTIFS(เรื่องร้องเรียน!E:E,"1",เรื่องร้องเรียน!N:N,"บึงกุ่ม",เรื่องร้องเรียน!AN:AN,"โคกคราม",เรื่องร้องเรียน!CL:CL,"1")</f>
        <v>0</v>
      </c>
      <c r="E160" s="109">
        <f>COUNTIFS(เรื่องร้องเรียน!E:E,"2",เรื่องร้องเรียน!N:N,"บึงกุ่ม",เรื่องร้องเรียน!AN:AN,"โคกคราม")</f>
        <v>0</v>
      </c>
      <c r="F160" s="109">
        <f>COUNTIFS(เรื่องร้องเรียน!E:E,"2",เรื่องร้องเรียน!N:N,"บึงกุ่ม",เรื่องร้องเรียน!AN:AN,"โคกคราม",เรื่องร้องเรียน!CL:CL,"1")</f>
        <v>0</v>
      </c>
      <c r="G160" s="109">
        <f>COUNTIFS(เรื่องร้องเรียน!E:E,"3",เรื่องร้องเรียน!N:N,"บึงกุ่ม",เรื่องร้องเรียน!AN:AN,"โคกคราม")</f>
        <v>0</v>
      </c>
      <c r="H160" s="109">
        <f>COUNTIFS(เรื่องร้องเรียน!E:E,"3",เรื่องร้องเรียน!N:N,"บึงกุ่ม",เรื่องร้องเรียน!AN:AN,"โคกคราม",เรื่องร้องเรียน!CL:CL,"1")</f>
        <v>0</v>
      </c>
      <c r="I160" s="109">
        <f>COUNTIFS(เรื่องร้องเรียน!E:E,"4",เรื่องร้องเรียน!N:N,"บึงกุ่ม",เรื่องร้องเรียน!AN:AN,"โคกคราม")</f>
        <v>0</v>
      </c>
      <c r="J160" s="144">
        <f>COUNTIFS(เรื่องร้องเรียน!E:E,"4",เรื่องร้องเรียน!N:N,"บึงกุ่ม",เรื่องร้องเรียน!AN:AN,"โคกคราม",เรื่องร้องเรียน!CL:CL,"1")</f>
        <v>0</v>
      </c>
      <c r="K160" s="144"/>
      <c r="L160" s="144"/>
      <c r="M160" s="109">
        <f t="shared" si="65"/>
        <v>0</v>
      </c>
      <c r="N160" s="145">
        <f t="shared" si="65"/>
        <v>0</v>
      </c>
      <c r="O160" s="146">
        <f>COUNTIFS(เรื่องร้องเรียน!E:E,"1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P160" s="144">
        <f>COUNTIFS(เรื่องร้องเรียน!E:E,"2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Q160" s="144">
        <f>COUNTIFS(เรื่องร้องเรียน!E:E,"3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R160" s="144">
        <f>COUNTIFS(เรื่องร้องเรียน!E:E,"4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S160" s="144"/>
      <c r="T160" s="147">
        <f t="shared" si="34"/>
        <v>0</v>
      </c>
      <c r="U160" s="129">
        <f t="shared" si="31"/>
        <v>0</v>
      </c>
      <c r="W160" s="129">
        <f t="shared" si="59"/>
        <v>0</v>
      </c>
    </row>
    <row r="161" spans="1:23">
      <c r="A161" s="148"/>
      <c r="B161" s="171" t="s">
        <v>67</v>
      </c>
      <c r="C161" s="246">
        <f>COUNTIFS(เรื่องร้องเรียน!E:E,"1",เรื่องร้องเรียน!N:N,"บึงกุ่ม",เรื่องร้องเรียน!AN:AN,"บึงกุ่ม")</f>
        <v>0</v>
      </c>
      <c r="D161" s="109">
        <f>COUNTIFS(เรื่องร้องเรียน!E:E,"1",เรื่องร้องเรียน!N:N,"บึงกุ่ม",เรื่องร้องเรียน!AN:AN,"บึงกุ่ม",เรื่องร้องเรียน!CL:CL,"1")</f>
        <v>0</v>
      </c>
      <c r="E161" s="109">
        <f>COUNTIFS(เรื่องร้องเรียน!E:E,"2",เรื่องร้องเรียน!N:N,"บึงกุ่ม",เรื่องร้องเรียน!AN:AN,"บึงกุ่ม")</f>
        <v>0</v>
      </c>
      <c r="F161" s="109">
        <f>COUNTIFS(เรื่องร้องเรียน!E:E,"2",เรื่องร้องเรียน!N:N,"บึงกุ่ม",เรื่องร้องเรียน!AN:AN,"บึงกุ่ม",เรื่องร้องเรียน!CL:CL,"1")</f>
        <v>0</v>
      </c>
      <c r="G161" s="109">
        <f>COUNTIFS(เรื่องร้องเรียน!E:E,"3",เรื่องร้องเรียน!N:N,"บึงกุ่ม",เรื่องร้องเรียน!AN:AN,"บึงกุ่ม")</f>
        <v>0</v>
      </c>
      <c r="H161" s="109">
        <f>COUNTIFS(เรื่องร้องเรียน!E:E,"3",เรื่องร้องเรียน!N:N,"บึงกุ่ม",เรื่องร้องเรียน!AN:AN,"บึงกุ่ม",เรื่องร้องเรียน!CL:CL,"1")</f>
        <v>0</v>
      </c>
      <c r="I161" s="109">
        <f>COUNTIFS(เรื่องร้องเรียน!E:E,"4",เรื่องร้องเรียน!N:N,"บึงกุ่ม",เรื่องร้องเรียน!AN:AN,"บึงกุ่ม")</f>
        <v>0</v>
      </c>
      <c r="J161" s="144">
        <f>COUNTIFS(เรื่องร้องเรียน!E:E,"4",เรื่องร้องเรียน!N:N,"บึงกุ่ม",เรื่องร้องเรียน!AN:AN,"บึงกุ่ม",เรื่องร้องเรียน!CL:CL,"1")</f>
        <v>0</v>
      </c>
      <c r="K161" s="144"/>
      <c r="L161" s="144"/>
      <c r="M161" s="109">
        <f t="shared" si="65"/>
        <v>0</v>
      </c>
      <c r="N161" s="145">
        <f t="shared" si="65"/>
        <v>0</v>
      </c>
      <c r="O161" s="146">
        <f>COUNTIFS(เรื่องร้องเรียน!E:E,"1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P161" s="144">
        <f>COUNTIFS(เรื่องร้องเรียน!E:E,"2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Q161" s="144">
        <f>COUNTIFS(เรื่องร้องเรียน!E:E,"3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R161" s="144">
        <f>COUNTIFS(เรื่องร้องเรียน!E:E,"4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S161" s="144"/>
      <c r="T161" s="147">
        <f t="shared" si="34"/>
        <v>0</v>
      </c>
      <c r="U161" s="129">
        <f t="shared" ref="U161:U233" si="66">M161-N161-T161</f>
        <v>0</v>
      </c>
      <c r="W161" s="129">
        <f t="shared" si="59"/>
        <v>0</v>
      </c>
    </row>
    <row r="162" spans="1:23">
      <c r="A162" s="150"/>
      <c r="B162" s="177" t="s">
        <v>120</v>
      </c>
      <c r="C162" s="123">
        <f>COUNTIFS(เรื่องร้องเรียน!E:E,"1",เรื่องร้องเรียน!N:N,"บึงกุ่ม",เรื่องร้องเรียน!AN:AN,"ลาดพร้าว")</f>
        <v>0</v>
      </c>
      <c r="D162" s="117">
        <f>COUNTIFS(เรื่องร้องเรียน!E:E,"1",เรื่องร้องเรียน!N:N,"บึงกุ่ม",เรื่องร้องเรียน!AN:AN,"ลาดพร้าว",เรื่องร้องเรียน!CL:CL,"1")</f>
        <v>0</v>
      </c>
      <c r="E162" s="117">
        <f>COUNTIFS(เรื่องร้องเรียน!E:E,"2",เรื่องร้องเรียน!N:N,"บึงกุ่ม",เรื่องร้องเรียน!AN:AN,"ลาดพร้าว")</f>
        <v>0</v>
      </c>
      <c r="F162" s="117">
        <f>COUNTIFS(เรื่องร้องเรียน!E:E,"2",เรื่องร้องเรียน!N:N,"บึงกุ่ม",เรื่องร้องเรียน!AN:AN,"ลาดพร้าว",เรื่องร้องเรียน!CL:CL,"1")</f>
        <v>0</v>
      </c>
      <c r="G162" s="117">
        <f>COUNTIFS(เรื่องร้องเรียน!E:E,"3",เรื่องร้องเรียน!N:N,"บึงกุ่ม",เรื่องร้องเรียน!AN:AN,"ลาดพร้าว")</f>
        <v>0</v>
      </c>
      <c r="H162" s="117">
        <f>COUNTIFS(เรื่องร้องเรียน!E:E,"3",เรื่องร้องเรียน!N:N,"บึงกุ่ม",เรื่องร้องเรียน!AN:AN,"ลาดพร้าว",เรื่องร้องเรียน!CL:CL,"1")</f>
        <v>0</v>
      </c>
      <c r="I162" s="117">
        <f>COUNTIFS(เรื่องร้องเรียน!E:E,"4",เรื่องร้องเรียน!N:N,"บึงกุ่ม",เรื่องร้องเรียน!AN:AN,"ลาดพร้าว")</f>
        <v>0</v>
      </c>
      <c r="J162" s="152">
        <f>COUNTIFS(เรื่องร้องเรียน!E:E,"4",เรื่องร้องเรียน!N:N,"บึงกุ่ม",เรื่องร้องเรียน!AN:AN,"ลาดพร้าว",เรื่องร้องเรียน!CL:CL,"1")</f>
        <v>0</v>
      </c>
      <c r="K162" s="152"/>
      <c r="L162" s="152"/>
      <c r="M162" s="117">
        <f t="shared" si="65"/>
        <v>0</v>
      </c>
      <c r="N162" s="122">
        <f t="shared" si="65"/>
        <v>0</v>
      </c>
      <c r="O162" s="153">
        <f>COUNTIFS(เรื่องร้องเรียน!E:E,"1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P162" s="152">
        <f>COUNTIFS(เรื่องร้องเรียน!E:E,"2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Q162" s="152">
        <f>COUNTIFS(เรื่องร้องเรียน!E:E,"3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R162" s="152">
        <f>COUNTIFS(เรื่องร้องเรียน!E:E,"4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S162" s="152"/>
      <c r="T162" s="154">
        <f t="shared" si="34"/>
        <v>0</v>
      </c>
      <c r="U162" s="129">
        <f t="shared" si="66"/>
        <v>0</v>
      </c>
      <c r="W162" s="129">
        <f t="shared" si="59"/>
        <v>0</v>
      </c>
    </row>
    <row r="163" spans="1:23" ht="21.6" thickBot="1">
      <c r="A163" s="168"/>
      <c r="B163" s="166" t="s">
        <v>102</v>
      </c>
      <c r="C163" s="123">
        <f>COUNTIFS(เรื่องร้องเรียน!E:E,"1",เรื่องร้องเรียน!N:N,"บึงกุ่ม",เรื่องร้องเรียน!AN:AN,"บางชัน")</f>
        <v>0</v>
      </c>
      <c r="D163" s="117">
        <f>COUNTIFS(เรื่องร้องเรียน!E:E,"1",เรื่องร้องเรียน!N:N,"บึงกุ่ม",เรื่องร้องเรียน!AN:AN,"บางชัน",เรื่องร้องเรียน!CL:CL,"1")</f>
        <v>0</v>
      </c>
      <c r="E163" s="117">
        <f>COUNTIFS(เรื่องร้องเรียน!E:E,"2",เรื่องร้องเรียน!N:N,"บึงกุ่ม",เรื่องร้องเรียน!AN:AN,"บางชัน")</f>
        <v>0</v>
      </c>
      <c r="F163" s="117">
        <f>COUNTIFS(เรื่องร้องเรียน!E:E,"2",เรื่องร้องเรียน!N:N,"บึงกุ่ม",เรื่องร้องเรียน!AN:AN,"บางชัน",เรื่องร้องเรียน!CL:CL,"1")</f>
        <v>0</v>
      </c>
      <c r="G163" s="117">
        <f>COUNTIFS(เรื่องร้องเรียน!E:E,"3",เรื่องร้องเรียน!N:N,"บึงกุ่ม",เรื่องร้องเรียน!AN:AN,"บางชัน")</f>
        <v>0</v>
      </c>
      <c r="H163" s="117">
        <f>COUNTIFS(เรื่องร้องเรียน!E:E,"3",เรื่องร้องเรียน!N:N,"บึงกุ่ม",เรื่องร้องเรียน!AN:AN,"บางชัน",เรื่องร้องเรียน!CL:CL,"1")</f>
        <v>0</v>
      </c>
      <c r="I163" s="117">
        <f>COUNTIFS(เรื่องร้องเรียน!E:E,"4",เรื่องร้องเรียน!N:N,"บึงกุ่ม",เรื่องร้องเรียน!AN:AN,"บางชัน")</f>
        <v>0</v>
      </c>
      <c r="J163" s="152">
        <f>COUNTIFS(เรื่องร้องเรียน!E:E,"4",เรื่องร้องเรียน!N:N,"บึงกุ่ม",เรื่องร้องเรียน!AN:AN,"บางชัน",เรื่องร้องเรียน!CL:CL,"1")</f>
        <v>0</v>
      </c>
      <c r="K163" s="152"/>
      <c r="L163" s="152"/>
      <c r="M163" s="117">
        <f>SUM(C163,E163,G163,I163,K163)</f>
        <v>0</v>
      </c>
      <c r="N163" s="122">
        <f>SUM(D163,F163,H163,J163,L163)</f>
        <v>0</v>
      </c>
      <c r="O163" s="153">
        <f>COUNTIFS(เรื่องร้องเรียน!E:E,"1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P163" s="152">
        <f>COUNTIFS(เรื่องร้องเรียน!E:E,"2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Q163" s="152">
        <f>COUNTIFS(เรื่องร้องเรียน!E:E,"3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R163" s="152">
        <f>COUNTIFS(เรื่องร้องเรียน!E:E,"4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S163" s="152"/>
      <c r="T163" s="154">
        <f>SUM(O163:S163)</f>
        <v>0</v>
      </c>
      <c r="U163" s="129">
        <f>M163-N163-T163</f>
        <v>0</v>
      </c>
      <c r="W163" s="129">
        <f t="shared" si="59"/>
        <v>0</v>
      </c>
    </row>
    <row r="164" spans="1:23" ht="21.6" thickBot="1">
      <c r="A164" s="130" t="s">
        <v>182</v>
      </c>
      <c r="B164" s="169" t="s">
        <v>152</v>
      </c>
      <c r="C164" s="132">
        <f>SUM(C165:C167 )</f>
        <v>0</v>
      </c>
      <c r="D164" s="131">
        <f t="shared" ref="D164:T164" si="67">SUM(D165:D167 )</f>
        <v>0</v>
      </c>
      <c r="E164" s="131">
        <f t="shared" si="67"/>
        <v>0</v>
      </c>
      <c r="F164" s="131">
        <f t="shared" si="67"/>
        <v>0</v>
      </c>
      <c r="G164" s="131">
        <f t="shared" si="67"/>
        <v>0</v>
      </c>
      <c r="H164" s="131">
        <f t="shared" si="67"/>
        <v>0</v>
      </c>
      <c r="I164" s="131">
        <f t="shared" si="67"/>
        <v>0</v>
      </c>
      <c r="J164" s="131">
        <f t="shared" si="67"/>
        <v>0</v>
      </c>
      <c r="K164" s="131">
        <f t="shared" si="67"/>
        <v>0</v>
      </c>
      <c r="L164" s="131">
        <f t="shared" si="67"/>
        <v>0</v>
      </c>
      <c r="M164" s="131">
        <f t="shared" si="67"/>
        <v>0</v>
      </c>
      <c r="N164" s="163">
        <f t="shared" si="67"/>
        <v>0</v>
      </c>
      <c r="O164" s="132">
        <f t="shared" si="67"/>
        <v>0</v>
      </c>
      <c r="P164" s="131">
        <f t="shared" si="67"/>
        <v>0</v>
      </c>
      <c r="Q164" s="131">
        <f t="shared" si="67"/>
        <v>0</v>
      </c>
      <c r="R164" s="131">
        <f t="shared" si="67"/>
        <v>0</v>
      </c>
      <c r="S164" s="131">
        <f t="shared" si="67"/>
        <v>0</v>
      </c>
      <c r="T164" s="133">
        <f t="shared" si="67"/>
        <v>0</v>
      </c>
      <c r="U164" s="134">
        <f t="shared" si="66"/>
        <v>0</v>
      </c>
      <c r="W164" s="135">
        <f t="shared" si="59"/>
        <v>0</v>
      </c>
    </row>
    <row r="165" spans="1:23">
      <c r="A165" s="173"/>
      <c r="B165" s="170" t="s">
        <v>20</v>
      </c>
      <c r="C165" s="140"/>
      <c r="D165" s="138"/>
      <c r="E165" s="138"/>
      <c r="F165" s="138"/>
      <c r="G165" s="138"/>
      <c r="H165" s="138"/>
      <c r="I165" s="138"/>
      <c r="J165" s="138"/>
      <c r="K165" s="138">
        <f>COUNTIFS(เรื่องร้องเรียน!E:E,"5",เรื่องร้องเรียน!N:N,"ปทุมวัน")</f>
        <v>0</v>
      </c>
      <c r="L165" s="138">
        <f>COUNTIFS(เรื่องร้องเรียน!E:E,"5",เรื่องร้องเรียน!N:N,"ปทุมวัน",เรื่องร้องเรียน!CL:CL,"1")</f>
        <v>0</v>
      </c>
      <c r="M165" s="138">
        <f t="shared" ref="M165:N167" si="68">SUM(C165,E165,G165,I165,K165)</f>
        <v>0</v>
      </c>
      <c r="N165" s="139">
        <f t="shared" si="68"/>
        <v>0</v>
      </c>
      <c r="O165" s="140"/>
      <c r="P165" s="138"/>
      <c r="Q165" s="138"/>
      <c r="R165" s="138"/>
      <c r="S165" s="138">
        <f>COUNTIFS(เรื่องร้องเรียน!E:E,"5",เรื่องร้องเรียน!N:N,"ปทุมวัน",เรื่องร้องเรียน!AQ:AQ,"1",เรื่องร้องเรียน!CL:CL,"")</f>
        <v>0</v>
      </c>
      <c r="T165" s="141">
        <f t="shared" si="34"/>
        <v>0</v>
      </c>
      <c r="U165" s="129">
        <f t="shared" si="66"/>
        <v>0</v>
      </c>
      <c r="W165" s="129">
        <f t="shared" si="59"/>
        <v>0</v>
      </c>
    </row>
    <row r="166" spans="1:23">
      <c r="A166" s="148"/>
      <c r="B166" s="171" t="s">
        <v>182</v>
      </c>
      <c r="C166" s="246">
        <f>COUNTIFS(เรื่องร้องเรียน!E:E,"1",เรื่องร้องเรียน!N:N,"ปทุมวัน",เรื่องร้องเรียน!AN:AN,"ปทุมวัน")</f>
        <v>0</v>
      </c>
      <c r="D166" s="109">
        <f>COUNTIFS(เรื่องร้องเรียน!E:E,"1",เรื่องร้องเรียน!N:N,"ปทุมวัน",เรื่องร้องเรียน!AN:AN,"ปทุมวัน",เรื่องร้องเรียน!CL:CL,"1")</f>
        <v>0</v>
      </c>
      <c r="E166" s="109">
        <f>COUNTIFS(เรื่องร้องเรียน!E:E,"2",เรื่องร้องเรียน!N:N,"ปทุมวัน",เรื่องร้องเรียน!AN:AN,"ปทุมวัน")</f>
        <v>0</v>
      </c>
      <c r="F166" s="109">
        <f>COUNTIFS(เรื่องร้องเรียน!E:E,"2",เรื่องร้องเรียน!N:N,"ปทุมวัน",เรื่องร้องเรียน!AN:AN,"ปทุมวัน",เรื่องร้องเรียน!CL:CL,"1")</f>
        <v>0</v>
      </c>
      <c r="G166" s="109">
        <f>COUNTIFS(เรื่องร้องเรียน!E:E,"3",เรื่องร้องเรียน!N:N,"ปทุมวัน",เรื่องร้องเรียน!AN:AN,"ปทุมวัน")</f>
        <v>0</v>
      </c>
      <c r="H166" s="109">
        <f>COUNTIFS(เรื่องร้องเรียน!E:E,"3",เรื่องร้องเรียน!N:N,"ปทุมวัน",เรื่องร้องเรียน!AN:AN,"ปทุมวัน",เรื่องร้องเรียน!CL:CL,"1")</f>
        <v>0</v>
      </c>
      <c r="I166" s="109">
        <f>COUNTIFS(เรื่องร้องเรียน!E:E,"4",เรื่องร้องเรียน!N:N,"ปทุมวัน",เรื่องร้องเรียน!AN:AN,"ปทุมวัน")</f>
        <v>0</v>
      </c>
      <c r="J166" s="144">
        <f>COUNTIFS(เรื่องร้องเรียน!E:E,"4",เรื่องร้องเรียน!N:N,"ปทุมวัน",เรื่องร้องเรียน!AN:AN,"ปทุมวัน",เรื่องร้องเรียน!CL:CL,"1")</f>
        <v>0</v>
      </c>
      <c r="K166" s="144"/>
      <c r="L166" s="144"/>
      <c r="M166" s="109">
        <f t="shared" si="68"/>
        <v>0</v>
      </c>
      <c r="N166" s="145">
        <f t="shared" si="68"/>
        <v>0</v>
      </c>
      <c r="O166" s="146">
        <f>COUNTIFS(เรื่องร้องเรียน!E:E,"1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P166" s="144">
        <f>COUNTIFS(เรื่องร้องเรียน!E:E,"2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Q166" s="144">
        <f>COUNTIFS(เรื่องร้องเรียน!E:E,"3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R166" s="144">
        <f>COUNTIFS(เรื่องร้องเรียน!E:E,"4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S166" s="144"/>
      <c r="T166" s="147">
        <f t="shared" ref="T166:T238" si="69">SUM(O166:S166)</f>
        <v>0</v>
      </c>
      <c r="U166" s="129">
        <f t="shared" si="66"/>
        <v>0</v>
      </c>
      <c r="W166" s="129">
        <f t="shared" si="59"/>
        <v>0</v>
      </c>
    </row>
    <row r="167" spans="1:23" ht="21.6" thickBot="1">
      <c r="A167" s="150"/>
      <c r="B167" s="177" t="s">
        <v>98</v>
      </c>
      <c r="C167" s="123">
        <f>COUNTIFS(เรื่องร้องเรียน!E:E,"1",เรื่องร้องเรียน!N:N,"ปทุมวัน",เรื่องร้องเรียน!AN:AN,"ลุมพินี")</f>
        <v>0</v>
      </c>
      <c r="D167" s="117">
        <f>COUNTIFS(เรื่องร้องเรียน!E:E,"1",เรื่องร้องเรียน!N:N,"ปทุมวัน",เรื่องร้องเรียน!AN:AN,"ลุมพินี",เรื่องร้องเรียน!CL:CL,"1")</f>
        <v>0</v>
      </c>
      <c r="E167" s="117">
        <f>COUNTIFS(เรื่องร้องเรียน!E:E,"2",เรื่องร้องเรียน!N:N,"ปทุมวัน",เรื่องร้องเรียน!AN:AN,"ลุมพินี")</f>
        <v>0</v>
      </c>
      <c r="F167" s="117">
        <f>COUNTIFS(เรื่องร้องเรียน!E:E,"2",เรื่องร้องเรียน!N:N,"ปทุมวัน",เรื่องร้องเรียน!AN:AN,"ลุมพินี",เรื่องร้องเรียน!CL:CL,"1")</f>
        <v>0</v>
      </c>
      <c r="G167" s="117">
        <f>COUNTIFS(เรื่องร้องเรียน!E:E,"3",เรื่องร้องเรียน!N:N,"ปทุมวัน",เรื่องร้องเรียน!AN:AN,"ลุมพินี")</f>
        <v>0</v>
      </c>
      <c r="H167" s="117">
        <f>COUNTIFS(เรื่องร้องเรียน!E:E,"3",เรื่องร้องเรียน!N:N,"ปทุมวัน",เรื่องร้องเรียน!AN:AN,"ลุมพินี",เรื่องร้องเรียน!CL:CL,"1")</f>
        <v>0</v>
      </c>
      <c r="I167" s="117">
        <f>COUNTIFS(เรื่องร้องเรียน!E:E,"4",เรื่องร้องเรียน!N:N,"ปทุมวัน",เรื่องร้องเรียน!AN:AN,"ลุมพินี")</f>
        <v>0</v>
      </c>
      <c r="J167" s="152">
        <f>COUNTIFS(เรื่องร้องเรียน!E:E,"4",เรื่องร้องเรียน!N:N,"ปทุมวัน",เรื่องร้องเรียน!AN:AN,"ลุมพินี",เรื่องร้องเรียน!CL:CL,"1")</f>
        <v>0</v>
      </c>
      <c r="K167" s="152"/>
      <c r="L167" s="152"/>
      <c r="M167" s="117">
        <f t="shared" si="68"/>
        <v>0</v>
      </c>
      <c r="N167" s="122">
        <f t="shared" si="68"/>
        <v>0</v>
      </c>
      <c r="O167" s="153">
        <f>COUNTIFS(เรื่องร้องเรียน!E:E,"1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P167" s="152">
        <f>COUNTIFS(เรื่องร้องเรียน!E:E,"2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Q167" s="152">
        <f>COUNTIFS(เรื่องร้องเรียน!E:E,"3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R167" s="152">
        <f>COUNTIFS(เรื่องร้องเรียน!E:E,"4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S167" s="152"/>
      <c r="T167" s="154">
        <f t="shared" si="69"/>
        <v>0</v>
      </c>
      <c r="U167" s="129">
        <f t="shared" si="66"/>
        <v>0</v>
      </c>
      <c r="W167" s="129">
        <f t="shared" si="59"/>
        <v>0</v>
      </c>
    </row>
    <row r="168" spans="1:23" ht="21.6" thickBot="1">
      <c r="A168" s="130" t="s">
        <v>73</v>
      </c>
      <c r="B168" s="169" t="s">
        <v>152</v>
      </c>
      <c r="C168" s="132">
        <f>SUM(C169:C173 )</f>
        <v>0</v>
      </c>
      <c r="D168" s="131">
        <f t="shared" ref="D168:T168" si="70">SUM(D169:D173 )</f>
        <v>0</v>
      </c>
      <c r="E168" s="131">
        <f t="shared" si="70"/>
        <v>0</v>
      </c>
      <c r="F168" s="131">
        <f t="shared" si="70"/>
        <v>0</v>
      </c>
      <c r="G168" s="131">
        <f t="shared" si="70"/>
        <v>0</v>
      </c>
      <c r="H168" s="131">
        <f t="shared" si="70"/>
        <v>0</v>
      </c>
      <c r="I168" s="131">
        <f t="shared" si="70"/>
        <v>0</v>
      </c>
      <c r="J168" s="131">
        <f t="shared" si="70"/>
        <v>0</v>
      </c>
      <c r="K168" s="131">
        <f t="shared" si="70"/>
        <v>0</v>
      </c>
      <c r="L168" s="131">
        <f t="shared" si="70"/>
        <v>0</v>
      </c>
      <c r="M168" s="131">
        <f t="shared" si="70"/>
        <v>0</v>
      </c>
      <c r="N168" s="163">
        <f t="shared" si="70"/>
        <v>0</v>
      </c>
      <c r="O168" s="132">
        <f t="shared" si="70"/>
        <v>0</v>
      </c>
      <c r="P168" s="131">
        <f t="shared" si="70"/>
        <v>0</v>
      </c>
      <c r="Q168" s="131">
        <f t="shared" si="70"/>
        <v>0</v>
      </c>
      <c r="R168" s="131">
        <f t="shared" si="70"/>
        <v>0</v>
      </c>
      <c r="S168" s="131">
        <f t="shared" si="70"/>
        <v>0</v>
      </c>
      <c r="T168" s="133">
        <f t="shared" si="70"/>
        <v>0</v>
      </c>
      <c r="U168" s="134">
        <f t="shared" si="66"/>
        <v>0</v>
      </c>
      <c r="W168" s="135">
        <f t="shared" si="59"/>
        <v>0</v>
      </c>
    </row>
    <row r="169" spans="1:23">
      <c r="A169" s="173"/>
      <c r="B169" s="170" t="s">
        <v>20</v>
      </c>
      <c r="C169" s="140"/>
      <c r="D169" s="138"/>
      <c r="E169" s="138"/>
      <c r="F169" s="138"/>
      <c r="G169" s="138"/>
      <c r="H169" s="138"/>
      <c r="I169" s="138"/>
      <c r="J169" s="138"/>
      <c r="K169" s="138">
        <f>COUNTIFS(เรื่องร้องเรียน!E:E,"5",เรื่องร้องเรียน!N:N,"ประเวศ")</f>
        <v>0</v>
      </c>
      <c r="L169" s="138">
        <f>COUNTIFS(เรื่องร้องเรียน!E:E,"5",เรื่องร้องเรียน!N:N,"ประเวศ",เรื่องร้องเรียน!CL:CL,"1")</f>
        <v>0</v>
      </c>
      <c r="M169" s="138">
        <f t="shared" ref="M169:N173" si="71">SUM(C169,E169,G169,I169,K169)</f>
        <v>0</v>
      </c>
      <c r="N169" s="139">
        <f t="shared" si="71"/>
        <v>0</v>
      </c>
      <c r="O169" s="140"/>
      <c r="P169" s="138"/>
      <c r="Q169" s="138"/>
      <c r="R169" s="138"/>
      <c r="S169" s="138">
        <f>COUNTIFS(เรื่องร้องเรียน!E:E,"5",เรื่องร้องเรียน!N:N,"ประเวศ",เรื่องร้องเรียน!AQ:AQ,"1",เรื่องร้องเรียน!CL:CL,"")</f>
        <v>0</v>
      </c>
      <c r="T169" s="141">
        <f t="shared" si="69"/>
        <v>0</v>
      </c>
      <c r="U169" s="129">
        <f t="shared" si="66"/>
        <v>0</v>
      </c>
      <c r="W169" s="129">
        <f t="shared" si="59"/>
        <v>0</v>
      </c>
    </row>
    <row r="170" spans="1:23">
      <c r="A170" s="148"/>
      <c r="B170" s="171" t="s">
        <v>108</v>
      </c>
      <c r="C170" s="246">
        <f>COUNTIFS(เรื่องร้องเรียน!E:E,"1",เรื่องร้องเรียน!N:N,"ประเวศ",เรื่องร้องเรียน!AN:AN,"บางนา")</f>
        <v>0</v>
      </c>
      <c r="D170" s="109">
        <f>COUNTIFS(เรื่องร้องเรียน!E:E,"1",เรื่องร้องเรียน!N:N,"ประเวศ",เรื่องร้องเรียน!AN:AN,"บางนา",เรื่องร้องเรียน!CL:CL,"1")</f>
        <v>0</v>
      </c>
      <c r="E170" s="109">
        <f>COUNTIFS(เรื่องร้องเรียน!E:E,"2",เรื่องร้องเรียน!N:N,"ประเวศ",เรื่องร้องเรียน!AN:AN,"บางนา")</f>
        <v>0</v>
      </c>
      <c r="F170" s="109">
        <f>COUNTIFS(เรื่องร้องเรียน!E:E,"2",เรื่องร้องเรียน!N:N,"ประเวศ",เรื่องร้องเรียน!AN:AN,"บางนา",เรื่องร้องเรียน!CL:CL,"1")</f>
        <v>0</v>
      </c>
      <c r="G170" s="109">
        <f>COUNTIFS(เรื่องร้องเรียน!E:E,"3",เรื่องร้องเรียน!N:N,"ประเวศ",เรื่องร้องเรียน!AN:AN,"บางนา")</f>
        <v>0</v>
      </c>
      <c r="H170" s="109">
        <f>COUNTIFS(เรื่องร้องเรียน!E:E,"3",เรื่องร้องเรียน!N:N,"ประเวศ",เรื่องร้องเรียน!AN:AN,"บางนา",เรื่องร้องเรียน!CL:CL,"1")</f>
        <v>0</v>
      </c>
      <c r="I170" s="109">
        <f>COUNTIFS(เรื่องร้องเรียน!E:E,"4",เรื่องร้องเรียน!N:N,"ประเวศ",เรื่องร้องเรียน!AN:AN,"บางนา")</f>
        <v>0</v>
      </c>
      <c r="J170" s="144">
        <f>COUNTIFS(เรื่องร้องเรียน!E:E,"4",เรื่องร้องเรียน!N:N,"ประเวศ",เรื่องร้องเรียน!AN:AN,"บางนา",เรื่องร้องเรียน!CL:CL,"1")</f>
        <v>0</v>
      </c>
      <c r="K170" s="144"/>
      <c r="L170" s="144"/>
      <c r="M170" s="109">
        <f t="shared" si="71"/>
        <v>0</v>
      </c>
      <c r="N170" s="145">
        <f t="shared" si="71"/>
        <v>0</v>
      </c>
      <c r="O170" s="146">
        <f>COUNTIFS(เรื่องร้องเรียน!E:E,"1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P170" s="144">
        <f>COUNTIFS(เรื่องร้องเรียน!E:E,"2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Q170" s="144">
        <f>COUNTIFS(เรื่องร้องเรียน!E:E,"3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R170" s="144">
        <f>COUNTIFS(เรื่องร้องเรียน!E:E,"4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S170" s="144"/>
      <c r="T170" s="147">
        <f t="shared" si="69"/>
        <v>0</v>
      </c>
      <c r="U170" s="129">
        <f t="shared" si="66"/>
        <v>0</v>
      </c>
      <c r="W170" s="129">
        <f t="shared" si="59"/>
        <v>0</v>
      </c>
    </row>
    <row r="171" spans="1:23">
      <c r="A171" s="148"/>
      <c r="B171" s="171" t="s">
        <v>73</v>
      </c>
      <c r="C171" s="246">
        <f>COUNTIFS(เรื่องร้องเรียน!E:E,"1",เรื่องร้องเรียน!N:N,"ประเวศ",เรื่องร้องเรียน!AN:AN,"ประเวศ")</f>
        <v>0</v>
      </c>
      <c r="D171" s="109">
        <f>COUNTIFS(เรื่องร้องเรียน!E:E,"1",เรื่องร้องเรียน!N:N,"ประเวศ",เรื่องร้องเรียน!AN:AN,"ประเวศ",เรื่องร้องเรียน!CL:CL,"1")</f>
        <v>0</v>
      </c>
      <c r="E171" s="109">
        <f>COUNTIFS(เรื่องร้องเรียน!E:E,"2",เรื่องร้องเรียน!N:N,"ประเวศ",เรื่องร้องเรียน!AN:AN,"ประเวศ")</f>
        <v>0</v>
      </c>
      <c r="F171" s="109">
        <f>COUNTIFS(เรื่องร้องเรียน!E:E,"2",เรื่องร้องเรียน!N:N,"ประเวศ",เรื่องร้องเรียน!AN:AN,"ประเวศ",เรื่องร้องเรียน!CL:CL,"1")</f>
        <v>0</v>
      </c>
      <c r="G171" s="109">
        <f>COUNTIFS(เรื่องร้องเรียน!E:E,"3",เรื่องร้องเรียน!N:N,"ประเวศ",เรื่องร้องเรียน!AN:AN,"ประเวศ")</f>
        <v>0</v>
      </c>
      <c r="H171" s="109">
        <f>COUNTIFS(เรื่องร้องเรียน!E:E,"3",เรื่องร้องเรียน!N:N,"ประเวศ",เรื่องร้องเรียน!AN:AN,"ประเวศ",เรื่องร้องเรียน!CL:CL,"1")</f>
        <v>0</v>
      </c>
      <c r="I171" s="109">
        <f>COUNTIFS(เรื่องร้องเรียน!E:E,"4",เรื่องร้องเรียน!N:N,"ประเวศ",เรื่องร้องเรียน!AN:AN,"ประเวศ")</f>
        <v>0</v>
      </c>
      <c r="J171" s="144">
        <f>COUNTIFS(เรื่องร้องเรียน!E:E,"4",เรื่องร้องเรียน!N:N,"ประเวศ",เรื่องร้องเรียน!AN:AN,"ประเวศ",เรื่องร้องเรียน!CL:CL,"1")</f>
        <v>0</v>
      </c>
      <c r="K171" s="144"/>
      <c r="L171" s="144"/>
      <c r="M171" s="109">
        <f t="shared" si="71"/>
        <v>0</v>
      </c>
      <c r="N171" s="145">
        <f t="shared" si="71"/>
        <v>0</v>
      </c>
      <c r="O171" s="146">
        <f>COUNTIFS(เรื่องร้องเรียน!E:E,"1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P171" s="144">
        <f>COUNTIFS(เรื่องร้องเรียน!E:E,"2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Q171" s="144">
        <f>COUNTIFS(เรื่องร้องเรียน!E:E,"3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R171" s="144">
        <f>COUNTIFS(เรื่องร้องเรียน!E:E,"4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S171" s="144"/>
      <c r="T171" s="147">
        <f t="shared" si="69"/>
        <v>0</v>
      </c>
      <c r="U171" s="129">
        <f t="shared" si="66"/>
        <v>0</v>
      </c>
      <c r="W171" s="129">
        <f t="shared" si="59"/>
        <v>0</v>
      </c>
    </row>
    <row r="172" spans="1:23">
      <c r="A172" s="148"/>
      <c r="B172" s="171" t="s">
        <v>115</v>
      </c>
      <c r="C172" s="246">
        <f>COUNTIFS(เรื่องร้องเรียน!E:E,"1",เรื่องร้องเรียน!N:N,"ประเวศ",เรื่องร้องเรียน!AN:AN,"พระโขนง")</f>
        <v>0</v>
      </c>
      <c r="D172" s="109">
        <f>COUNTIFS(เรื่องร้องเรียน!E:E,"1",เรื่องร้องเรียน!N:N,"ประเวศ",เรื่องร้องเรียน!AN:AN,"พระโขนง",เรื่องร้องเรียน!CL:CL,"1")</f>
        <v>0</v>
      </c>
      <c r="E172" s="109">
        <f>COUNTIFS(เรื่องร้องเรียน!E:E,"2",เรื่องร้องเรียน!N:N,"ประเวศ",เรื่องร้องเรียน!AN:AN,"พระโขนง")</f>
        <v>0</v>
      </c>
      <c r="F172" s="109">
        <f>COUNTIFS(เรื่องร้องเรียน!E:E,"2",เรื่องร้องเรียน!N:N,"ประเวศ",เรื่องร้องเรียน!AN:AN,"พระโขนง",เรื่องร้องเรียน!CL:CL,"1")</f>
        <v>0</v>
      </c>
      <c r="G172" s="109">
        <f>COUNTIFS(เรื่องร้องเรียน!E:E,"3",เรื่องร้องเรียน!N:N,"ประเวศ",เรื่องร้องเรียน!AN:AN,"พระโขนง")</f>
        <v>0</v>
      </c>
      <c r="H172" s="109">
        <f>COUNTIFS(เรื่องร้องเรียน!E:E,"3",เรื่องร้องเรียน!N:N,"ประเวศ",เรื่องร้องเรียน!AN:AN,"พระโขนง",เรื่องร้องเรียน!CL:CL,"1")</f>
        <v>0</v>
      </c>
      <c r="I172" s="109">
        <f>COUNTIFS(เรื่องร้องเรียน!E:E,"4",เรื่องร้องเรียน!N:N,"ประเวศ",เรื่องร้องเรียน!AN:AN,"พระโขนง")</f>
        <v>0</v>
      </c>
      <c r="J172" s="144">
        <f>COUNTIFS(เรื่องร้องเรียน!E:E,"4",เรื่องร้องเรียน!N:N,"ประเวศ",เรื่องร้องเรียน!AN:AN,"พระโขนง",เรื่องร้องเรียน!CL:CL,"1")</f>
        <v>0</v>
      </c>
      <c r="K172" s="144"/>
      <c r="L172" s="144"/>
      <c r="M172" s="109">
        <f t="shared" si="71"/>
        <v>0</v>
      </c>
      <c r="N172" s="145">
        <f t="shared" si="71"/>
        <v>0</v>
      </c>
      <c r="O172" s="146">
        <f>COUNTIFS(เรื่องร้องเรียน!E:E,"1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P172" s="144">
        <f>COUNTIFS(เรื่องร้องเรียน!E:E,"2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Q172" s="144">
        <f>COUNTIFS(เรื่องร้องเรียน!E:E,"3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R172" s="144">
        <f>COUNTIFS(เรื่องร้องเรียน!E:E,"4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S172" s="144"/>
      <c r="T172" s="147">
        <f t="shared" si="69"/>
        <v>0</v>
      </c>
      <c r="U172" s="129">
        <f t="shared" si="66"/>
        <v>0</v>
      </c>
      <c r="W172" s="129">
        <f t="shared" si="59"/>
        <v>0</v>
      </c>
    </row>
    <row r="173" spans="1:23" ht="21.6" thickBot="1">
      <c r="A173" s="150"/>
      <c r="B173" s="177" t="s">
        <v>74</v>
      </c>
      <c r="C173" s="123">
        <f>COUNTIFS(เรื่องร้องเรียน!E:E,"1",เรื่องร้องเรียน!N:N,"ประเวศ",เรื่องร้องเรียน!AN:AN,"อุดมสุข")</f>
        <v>0</v>
      </c>
      <c r="D173" s="117">
        <f>COUNTIFS(เรื่องร้องเรียน!E:E,"1",เรื่องร้องเรียน!N:N,"ประเวศ",เรื่องร้องเรียน!AN:AN,"อุดมสุข",เรื่องร้องเรียน!CL:CL,"1")</f>
        <v>0</v>
      </c>
      <c r="E173" s="117">
        <f>COUNTIFS(เรื่องร้องเรียน!E:E,"2",เรื่องร้องเรียน!N:N,"ประเวศ",เรื่องร้องเรียน!AN:AN,"อุดมสุข")</f>
        <v>0</v>
      </c>
      <c r="F173" s="117">
        <f>COUNTIFS(เรื่องร้องเรียน!E:E,"2",เรื่องร้องเรียน!N:N,"ประเวศ",เรื่องร้องเรียน!AN:AN,"อุดมสุข",เรื่องร้องเรียน!CL:CL,"1")</f>
        <v>0</v>
      </c>
      <c r="G173" s="117">
        <f>COUNTIFS(เรื่องร้องเรียน!E:E,"3",เรื่องร้องเรียน!N:N,"ประเวศ",เรื่องร้องเรียน!AN:AN,"อุดมสุข")</f>
        <v>0</v>
      </c>
      <c r="H173" s="117">
        <f>COUNTIFS(เรื่องร้องเรียน!E:E,"3",เรื่องร้องเรียน!N:N,"ประเวศ",เรื่องร้องเรียน!AN:AN,"อุดมสุข",เรื่องร้องเรียน!CL:CL,"1")</f>
        <v>0</v>
      </c>
      <c r="I173" s="117">
        <f>COUNTIFS(เรื่องร้องเรียน!E:E,"4",เรื่องร้องเรียน!N:N,"ประเวศ",เรื่องร้องเรียน!AN:AN,"อุดมสุข")</f>
        <v>0</v>
      </c>
      <c r="J173" s="152">
        <f>COUNTIFS(เรื่องร้องเรียน!E:E,"4",เรื่องร้องเรียน!N:N,"ประเวศ",เรื่องร้องเรียน!AN:AN,"อุดมสุข",เรื่องร้องเรียน!CL:CL,"1")</f>
        <v>0</v>
      </c>
      <c r="K173" s="152"/>
      <c r="L173" s="152"/>
      <c r="M173" s="117">
        <f t="shared" si="71"/>
        <v>0</v>
      </c>
      <c r="N173" s="122">
        <f t="shared" si="71"/>
        <v>0</v>
      </c>
      <c r="O173" s="153">
        <f>COUNTIFS(เรื่องร้องเรียน!E:E,"1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P173" s="152">
        <f>COUNTIFS(เรื่องร้องเรียน!E:E,"2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Q173" s="152">
        <f>COUNTIFS(เรื่องร้องเรียน!E:E,"3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R173" s="152">
        <f>COUNTIFS(เรื่องร้องเรียน!E:E,"4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S173" s="152"/>
      <c r="T173" s="154">
        <f t="shared" si="69"/>
        <v>0</v>
      </c>
      <c r="U173" s="129">
        <f t="shared" si="66"/>
        <v>0</v>
      </c>
      <c r="W173" s="129">
        <f t="shared" si="59"/>
        <v>0</v>
      </c>
    </row>
    <row r="174" spans="1:23" ht="21.6" thickBot="1">
      <c r="A174" s="130" t="s">
        <v>129</v>
      </c>
      <c r="B174" s="169" t="s">
        <v>152</v>
      </c>
      <c r="C174" s="132">
        <f>SUM(C175:C180)</f>
        <v>0</v>
      </c>
      <c r="D174" s="131">
        <f t="shared" ref="D174:T174" si="72">SUM(D175:D180)</f>
        <v>0</v>
      </c>
      <c r="E174" s="131">
        <f t="shared" si="72"/>
        <v>0</v>
      </c>
      <c r="F174" s="131">
        <f t="shared" si="72"/>
        <v>0</v>
      </c>
      <c r="G174" s="131">
        <f t="shared" si="72"/>
        <v>0</v>
      </c>
      <c r="H174" s="131">
        <f t="shared" si="72"/>
        <v>0</v>
      </c>
      <c r="I174" s="131">
        <f t="shared" si="72"/>
        <v>0</v>
      </c>
      <c r="J174" s="131">
        <f t="shared" si="72"/>
        <v>0</v>
      </c>
      <c r="K174" s="131">
        <f t="shared" si="72"/>
        <v>0</v>
      </c>
      <c r="L174" s="131">
        <f t="shared" si="72"/>
        <v>0</v>
      </c>
      <c r="M174" s="131">
        <f t="shared" si="72"/>
        <v>0</v>
      </c>
      <c r="N174" s="163">
        <f t="shared" si="72"/>
        <v>0</v>
      </c>
      <c r="O174" s="132">
        <f t="shared" si="72"/>
        <v>0</v>
      </c>
      <c r="P174" s="132">
        <f t="shared" si="72"/>
        <v>0</v>
      </c>
      <c r="Q174" s="132">
        <f t="shared" si="72"/>
        <v>0</v>
      </c>
      <c r="R174" s="132">
        <f t="shared" si="72"/>
        <v>0</v>
      </c>
      <c r="S174" s="132">
        <f t="shared" si="72"/>
        <v>0</v>
      </c>
      <c r="T174" s="133">
        <f t="shared" si="72"/>
        <v>0</v>
      </c>
      <c r="U174" s="134">
        <f t="shared" si="66"/>
        <v>0</v>
      </c>
      <c r="W174" s="135">
        <f t="shared" si="59"/>
        <v>0</v>
      </c>
    </row>
    <row r="175" spans="1:23">
      <c r="A175" s="173"/>
      <c r="B175" s="170" t="s">
        <v>20</v>
      </c>
      <c r="C175" s="140"/>
      <c r="D175" s="138"/>
      <c r="E175" s="138"/>
      <c r="F175" s="138"/>
      <c r="G175" s="138"/>
      <c r="H175" s="138"/>
      <c r="I175" s="138"/>
      <c r="J175" s="138"/>
      <c r="K175" s="138">
        <f>COUNTIFS(เรื่องร้องเรียน!E:E,"5",เรื่องร้องเรียน!N:N,"ป้อมปราบศัตรูพ่าย")</f>
        <v>0</v>
      </c>
      <c r="L175" s="138">
        <f>COUNTIFS(เรื่องร้องเรียน!E:E,"5",เรื่องร้องเรียน!N:N,"ป้อมปราบศัตรูพ่าย",เรื่องร้องเรียน!CL:CL,"1")</f>
        <v>0</v>
      </c>
      <c r="M175" s="138">
        <f t="shared" ref="M175:N179" si="73">SUM(C175,E175,G175,I175,K175)</f>
        <v>0</v>
      </c>
      <c r="N175" s="139">
        <f t="shared" si="73"/>
        <v>0</v>
      </c>
      <c r="O175" s="140"/>
      <c r="P175" s="138"/>
      <c r="Q175" s="138"/>
      <c r="R175" s="138"/>
      <c r="S175" s="138">
        <f>COUNTIFS(เรื่องร้องเรียน!E:E,"5",เรื่องร้องเรียน!N:N,"ป้อมปราบศัตรูพ่าย",เรื่องร้องเรียน!AQ:AQ,"1",เรื่องร้องเรียน!CL:CL,"")</f>
        <v>0</v>
      </c>
      <c r="T175" s="141">
        <f t="shared" si="69"/>
        <v>0</v>
      </c>
      <c r="U175" s="129">
        <f t="shared" si="66"/>
        <v>0</v>
      </c>
      <c r="V175" s="10" t="s">
        <v>181</v>
      </c>
      <c r="W175" s="129">
        <f t="shared" si="59"/>
        <v>0</v>
      </c>
    </row>
    <row r="176" spans="1:23">
      <c r="A176" s="148"/>
      <c r="B176" s="171" t="s">
        <v>169</v>
      </c>
      <c r="C176" s="246">
        <f>COUNTIFS(เรื่องร้องเรียน!E:E,"1",เรื่องร้องเรียน!N:N,"ป้อมปราบศัตรูพ่าย",เรื่องร้องเรียน!AN:AN,"นางเลิ้ง")</f>
        <v>0</v>
      </c>
      <c r="D176" s="109">
        <f>COUNTIFS(เรื่องร้องเรียน!E:E,"1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E176" s="109">
        <f>COUNTIFS(เรื่องร้องเรียน!E:E,"2",เรื่องร้องเรียน!N:N,"ป้อมปราบศัตรูพ่าย",เรื่องร้องเรียน!AN:AN,"นางเลิ้ง")</f>
        <v>0</v>
      </c>
      <c r="F176" s="109">
        <f>COUNTIFS(เรื่องร้องเรียน!E:E,"2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G176" s="109">
        <f>COUNTIFS(เรื่องร้องเรียน!E:E,"3",เรื่องร้องเรียน!N:N,"ป้อมปราบศัตรูพ่าย",เรื่องร้องเรียน!AN:AN,"นางเลิ้ง")</f>
        <v>0</v>
      </c>
      <c r="H176" s="109">
        <f>COUNTIFS(เรื่องร้องเรียน!E:E,"3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I176" s="109">
        <f>COUNTIFS(เรื่องร้องเรียน!E:E,"4",เรื่องร้องเรียน!N:N,"ป้อมปราบศัตรูพ่าย",เรื่องร้องเรียน!AN:AN,"นางเลิ้ง")</f>
        <v>0</v>
      </c>
      <c r="J176" s="144">
        <f>COUNTIFS(เรื่องร้องเรียน!E:E,"4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K176" s="144"/>
      <c r="L176" s="144"/>
      <c r="M176" s="109">
        <f t="shared" si="73"/>
        <v>0</v>
      </c>
      <c r="N176" s="145">
        <f t="shared" si="73"/>
        <v>0</v>
      </c>
      <c r="O176" s="146">
        <f>COUNTIFS(เรื่องร้องเรียน!E:E,"1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P176" s="144">
        <f>COUNTIFS(เรื่องร้องเรียน!E:E,"2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Q176" s="144">
        <f>COUNTIFS(เรื่องร้องเรียน!E:E,"3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R176" s="144">
        <f>COUNTIFS(เรื่องร้องเรียน!E:E,"4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S176" s="144"/>
      <c r="T176" s="147">
        <f t="shared" si="69"/>
        <v>0</v>
      </c>
      <c r="U176" s="129">
        <f t="shared" si="66"/>
        <v>0</v>
      </c>
      <c r="W176" s="129">
        <f t="shared" si="59"/>
        <v>0</v>
      </c>
    </row>
    <row r="177" spans="1:23">
      <c r="A177" s="148"/>
      <c r="B177" s="171" t="s">
        <v>130</v>
      </c>
      <c r="C177" s="246">
        <f>COUNTIFS(เรื่องร้องเรียน!E:E,"1",เรื่องร้องเรียน!N:N,"ป้อมปราบศัตรูพ่าย",เรื่องร้องเรียน!AN:AN,"พลับพลาไชย 1")</f>
        <v>0</v>
      </c>
      <c r="D177" s="109">
        <f>COUNTIFS(เรื่องร้องเรียน!E:E,"1",เรื่องร้องเรียน!N:N,"ป้อมปราบศัตรูพ่าย",เรื่องร้องเรียน!AN:AN,"พลับพลาไชย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E177" s="109">
        <f>COUNTIFS(เรื่องร้องเรียน!E:E,"2",เรื่องร้องเรียน!N:N,"ป้อมปราบศัตรูพ่าย",เรื่องร้องเรียน!AN:AN,"พลับพลาไชย 1")</f>
        <v>0</v>
      </c>
      <c r="F177" s="109">
        <f>COUNTIFS(เรื่องร้องเรียน!E:E,"2",เรื่องร้องเรียน!N:N,"ป้อมปราบศัตรูพ่าย",เรื่องร้องเรียน!AN:AN,"พลับพลาไชย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G177" s="109">
        <f>COUNTIFS(เรื่องร้องเรียน!E:E,"3",เรื่องร้องเรียน!N:N,"ป้อมปราบศัตรูพ่าย",เรื่องร้องเรียน!AN:AN,"พลับพลาไชย 1")</f>
        <v>0</v>
      </c>
      <c r="H177" s="109">
        <f>COUNTIFS(เรื่องร้องเรียน!E:E,"3",เรื่องร้องเรียน!N:N,"ป้อมปราบศัตรูพ่าย",เรื่องร้องเรียน!AN:AN,"พลับพลาไชย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I177" s="109">
        <f>COUNTIFS(เรื่องร้องเรียน!E:E,"4",เรื่องร้องเรียน!N:N,"ป้อมปราบศัตรูพ่าย",เรื่องร้องเรียน!AN:AN,"พลับพลาไชย 1")</f>
        <v>0</v>
      </c>
      <c r="J177" s="144">
        <f>COUNTIFS(เรื่องร้องเรียน!E:E,"4",เรื่องร้องเรียน!N:N,"ป้อมปราบศัตรูพ่าย",เรื่องร้องเรียน!AN:AN,"พลับพลาไชย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K177" s="144"/>
      <c r="L177" s="144"/>
      <c r="M177" s="109">
        <f t="shared" si="73"/>
        <v>0</v>
      </c>
      <c r="N177" s="145">
        <f t="shared" si="73"/>
        <v>0</v>
      </c>
      <c r="O177" s="146">
        <f>COUNTIFS(เรื่องร้องเรียน!E:E,"1",เรื่องร้องเรียน!N:N,"ป้อมปราบศัตรูพ่าย",เรื่องร้องเรียน!AN:AN,"พลับพลาไชย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P177" s="144">
        <f>COUNTIFS(เรื่องร้องเรียน!E:E,"2",เรื่องร้องเรียน!N:N,"ป้อมปราบศัตรูพ่าย",เรื่องร้องเรียน!AN:AN,"พลับพลาไชย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Q177" s="144">
        <f>COUNTIFS(เรื่องร้องเรียน!E:E,"3",เรื่องร้องเรียน!N:N,"ป้อมปราบศัตรูพ่าย",เรื่องร้องเรียน!AN:AN,"พลับพลาไชย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R177" s="144">
        <f>COUNTIFS(เรื่องร้องเรียน!E:E,"4",เรื่องร้องเรียน!N:N,"ป้อมปราบศัตรูพ่าย",เรื่องร้องเรียน!AN:AN,"พลับพลาไชย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S177" s="144"/>
      <c r="T177" s="147">
        <f t="shared" si="69"/>
        <v>0</v>
      </c>
      <c r="U177" s="129">
        <f t="shared" si="66"/>
        <v>0</v>
      </c>
      <c r="W177" s="129">
        <f t="shared" si="59"/>
        <v>0</v>
      </c>
    </row>
    <row r="178" spans="1:23">
      <c r="A178" s="148"/>
      <c r="B178" s="171" t="s">
        <v>139</v>
      </c>
      <c r="C178" s="246">
        <f>COUNTIFS(เรื่องร้องเรียน!E:E,"1",เรื่องร้องเรียน!N:N,"ป้อมปราบศัตรูพ่าย",เรื่องร้องเรียน!AN:AN,"พลับพลาไชย 2")</f>
        <v>0</v>
      </c>
      <c r="D178" s="109">
        <f>COUNTIFS(เรื่องร้องเรียน!E:E,"1",เรื่องร้องเรียน!N:N,"ป้อมปราบศัตรูพ่าย",เรื่องร้องเรียน!AN:AN,"พลับพลาไชย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E178" s="109">
        <f>COUNTIFS(เรื่องร้องเรียน!E:E,"2",เรื่องร้องเรียน!N:N,"ป้อมปราบศัตรูพ่าย",เรื่องร้องเรียน!AN:AN,"พลับพลาไชย 2")</f>
        <v>0</v>
      </c>
      <c r="F178" s="109">
        <f>COUNTIFS(เรื่องร้องเรียน!E:E,"2",เรื่องร้องเรียน!N:N,"ป้อมปราบศัตรูพ่าย",เรื่องร้องเรียน!AN:AN,"พลับพลาไชย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G178" s="109">
        <f>COUNTIFS(เรื่องร้องเรียน!E:E,"3",เรื่องร้องเรียน!N:N,"ป้อมปราบศัตรูพ่าย",เรื่องร้องเรียน!AN:AN,"พลับพลาไชย 2")</f>
        <v>0</v>
      </c>
      <c r="H178" s="109">
        <f>COUNTIFS(เรื่องร้องเรียน!E:E,"3",เรื่องร้องเรียน!N:N,"ป้อมปราบศัตรูพ่าย",เรื่องร้องเรียน!AN:AN,"พลับพลาไชย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I178" s="109">
        <f>COUNTIFS(เรื่องร้องเรียน!E:E,"4",เรื่องร้องเรียน!N:N,"ป้อมปราบศัตรูพ่าย",เรื่องร้องเรียน!AN:AN,"พลับพลาไชย 2")</f>
        <v>0</v>
      </c>
      <c r="J178" s="144">
        <f>COUNTIFS(เรื่องร้องเรียน!E:E,"4",เรื่องร้องเรียน!N:N,"ป้อมปราบศัตรูพ่าย",เรื่องร้องเรียน!AN:AN,"พลับพลาไชย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K178" s="144"/>
      <c r="L178" s="144"/>
      <c r="M178" s="109">
        <f t="shared" si="73"/>
        <v>0</v>
      </c>
      <c r="N178" s="145">
        <f t="shared" si="73"/>
        <v>0</v>
      </c>
      <c r="O178" s="146">
        <f>COUNTIFS(เรื่องร้องเรียน!E:E,"1",เรื่องร้องเรียน!N:N,"ป้อมปราบศัตรูพ่าย",เรื่องร้องเรียน!AN:AN,"พลับพลาไชย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P178" s="144">
        <f>COUNTIFS(เรื่องร้องเรียน!E:E,"2",เรื่องร้องเรียน!N:N,"ป้อมปราบศัตรูพ่าย",เรื่องร้องเรียน!AN:AN,"พลับพลาไชย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Q178" s="144">
        <f>COUNTIFS(เรื่องร้องเรียน!E:E,"3",เรื่องร้องเรียน!N:N,"ป้อมปราบศัตรูพ่าย",เรื่องร้องเรียน!AN:AN,"พลับพลาไชย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R178" s="144">
        <f>COUNTIFS(เรื่องร้องเรียน!E:E,"4",เรื่องร้องเรียน!N:N,"ป้อมปราบศัตรูพ่าย",เรื่องร้องเรียน!AN:AN,"พลับพลาไชย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S178" s="144"/>
      <c r="T178" s="147">
        <f t="shared" si="69"/>
        <v>0</v>
      </c>
      <c r="U178" s="129">
        <f t="shared" si="66"/>
        <v>0</v>
      </c>
      <c r="W178" s="129">
        <f t="shared" si="59"/>
        <v>0</v>
      </c>
    </row>
    <row r="179" spans="1:23">
      <c r="A179" s="148"/>
      <c r="B179" s="171" t="s">
        <v>184</v>
      </c>
      <c r="C179" s="123">
        <f>COUNTIFS(เรื่องร้องเรียน!E:E,"1",เรื่องร้องเรียน!N:N,"ป้อมปราบศัตรูพ่าย",เรื่องร้องเรียน!AN:AN,"สำราญราษฎร์")</f>
        <v>0</v>
      </c>
      <c r="D179" s="117">
        <f>COUNTIFS(เรื่องร้องเรียน!E:E,"1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E179" s="117">
        <f>COUNTIFS(เรื่องร้องเรียน!E:E,"2",เรื่องร้องเรียน!N:N,"ป้อมปราบศัตรูพ่าย",เรื่องร้องเรียน!AN:AN,"สำราญราษฎร์")</f>
        <v>0</v>
      </c>
      <c r="F179" s="117">
        <f>COUNTIFS(เรื่องร้องเรียน!E:E,"2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G179" s="117">
        <f>COUNTIFS(เรื่องร้องเรียน!E:E,"3",เรื่องร้องเรียน!N:N,"ป้อมปราบศัตรูพ่าย",เรื่องร้องเรียน!AN:AN,"สำราญราษฎร์")</f>
        <v>0</v>
      </c>
      <c r="H179" s="117">
        <f>COUNTIFS(เรื่องร้องเรียน!E:E,"3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I179" s="117">
        <f>COUNTIFS(เรื่องร้องเรียน!E:E,"4",เรื่องร้องเรียน!N:N,"ป้อมปราบศัตรูพ่าย",เรื่องร้องเรียน!AN:AN,"สำราญราษฎร์")</f>
        <v>0</v>
      </c>
      <c r="J179" s="152">
        <f>COUNTIFS(เรื่องร้องเรียน!E:E,"4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K179" s="152"/>
      <c r="L179" s="152"/>
      <c r="M179" s="117">
        <f t="shared" si="73"/>
        <v>0</v>
      </c>
      <c r="N179" s="122">
        <f t="shared" si="73"/>
        <v>0</v>
      </c>
      <c r="O179" s="153">
        <f>COUNTIFS(เรื่องร้องเรียน!E:E,"1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P179" s="152">
        <f>COUNTIFS(เรื่องร้องเรียน!E:E,"2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Q179" s="152">
        <f>COUNTIFS(เรื่องร้องเรียน!E:E,"3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R179" s="152">
        <f>COUNTIFS(เรื่องร้องเรียน!E:E,"4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S179" s="152"/>
      <c r="T179" s="154">
        <f t="shared" si="69"/>
        <v>0</v>
      </c>
      <c r="U179" s="129">
        <f t="shared" si="66"/>
        <v>0</v>
      </c>
      <c r="W179" s="129">
        <f t="shared" si="59"/>
        <v>0</v>
      </c>
    </row>
    <row r="180" spans="1:23" ht="21.6" thickBot="1">
      <c r="A180" s="150"/>
      <c r="B180" s="177" t="s">
        <v>181</v>
      </c>
      <c r="C180" s="123">
        <f>COUNTIFS(เรื่องร้องเรียน!E:E,"1",เรื่องร้องเรียน!N:N,"ป้อมปราบศัตรูพ่าย",เรื่องร้องเรียน!AN:AN,"จักรวรรดิ")</f>
        <v>0</v>
      </c>
      <c r="D180" s="117">
        <f>COUNTIFS(เรื่องร้องเรียน!E:E,"1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E180" s="117">
        <f>COUNTIFS(เรื่องร้องเรียน!E:E,"2",เรื่องร้องเรียน!N:N,"ป้อมปราบศัตรูพ่าย",เรื่องร้องเรียน!AN:AN,"จักรวรรดิ")</f>
        <v>0</v>
      </c>
      <c r="F180" s="117">
        <f>COUNTIFS(เรื่องร้องเรียน!E:E,"2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G180" s="117">
        <f>COUNTIFS(เรื่องร้องเรียน!E:E,"3",เรื่องร้องเรียน!N:N,"ป้อมปราบศัตรูพ่าย",เรื่องร้องเรียน!AN:AN,"จักรวรรดิ")</f>
        <v>0</v>
      </c>
      <c r="H180" s="117">
        <f>COUNTIFS(เรื่องร้องเรียน!E:E,"3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I180" s="117">
        <f>COUNTIFS(เรื่องร้องเรียน!E:E,"4",เรื่องร้องเรียน!N:N,"ป้อมปราบศัตรูพ่าย",เรื่องร้องเรียน!AN:AN,"จักรวรรดิ")</f>
        <v>0</v>
      </c>
      <c r="J180" s="152">
        <f>COUNTIFS(เรื่องร้องเรียน!E:E,"4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K180" s="152"/>
      <c r="L180" s="152"/>
      <c r="M180" s="117">
        <f>SUM(C180,E180,G180,I180,K180)</f>
        <v>0</v>
      </c>
      <c r="N180" s="122">
        <f>SUM(D180,F180,H180,J180,L180)</f>
        <v>0</v>
      </c>
      <c r="O180" s="153">
        <f>COUNTIFS(เรื่องร้องเรียน!E:E,"1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P180" s="152">
        <f>COUNTIFS(เรื่องร้องเรียน!E:E,"2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Q180" s="152">
        <f>COUNTIFS(เรื่องร้องเรียน!E:E,"3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R180" s="152">
        <f>COUNTIFS(เรื่องร้องเรียน!E:E,"4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S180" s="152"/>
      <c r="T180" s="154">
        <f>SUM(O180:S180)</f>
        <v>0</v>
      </c>
      <c r="U180" s="129">
        <f>M180-N180-T180</f>
        <v>0</v>
      </c>
      <c r="W180" s="129">
        <f t="shared" si="59"/>
        <v>0</v>
      </c>
    </row>
    <row r="181" spans="1:23" ht="21.6" thickBot="1">
      <c r="A181" s="130" t="s">
        <v>89</v>
      </c>
      <c r="B181" s="169" t="s">
        <v>152</v>
      </c>
      <c r="C181" s="132">
        <f>SUM(C182:C186)</f>
        <v>0</v>
      </c>
      <c r="D181" s="131">
        <f t="shared" ref="D181:T181" si="74">SUM(D182:D186 )</f>
        <v>0</v>
      </c>
      <c r="E181" s="131">
        <f t="shared" si="74"/>
        <v>0</v>
      </c>
      <c r="F181" s="131">
        <f t="shared" si="74"/>
        <v>0</v>
      </c>
      <c r="G181" s="131">
        <f t="shared" si="74"/>
        <v>0</v>
      </c>
      <c r="H181" s="131">
        <f t="shared" si="74"/>
        <v>0</v>
      </c>
      <c r="I181" s="131">
        <f t="shared" si="74"/>
        <v>0</v>
      </c>
      <c r="J181" s="131">
        <f t="shared" si="74"/>
        <v>0</v>
      </c>
      <c r="K181" s="131">
        <f t="shared" si="74"/>
        <v>0</v>
      </c>
      <c r="L181" s="131">
        <f t="shared" si="74"/>
        <v>0</v>
      </c>
      <c r="M181" s="131">
        <f t="shared" si="74"/>
        <v>0</v>
      </c>
      <c r="N181" s="163">
        <f t="shared" si="74"/>
        <v>0</v>
      </c>
      <c r="O181" s="132">
        <f t="shared" si="74"/>
        <v>0</v>
      </c>
      <c r="P181" s="131">
        <f t="shared" si="74"/>
        <v>0</v>
      </c>
      <c r="Q181" s="131">
        <f t="shared" si="74"/>
        <v>0</v>
      </c>
      <c r="R181" s="131">
        <f t="shared" si="74"/>
        <v>0</v>
      </c>
      <c r="S181" s="131">
        <f t="shared" si="74"/>
        <v>0</v>
      </c>
      <c r="T181" s="133">
        <f t="shared" si="74"/>
        <v>0</v>
      </c>
      <c r="U181" s="134">
        <f t="shared" si="66"/>
        <v>0</v>
      </c>
      <c r="W181" s="135">
        <f t="shared" si="59"/>
        <v>0</v>
      </c>
    </row>
    <row r="182" spans="1:23">
      <c r="A182" s="136"/>
      <c r="B182" s="137" t="s">
        <v>20</v>
      </c>
      <c r="C182" s="140"/>
      <c r="D182" s="138"/>
      <c r="E182" s="138"/>
      <c r="F182" s="138"/>
      <c r="G182" s="138"/>
      <c r="H182" s="138"/>
      <c r="I182" s="138"/>
      <c r="J182" s="138"/>
      <c r="K182" s="138">
        <f>COUNTIFS(เรื่องร้องเรียน!E:E,"5",เรื่องร้องเรียน!N:N,"พญาไท")</f>
        <v>0</v>
      </c>
      <c r="L182" s="138">
        <f>COUNTIFS(เรื่องร้องเรียน!E:E,"5",เรื่องร้องเรียน!N:N,"พญาไท",เรื่องร้องเรียน!CL:CL,"1")</f>
        <v>0</v>
      </c>
      <c r="M182" s="138">
        <f t="shared" ref="M182:N185" si="75">SUM(C182,E182,G182,I182,K182)</f>
        <v>0</v>
      </c>
      <c r="N182" s="139">
        <f t="shared" si="75"/>
        <v>0</v>
      </c>
      <c r="O182" s="140"/>
      <c r="P182" s="138"/>
      <c r="Q182" s="138"/>
      <c r="R182" s="138"/>
      <c r="S182" s="138">
        <f>COUNTIFS(เรื่องร้องเรียน!E:E,"5",เรื่องร้องเรียน!N:N,"พญาไท",เรื่องร้องเรียน!AQ:AQ,"1",เรื่องร้องเรียน!CL:CL,"")</f>
        <v>0</v>
      </c>
      <c r="T182" s="141">
        <f t="shared" si="69"/>
        <v>0</v>
      </c>
      <c r="U182" s="129">
        <f t="shared" si="66"/>
        <v>0</v>
      </c>
      <c r="W182" s="129">
        <f t="shared" si="59"/>
        <v>0</v>
      </c>
    </row>
    <row r="183" spans="1:23">
      <c r="A183" s="148"/>
      <c r="B183" s="171" t="s">
        <v>86</v>
      </c>
      <c r="C183" s="246">
        <f>COUNTIFS(เรื่องร้องเรียน!E:E,"1",เรื่องร้องเรียน!N:N,"พญาไท",เรื่องร้องเรียน!AN:AN,"ดินแดง")</f>
        <v>0</v>
      </c>
      <c r="D183" s="109">
        <f>COUNTIFS(เรื่องร้องเรียน!E:E,"1",เรื่องร้องเรียน!N:N,"พญาไท",เรื่องร้องเรียน!AN:AN,"ดินแดง",เรื่องร้องเรียน!CL:CL,"1")</f>
        <v>0</v>
      </c>
      <c r="E183" s="109">
        <f>COUNTIFS(เรื่องร้องเรียน!E:E,"2",เรื่องร้องเรียน!N:N,"พญาไท",เรื่องร้องเรียน!AN:AN,"ดินแดง")</f>
        <v>0</v>
      </c>
      <c r="F183" s="109">
        <f>COUNTIFS(เรื่องร้องเรียน!E:E,"2",เรื่องร้องเรียน!N:N,"พญาไท",เรื่องร้องเรียน!AN:AN,"ดินแดง",เรื่องร้องเรียน!CL:CL,"1")</f>
        <v>0</v>
      </c>
      <c r="G183" s="109">
        <f>COUNTIFS(เรื่องร้องเรียน!E:E,"3",เรื่องร้องเรียน!N:N,"พญาไท",เรื่องร้องเรียน!AN:AN,"ดินแดง")</f>
        <v>0</v>
      </c>
      <c r="H183" s="109">
        <f>COUNTIFS(เรื่องร้องเรียน!E:E,"3",เรื่องร้องเรียน!N:N,"พญาไท",เรื่องร้องเรียน!AN:AN,"ดินแดง",เรื่องร้องเรียน!CL:CL,"1")</f>
        <v>0</v>
      </c>
      <c r="I183" s="109">
        <f>COUNTIFS(เรื่องร้องเรียน!E:E,"4",เรื่องร้องเรียน!N:N,"พญาไท",เรื่องร้องเรียน!AN:AN,"ดินแดง")</f>
        <v>0</v>
      </c>
      <c r="J183" s="144">
        <f>COUNTIFS(เรื่องร้องเรียน!E:E,"4",เรื่องร้องเรียน!N:N,"พญาไท",เรื่องร้องเรียน!AN:AN,"ดินแดง",เรื่องร้องเรียน!CL:CL,"1")</f>
        <v>0</v>
      </c>
      <c r="K183" s="144"/>
      <c r="L183" s="144"/>
      <c r="M183" s="109">
        <f t="shared" si="75"/>
        <v>0</v>
      </c>
      <c r="N183" s="145">
        <f t="shared" si="75"/>
        <v>0</v>
      </c>
      <c r="O183" s="146">
        <f>COUNTIFS(เรื่องร้องเรียน!E:E,"1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P183" s="144">
        <f>COUNTIFS(เรื่องร้องเรียน!E:E,"2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Q183" s="144">
        <f>COUNTIFS(เรื่องร้องเรียน!E:E,"3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R183" s="144">
        <f>COUNTIFS(เรื่องร้องเรียน!E:E,"4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S183" s="144"/>
      <c r="T183" s="147">
        <f t="shared" si="69"/>
        <v>0</v>
      </c>
      <c r="U183" s="129">
        <f t="shared" si="66"/>
        <v>0</v>
      </c>
      <c r="W183" s="129">
        <f t="shared" si="59"/>
        <v>0</v>
      </c>
    </row>
    <row r="184" spans="1:23">
      <c r="A184" s="148"/>
      <c r="B184" s="171" t="s">
        <v>133</v>
      </c>
      <c r="C184" s="246">
        <f>COUNTIFS(เรื่องร้องเรียน!E:E,"1",เรื่องร้องเรียน!N:N,"พญาไท",เรื่องร้องเรียน!AN:AN,"บางซื่อ")</f>
        <v>0</v>
      </c>
      <c r="D184" s="109">
        <f>COUNTIFS(เรื่องร้องเรียน!E:E,"1",เรื่องร้องเรียน!N:N,"พญาไท",เรื่องร้องเรียน!AN:AN,"บางซื่อ",เรื่องร้องเรียน!CL:CL,"1")</f>
        <v>0</v>
      </c>
      <c r="E184" s="109">
        <f>COUNTIFS(เรื่องร้องเรียน!E:E,"2",เรื่องร้องเรียน!N:N,"พญาไท",เรื่องร้องเรียน!AN:AN,"บางซื่อ")</f>
        <v>0</v>
      </c>
      <c r="F184" s="109">
        <f>COUNTIFS(เรื่องร้องเรียน!E:E,"2",เรื่องร้องเรียน!N:N,"พญาไท",เรื่องร้องเรียน!AN:AN,"บางซื่อ",เรื่องร้องเรียน!CL:CL,"1")</f>
        <v>0</v>
      </c>
      <c r="G184" s="109">
        <f>COUNTIFS(เรื่องร้องเรียน!E:E,"3",เรื่องร้องเรียน!N:N,"พญาไท",เรื่องร้องเรียน!AN:AN,"บางซื่อ")</f>
        <v>0</v>
      </c>
      <c r="H184" s="109">
        <f>COUNTIFS(เรื่องร้องเรียน!E:E,"3",เรื่องร้องเรียน!N:N,"พญาไท",เรื่องร้องเรียน!AN:AN,"บางซื่อ",เรื่องร้องเรียน!CL:CL,"1")</f>
        <v>0</v>
      </c>
      <c r="I184" s="109">
        <f>COUNTIFS(เรื่องร้องเรียน!E:E,"4",เรื่องร้องเรียน!N:N,"พญาไท",เรื่องร้องเรียน!AN:AN,"บางซื่อ")</f>
        <v>0</v>
      </c>
      <c r="J184" s="144">
        <f>COUNTIFS(เรื่องร้องเรียน!E:E,"4",เรื่องร้องเรียน!N:N,"พญาไท",เรื่องร้องเรียน!AN:AN,"บางซื่อ",เรื่องร้องเรียน!CL:CL,"1")</f>
        <v>0</v>
      </c>
      <c r="K184" s="144"/>
      <c r="L184" s="144"/>
      <c r="M184" s="109">
        <f t="shared" si="75"/>
        <v>0</v>
      </c>
      <c r="N184" s="145">
        <f t="shared" si="75"/>
        <v>0</v>
      </c>
      <c r="O184" s="146">
        <f>COUNTIFS(เรื่องร้องเรียน!E:E,"1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P184" s="144">
        <f>COUNTIFS(เรื่องร้องเรียน!E:E,"2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Q184" s="144">
        <f>COUNTIFS(เรื่องร้องเรียน!E:E,"3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R184" s="144">
        <f>COUNTIFS(เรื่องร้องเรียน!E:E,"4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S184" s="144"/>
      <c r="T184" s="147">
        <f t="shared" si="69"/>
        <v>0</v>
      </c>
      <c r="U184" s="129">
        <f t="shared" si="66"/>
        <v>0</v>
      </c>
      <c r="W184" s="129">
        <f t="shared" si="59"/>
        <v>0</v>
      </c>
    </row>
    <row r="185" spans="1:23">
      <c r="A185" s="150"/>
      <c r="B185" s="177" t="s">
        <v>89</v>
      </c>
      <c r="C185" s="123">
        <f>COUNTIFS(เรื่องร้องเรียน!E:E,"1",เรื่องร้องเรียน!N:N,"พญาไท",เรื่องร้องเรียน!AN:AN,"พญาไท")</f>
        <v>0</v>
      </c>
      <c r="D185" s="117">
        <f>COUNTIFS(เรื่องร้องเรียน!E:E,"1",เรื่องร้องเรียน!N:N,"พญาไท",เรื่องร้องเรียน!AN:AN,"พญาไท",เรื่องร้องเรียน!CL:CL,"1")</f>
        <v>0</v>
      </c>
      <c r="E185" s="117">
        <f>COUNTIFS(เรื่องร้องเรียน!E:E,"2",เรื่องร้องเรียน!N:N,"พญาไท",เรื่องร้องเรียน!AN:AN,"พญาไท")</f>
        <v>0</v>
      </c>
      <c r="F185" s="117">
        <f>COUNTIFS(เรื่องร้องเรียน!E:E,"2",เรื่องร้องเรียน!N:N,"พญาไท",เรื่องร้องเรียน!AN:AN,"พญาไท",เรื่องร้องเรียน!CL:CL,"1")</f>
        <v>0</v>
      </c>
      <c r="G185" s="117">
        <f>COUNTIFS(เรื่องร้องเรียน!E:E,"3",เรื่องร้องเรียน!N:N,"พญาไท",เรื่องร้องเรียน!AN:AN,"พญาไท")</f>
        <v>0</v>
      </c>
      <c r="H185" s="117">
        <f>COUNTIFS(เรื่องร้องเรียน!E:E,"3",เรื่องร้องเรียน!N:N,"พญาไท",เรื่องร้องเรียน!AN:AN,"พญาไท",เรื่องร้องเรียน!CL:CL,"1")</f>
        <v>0</v>
      </c>
      <c r="I185" s="117">
        <f>COUNTIFS(เรื่องร้องเรียน!E:E,"4",เรื่องร้องเรียน!N:N,"พญาไท",เรื่องร้องเรียน!AN:AN,"พญาไท")</f>
        <v>0</v>
      </c>
      <c r="J185" s="152">
        <f>COUNTIFS(เรื่องร้องเรียน!E:E,"4",เรื่องร้องเรียน!N:N,"พญาไท",เรื่องร้องเรียน!AN:AN,"พญาไท",เรื่องร้องเรียน!CL:CL,"1")</f>
        <v>0</v>
      </c>
      <c r="K185" s="152"/>
      <c r="L185" s="152"/>
      <c r="M185" s="117">
        <f t="shared" si="75"/>
        <v>0</v>
      </c>
      <c r="N185" s="122">
        <f t="shared" si="75"/>
        <v>0</v>
      </c>
      <c r="O185" s="153">
        <f>COUNTIFS(เรื่องร้องเรียน!E:E,"1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P185" s="152">
        <f>COUNTIFS(เรื่องร้องเรียน!E:E,"2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Q185" s="152">
        <f>COUNTIFS(เรื่องร้องเรียน!E:E,"3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R185" s="152">
        <f>COUNTIFS(เรื่องร้องเรียน!E:E,"4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S185" s="152"/>
      <c r="T185" s="154">
        <f t="shared" si="69"/>
        <v>0</v>
      </c>
      <c r="U185" s="129">
        <f t="shared" si="66"/>
        <v>0</v>
      </c>
      <c r="W185" s="129">
        <f t="shared" si="59"/>
        <v>0</v>
      </c>
    </row>
    <row r="186" spans="1:23" ht="21.6" thickBot="1">
      <c r="A186" s="168"/>
      <c r="B186" s="177" t="s">
        <v>88</v>
      </c>
      <c r="C186" s="123">
        <f>COUNTIFS(เรื่องร้องเรียน!E:E,"1",เรื่องร้องเรียน!N:N,"พญาไท",เรื่องร้องเรียน!AN:AN,"สุทธิสาร")</f>
        <v>0</v>
      </c>
      <c r="D186" s="117">
        <f>COUNTIFS(เรื่องร้องเรียน!E:E,"1",เรื่องร้องเรียน!N:N,"พญาไท",เรื่องร้องเรียน!AN:AN,"สุทธิสาร",เรื่องร้องเรียน!CL:CL,"1")</f>
        <v>0</v>
      </c>
      <c r="E186" s="117">
        <f>COUNTIFS(เรื่องร้องเรียน!E:E,"2",เรื่องร้องเรียน!N:N,"พญาไท",เรื่องร้องเรียน!AN:AN,"สุทธิสาร")</f>
        <v>0</v>
      </c>
      <c r="F186" s="117">
        <f>COUNTIFS(เรื่องร้องเรียน!E:E,"2",เรื่องร้องเรียน!N:N,"พญาไท",เรื่องร้องเรียน!AN:AN,"สุทธิสาร",เรื่องร้องเรียน!CL:CL,"1")</f>
        <v>0</v>
      </c>
      <c r="G186" s="117">
        <f>COUNTIFS(เรื่องร้องเรียน!E:E,"3",เรื่องร้องเรียน!N:N,"พญาไท",เรื่องร้องเรียน!AN:AN,"สุทธิสาร")</f>
        <v>0</v>
      </c>
      <c r="H186" s="117">
        <f>COUNTIFS(เรื่องร้องเรียน!E:E,"3",เรื่องร้องเรียน!N:N,"พญาไท",เรื่องร้องเรียน!AN:AN,"สุทธิสาร",เรื่องร้องเรียน!CL:CL,"1")</f>
        <v>0</v>
      </c>
      <c r="I186" s="117">
        <f>COUNTIFS(เรื่องร้องเรียน!E:E,"4",เรื่องร้องเรียน!N:N,"พญาไท",เรื่องร้องเรียน!AN:AN,"สุทธิสาร")</f>
        <v>0</v>
      </c>
      <c r="J186" s="152">
        <f>COUNTIFS(เรื่องร้องเรียน!E:E,"4",เรื่องร้องเรียน!N:N,"พญาไท",เรื่องร้องเรียน!AN:AN,"สุทธิสาร",เรื่องร้องเรียน!CL:CL,"1")</f>
        <v>0</v>
      </c>
      <c r="K186" s="152"/>
      <c r="L186" s="152"/>
      <c r="M186" s="117">
        <f>SUM(C186,E186,G186,I186,K186)</f>
        <v>0</v>
      </c>
      <c r="N186" s="122">
        <f>SUM(D186,F186,H186,J186,L186)</f>
        <v>0</v>
      </c>
      <c r="O186" s="153">
        <f>COUNTIFS(เรื่องร้องเรียน!E:E,"1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P186" s="152">
        <f>COUNTIFS(เรื่องร้องเรียน!E:E,"2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Q186" s="152">
        <f>COUNTIFS(เรื่องร้องเรียน!E:E,"3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R186" s="152">
        <f>COUNTIFS(เรื่องร้องเรียน!E:E,"4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S186" s="152"/>
      <c r="T186" s="154">
        <f>SUM(O186:S186)</f>
        <v>0</v>
      </c>
      <c r="U186" s="129">
        <f>M186-N186-T186</f>
        <v>0</v>
      </c>
      <c r="W186" s="129">
        <f t="shared" si="59"/>
        <v>0</v>
      </c>
    </row>
    <row r="187" spans="1:23" ht="21.6" thickBot="1">
      <c r="A187" s="130" t="s">
        <v>115</v>
      </c>
      <c r="B187" s="169" t="s">
        <v>152</v>
      </c>
      <c r="C187" s="132">
        <f>SUM(C188:C190 )</f>
        <v>0</v>
      </c>
      <c r="D187" s="131">
        <f t="shared" ref="D187:T187" si="76">SUM(D188:D190 )</f>
        <v>0</v>
      </c>
      <c r="E187" s="131">
        <f t="shared" si="76"/>
        <v>0</v>
      </c>
      <c r="F187" s="131">
        <f t="shared" si="76"/>
        <v>0</v>
      </c>
      <c r="G187" s="131">
        <f t="shared" si="76"/>
        <v>0</v>
      </c>
      <c r="H187" s="131">
        <f t="shared" si="76"/>
        <v>0</v>
      </c>
      <c r="I187" s="131">
        <f t="shared" si="76"/>
        <v>0</v>
      </c>
      <c r="J187" s="131">
        <f t="shared" si="76"/>
        <v>0</v>
      </c>
      <c r="K187" s="131">
        <f t="shared" si="76"/>
        <v>0</v>
      </c>
      <c r="L187" s="131">
        <f t="shared" si="76"/>
        <v>0</v>
      </c>
      <c r="M187" s="131">
        <f t="shared" si="76"/>
        <v>0</v>
      </c>
      <c r="N187" s="163">
        <f t="shared" si="76"/>
        <v>0</v>
      </c>
      <c r="O187" s="132">
        <f t="shared" si="76"/>
        <v>0</v>
      </c>
      <c r="P187" s="131">
        <f t="shared" si="76"/>
        <v>0</v>
      </c>
      <c r="Q187" s="131">
        <f t="shared" si="76"/>
        <v>0</v>
      </c>
      <c r="R187" s="131">
        <f t="shared" si="76"/>
        <v>0</v>
      </c>
      <c r="S187" s="131">
        <f t="shared" si="76"/>
        <v>0</v>
      </c>
      <c r="T187" s="133">
        <f t="shared" si="76"/>
        <v>0</v>
      </c>
      <c r="U187" s="134">
        <f t="shared" si="66"/>
        <v>0</v>
      </c>
      <c r="W187" s="135">
        <f t="shared" si="59"/>
        <v>0</v>
      </c>
    </row>
    <row r="188" spans="1:23">
      <c r="A188" s="173"/>
      <c r="B188" s="170" t="s">
        <v>20</v>
      </c>
      <c r="C188" s="140"/>
      <c r="D188" s="138"/>
      <c r="E188" s="138"/>
      <c r="F188" s="138"/>
      <c r="G188" s="138"/>
      <c r="H188" s="138"/>
      <c r="I188" s="138"/>
      <c r="J188" s="138"/>
      <c r="K188" s="138">
        <f>COUNTIFS(เรื่องร้องเรียน!E:E,"5",เรื่องร้องเรียน!N:N,"พระโขนง")</f>
        <v>0</v>
      </c>
      <c r="L188" s="138">
        <f>COUNTIFS(เรื่องร้องเรียน!E:E,"5",เรื่องร้องเรียน!N:N,"พระโขนง",เรื่องร้องเรียน!CL:CL,"1")</f>
        <v>0</v>
      </c>
      <c r="M188" s="138">
        <f t="shared" ref="M188:N190" si="77">SUM(C188,E188,G188,I188,K188)</f>
        <v>0</v>
      </c>
      <c r="N188" s="139">
        <f t="shared" si="77"/>
        <v>0</v>
      </c>
      <c r="O188" s="140"/>
      <c r="P188" s="138"/>
      <c r="Q188" s="138"/>
      <c r="R188" s="138"/>
      <c r="S188" s="138">
        <f>COUNTIFS(เรื่องร้องเรียน!E:E,"5",เรื่องร้องเรียน!N:N,"พระโขนง",เรื่องร้องเรียน!AQ:AQ,"1",เรื่องร้องเรียน!CL:CL,"")</f>
        <v>0</v>
      </c>
      <c r="T188" s="141">
        <f t="shared" si="69"/>
        <v>0</v>
      </c>
      <c r="U188" s="129">
        <f t="shared" si="66"/>
        <v>0</v>
      </c>
      <c r="W188" s="129">
        <f t="shared" si="59"/>
        <v>0</v>
      </c>
    </row>
    <row r="189" spans="1:23">
      <c r="A189" s="148"/>
      <c r="B189" s="171" t="s">
        <v>108</v>
      </c>
      <c r="C189" s="246">
        <f>COUNTIFS(เรื่องร้องเรียน!E:E,"1",เรื่องร้องเรียน!N:N,"พระโขนง",เรื่องร้องเรียน!AN:AN,"บางนา")</f>
        <v>0</v>
      </c>
      <c r="D189" s="109">
        <f>COUNTIFS(เรื่องร้องเรียน!E:E,"1",เรื่องร้องเรียน!N:N,"พระโขนง",เรื่องร้องเรียน!AN:AN,"บางนา",เรื่องร้องเรียน!CL:CL,"1")</f>
        <v>0</v>
      </c>
      <c r="E189" s="109">
        <f>COUNTIFS(เรื่องร้องเรียน!E:E,"2",เรื่องร้องเรียน!N:N,"พระโขนง",เรื่องร้องเรียน!AN:AN,"บางนา")</f>
        <v>0</v>
      </c>
      <c r="F189" s="109">
        <f>COUNTIFS(เรื่องร้องเรียน!E:E,"2",เรื่องร้องเรียน!N:N,"พระโขนง",เรื่องร้องเรียน!AN:AN,"บางนา",เรื่องร้องเรียน!CL:CL,"1")</f>
        <v>0</v>
      </c>
      <c r="G189" s="109">
        <f>COUNTIFS(เรื่องร้องเรียน!E:E,"3",เรื่องร้องเรียน!N:N,"พระโขนง",เรื่องร้องเรียน!AN:AN,"บางนา")</f>
        <v>0</v>
      </c>
      <c r="H189" s="109">
        <f>COUNTIFS(เรื่องร้องเรียน!E:E,"3",เรื่องร้องเรียน!N:N,"พระโขนง",เรื่องร้องเรียน!AN:AN,"บางนา",เรื่องร้องเรียน!CL:CL,"1")</f>
        <v>0</v>
      </c>
      <c r="I189" s="109">
        <f>COUNTIFS(เรื่องร้องเรียน!E:E,"4",เรื่องร้องเรียน!N:N,"พระโขนง",เรื่องร้องเรียน!AN:AN,"บางนา")</f>
        <v>0</v>
      </c>
      <c r="J189" s="144">
        <f>COUNTIFS(เรื่องร้องเรียน!E:E,"4",เรื่องร้องเรียน!N:N,"พระโขนง",เรื่องร้องเรียน!AN:AN,"บางนา",เรื่องร้องเรียน!CL:CL,"1")</f>
        <v>0</v>
      </c>
      <c r="K189" s="144"/>
      <c r="L189" s="144"/>
      <c r="M189" s="109">
        <f t="shared" si="77"/>
        <v>0</v>
      </c>
      <c r="N189" s="145">
        <f t="shared" si="77"/>
        <v>0</v>
      </c>
      <c r="O189" s="146">
        <f>COUNTIFS(เรื่องร้องเรียน!E:E,"1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P189" s="144">
        <f>COUNTIFS(เรื่องร้องเรียน!E:E,"2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Q189" s="144">
        <f>COUNTIFS(เรื่องร้องเรียน!E:E,"3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R189" s="144">
        <f>COUNTIFS(เรื่องร้องเรียน!E:E,"4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S189" s="144"/>
      <c r="T189" s="147">
        <f t="shared" si="69"/>
        <v>0</v>
      </c>
      <c r="U189" s="129">
        <f t="shared" si="66"/>
        <v>0</v>
      </c>
      <c r="W189" s="129">
        <f t="shared" si="59"/>
        <v>0</v>
      </c>
    </row>
    <row r="190" spans="1:23" ht="21.6" thickBot="1">
      <c r="A190" s="150"/>
      <c r="B190" s="177" t="s">
        <v>115</v>
      </c>
      <c r="C190" s="123">
        <f>COUNTIFS(เรื่องร้องเรียน!E:E,"1",เรื่องร้องเรียน!N:N,"พระโขนง",เรื่องร้องเรียน!AN:AN,"พระโขนง")</f>
        <v>0</v>
      </c>
      <c r="D190" s="117">
        <f>COUNTIFS(เรื่องร้องเรียน!E:E,"1",เรื่องร้องเรียน!N:N,"พระโขนง",เรื่องร้องเรียน!AN:AN,"พระโขนง",เรื่องร้องเรียน!CL:CL,"1")</f>
        <v>0</v>
      </c>
      <c r="E190" s="117">
        <f>COUNTIFS(เรื่องร้องเรียน!E:E,"2",เรื่องร้องเรียน!N:N,"พระโขนง",เรื่องร้องเรียน!AN:AN,"พระโขนง")</f>
        <v>0</v>
      </c>
      <c r="F190" s="117">
        <f>COUNTIFS(เรื่องร้องเรียน!E:E,"2",เรื่องร้องเรียน!N:N,"พระโขนง",เรื่องร้องเรียน!AN:AN,"พระโขนง",เรื่องร้องเรียน!CL:CL,"1")</f>
        <v>0</v>
      </c>
      <c r="G190" s="117">
        <f>COUNTIFS(เรื่องร้องเรียน!E:E,"3",เรื่องร้องเรียน!N:N,"พระโขนง",เรื่องร้องเรียน!AN:AN,"พระโขนง")</f>
        <v>0</v>
      </c>
      <c r="H190" s="117">
        <f>COUNTIFS(เรื่องร้องเรียน!E:E,"3",เรื่องร้องเรียน!N:N,"พระโขนง",เรื่องร้องเรียน!AN:AN,"พระโขนง",เรื่องร้องเรียน!CL:CL,"1")</f>
        <v>0</v>
      </c>
      <c r="I190" s="117">
        <f>COUNTIFS(เรื่องร้องเรียน!E:E,"4",เรื่องร้องเรียน!N:N,"พระโขนง",เรื่องร้องเรียน!AN:AN,"พระโขนง")</f>
        <v>0</v>
      </c>
      <c r="J190" s="152">
        <f>COUNTIFS(เรื่องร้องเรียน!E:E,"4",เรื่องร้องเรียน!N:N,"พระโขนง",เรื่องร้องเรียน!AN:AN,"พระโขนง",เรื่องร้องเรียน!CL:CL,"1")</f>
        <v>0</v>
      </c>
      <c r="K190" s="152"/>
      <c r="L190" s="152"/>
      <c r="M190" s="117">
        <f t="shared" si="77"/>
        <v>0</v>
      </c>
      <c r="N190" s="122">
        <f t="shared" si="77"/>
        <v>0</v>
      </c>
      <c r="O190" s="153">
        <f>COUNTIFS(เรื่องร้องเรียน!E:E,"1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P190" s="152">
        <f>COUNTIFS(เรื่องร้องเรียน!E:E,"2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Q190" s="152">
        <f>COUNTIFS(เรื่องร้องเรียน!E:E,"3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R190" s="152">
        <f>COUNTIFS(เรื่องร้องเรียน!E:E,"4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S190" s="152"/>
      <c r="T190" s="154">
        <f t="shared" si="69"/>
        <v>0</v>
      </c>
      <c r="U190" s="129">
        <f t="shared" si="66"/>
        <v>0</v>
      </c>
      <c r="W190" s="129">
        <f t="shared" si="59"/>
        <v>0</v>
      </c>
    </row>
    <row r="191" spans="1:23" ht="21.6" thickBot="1">
      <c r="A191" s="130" t="s">
        <v>205</v>
      </c>
      <c r="B191" s="169" t="s">
        <v>152</v>
      </c>
      <c r="C191" s="132">
        <f>SUM(C192:C196 )</f>
        <v>0</v>
      </c>
      <c r="D191" s="131">
        <f t="shared" ref="D191:T191" si="78">SUM(D192:D196 )</f>
        <v>0</v>
      </c>
      <c r="E191" s="131">
        <f t="shared" si="78"/>
        <v>0</v>
      </c>
      <c r="F191" s="131">
        <f t="shared" si="78"/>
        <v>0</v>
      </c>
      <c r="G191" s="131">
        <f t="shared" si="78"/>
        <v>0</v>
      </c>
      <c r="H191" s="131">
        <f t="shared" si="78"/>
        <v>0</v>
      </c>
      <c r="I191" s="131">
        <f t="shared" si="78"/>
        <v>0</v>
      </c>
      <c r="J191" s="131">
        <f t="shared" si="78"/>
        <v>0</v>
      </c>
      <c r="K191" s="131">
        <f t="shared" si="78"/>
        <v>0</v>
      </c>
      <c r="L191" s="131">
        <f t="shared" si="78"/>
        <v>0</v>
      </c>
      <c r="M191" s="131">
        <f t="shared" si="78"/>
        <v>0</v>
      </c>
      <c r="N191" s="163">
        <f t="shared" si="78"/>
        <v>0</v>
      </c>
      <c r="O191" s="132">
        <f t="shared" si="78"/>
        <v>0</v>
      </c>
      <c r="P191" s="131">
        <f t="shared" si="78"/>
        <v>0</v>
      </c>
      <c r="Q191" s="131">
        <f t="shared" si="78"/>
        <v>0</v>
      </c>
      <c r="R191" s="131">
        <f t="shared" si="78"/>
        <v>0</v>
      </c>
      <c r="S191" s="131">
        <f t="shared" si="78"/>
        <v>0</v>
      </c>
      <c r="T191" s="133">
        <f t="shared" si="78"/>
        <v>0</v>
      </c>
      <c r="U191" s="134">
        <f t="shared" si="66"/>
        <v>0</v>
      </c>
      <c r="W191" s="135">
        <f t="shared" si="59"/>
        <v>0</v>
      </c>
    </row>
    <row r="192" spans="1:23">
      <c r="A192" s="173"/>
      <c r="B192" s="170" t="s">
        <v>20</v>
      </c>
      <c r="C192" s="140"/>
      <c r="D192" s="138"/>
      <c r="E192" s="138"/>
      <c r="F192" s="138"/>
      <c r="G192" s="138"/>
      <c r="H192" s="138"/>
      <c r="I192" s="138"/>
      <c r="J192" s="138"/>
      <c r="K192" s="138">
        <f>COUNTIFS(เรื่องร้องเรียน!E:E,"5",เรื่องร้องเรียน!N:N,"พระนคร")</f>
        <v>0</v>
      </c>
      <c r="L192" s="138">
        <f>COUNTIFS(เรื่องร้องเรียน!E:E,"5",เรื่องร้องเรียน!N:N,"พระนคร",เรื่องร้องเรียน!CL:CL,"1")</f>
        <v>0</v>
      </c>
      <c r="M192" s="138">
        <f t="shared" ref="M192:N196" si="79">SUM(C192,E192,G192,I192,K192)</f>
        <v>0</v>
      </c>
      <c r="N192" s="139">
        <f t="shared" si="79"/>
        <v>0</v>
      </c>
      <c r="O192" s="140"/>
      <c r="P192" s="138"/>
      <c r="Q192" s="138"/>
      <c r="R192" s="138"/>
      <c r="S192" s="138">
        <f>COUNTIFS(เรื่องร้องเรียน!E:E,"5",เรื่องร้องเรียน!N:N,"พระนคร",เรื่องร้องเรียน!AQ:AQ,"1",เรื่องร้องเรียน!CL:CL,"")</f>
        <v>0</v>
      </c>
      <c r="T192" s="141">
        <f t="shared" si="69"/>
        <v>0</v>
      </c>
      <c r="U192" s="129">
        <f t="shared" si="66"/>
        <v>0</v>
      </c>
      <c r="W192" s="129">
        <f t="shared" si="59"/>
        <v>0</v>
      </c>
    </row>
    <row r="193" spans="1:23">
      <c r="A193" s="148"/>
      <c r="B193" s="171" t="s">
        <v>167</v>
      </c>
      <c r="C193" s="246">
        <f>COUNTIFS(เรื่องร้องเรียน!E:E,"1",เรื่องร้องเรียน!N:N,"พระนคร",เรื่องร้องเรียน!AN:AN,"ชนะสงคราม")</f>
        <v>0</v>
      </c>
      <c r="D193" s="109">
        <f>COUNTIFS(เรื่องร้องเรียน!E:E,"1",เรื่องร้องเรียน!N:N,"พระนคร",เรื่องร้องเรียน!AN:AN,"ชนะสงคราม",เรื่องร้องเรียน!CL:CL,"1")</f>
        <v>0</v>
      </c>
      <c r="E193" s="109">
        <f>COUNTIFS(เรื่องร้องเรียน!E:E,"2",เรื่องร้องเรียน!N:N,"พระนคร",เรื่องร้องเรียน!AN:AN,"ชนะสงคราม")</f>
        <v>0</v>
      </c>
      <c r="F193" s="109">
        <f>COUNTIFS(เรื่องร้องเรียน!E:E,"2",เรื่องร้องเรียน!N:N,"พระนคร",เรื่องร้องเรียน!AN:AN,"ชนะสงคราม",เรื่องร้องเรียน!CL:CL,"1")</f>
        <v>0</v>
      </c>
      <c r="G193" s="109">
        <f>COUNTIFS(เรื่องร้องเรียน!E:E,"3",เรื่องร้องเรียน!N:N,"พระนคร",เรื่องร้องเรียน!AN:AN,"ชนะสงคราม")</f>
        <v>0</v>
      </c>
      <c r="H193" s="109">
        <f>COUNTIFS(เรื่องร้องเรียน!E:E,"3",เรื่องร้องเรียน!N:N,"พระนคร",เรื่องร้องเรียน!AN:AN,"ชนะสงคราม",เรื่องร้องเรียน!CL:CL,"1")</f>
        <v>0</v>
      </c>
      <c r="I193" s="109">
        <f>COUNTIFS(เรื่องร้องเรียน!E:E,"4",เรื่องร้องเรียน!N:N,"พระนคร",เรื่องร้องเรียน!AN:AN,"ชนะสงคราม")</f>
        <v>0</v>
      </c>
      <c r="J193" s="144">
        <f>COUNTIFS(เรื่องร้องเรียน!E:E,"4",เรื่องร้องเรียน!N:N,"พระนคร",เรื่องร้องเรียน!AN:AN,"ชนะสงคราม",เรื่องร้องเรียน!CL:CL,"1")</f>
        <v>0</v>
      </c>
      <c r="K193" s="144"/>
      <c r="L193" s="144"/>
      <c r="M193" s="109">
        <f t="shared" si="79"/>
        <v>0</v>
      </c>
      <c r="N193" s="145">
        <f t="shared" si="79"/>
        <v>0</v>
      </c>
      <c r="O193" s="146">
        <f>COUNTIFS(เรื่องร้องเรียน!E:E,"1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P193" s="144">
        <f>COUNTIFS(เรื่องร้องเรียน!E:E,"2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Q193" s="144">
        <f>COUNTIFS(เรื่องร้องเรียน!E:E,"3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R193" s="144">
        <f>COUNTIFS(เรื่องร้องเรียน!E:E,"4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S193" s="144"/>
      <c r="T193" s="147">
        <f t="shared" si="69"/>
        <v>0</v>
      </c>
      <c r="U193" s="129">
        <f t="shared" si="66"/>
        <v>0</v>
      </c>
      <c r="W193" s="129">
        <f t="shared" si="59"/>
        <v>0</v>
      </c>
    </row>
    <row r="194" spans="1:23">
      <c r="A194" s="148"/>
      <c r="B194" s="171" t="s">
        <v>169</v>
      </c>
      <c r="C194" s="246">
        <f>COUNTIFS(เรื่องร้องเรียน!E:E,"1",เรื่องร้องเรียน!N:N,"พระนคร",เรื่องร้องเรียน!AN:AN,"นางเลิ้ง")</f>
        <v>0</v>
      </c>
      <c r="D194" s="109">
        <f>COUNTIFS(เรื่องร้องเรียน!E:E,"1",เรื่องร้องเรียน!N:N,"พระนคร",เรื่องร้องเรียน!AN:AN,"นางเลิ้ง",เรื่องร้องเรียน!CL:CL,"1")</f>
        <v>0</v>
      </c>
      <c r="E194" s="109">
        <f>COUNTIFS(เรื่องร้องเรียน!E:E,"2",เรื่องร้องเรียน!N:N,"พระนคร",เรื่องร้องเรียน!AN:AN,"นางเลิ้ง")</f>
        <v>0</v>
      </c>
      <c r="F194" s="109">
        <f>COUNTIFS(เรื่องร้องเรียน!E:E,"2",เรื่องร้องเรียน!N:N,"พระนคร",เรื่องร้องเรียน!AN:AN,"นางเลิ้ง",เรื่องร้องเรียน!CL:CL,"1")</f>
        <v>0</v>
      </c>
      <c r="G194" s="109">
        <f>COUNTIFS(เรื่องร้องเรียน!E:E,"3",เรื่องร้องเรียน!N:N,"พระนคร",เรื่องร้องเรียน!AN:AN,"นางเลิ้ง")</f>
        <v>0</v>
      </c>
      <c r="H194" s="109">
        <f>COUNTIFS(เรื่องร้องเรียน!E:E,"3",เรื่องร้องเรียน!N:N,"พระนคร",เรื่องร้องเรียน!AN:AN,"นางเลิ้ง",เรื่องร้องเรียน!CL:CL,"1")</f>
        <v>0</v>
      </c>
      <c r="I194" s="109">
        <f>COUNTIFS(เรื่องร้องเรียน!E:E,"4",เรื่องร้องเรียน!N:N,"พระนคร",เรื่องร้องเรียน!AN:AN,"นางเลิ้ง")</f>
        <v>0</v>
      </c>
      <c r="J194" s="144">
        <f>COUNTIFS(เรื่องร้องเรียน!E:E,"4",เรื่องร้องเรียน!N:N,"พระนคร",เรื่องร้องเรียน!AN:AN,"นางเลิ้ง",เรื่องร้องเรียน!CL:CL,"1")</f>
        <v>0</v>
      </c>
      <c r="K194" s="144"/>
      <c r="L194" s="144"/>
      <c r="M194" s="109">
        <f t="shared" si="79"/>
        <v>0</v>
      </c>
      <c r="N194" s="145">
        <f t="shared" si="79"/>
        <v>0</v>
      </c>
      <c r="O194" s="146">
        <f>COUNTIFS(เรื่องร้องเรียน!E:E,"1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P194" s="144">
        <f>COUNTIFS(เรื่องร้องเรียน!E:E,"2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Q194" s="144">
        <f>COUNTIFS(เรื่องร้องเรียน!E:E,"3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R194" s="144">
        <f>COUNTIFS(เรื่องร้องเรียน!E:E,"4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S194" s="144"/>
      <c r="T194" s="147">
        <f t="shared" si="69"/>
        <v>0</v>
      </c>
      <c r="U194" s="129">
        <f t="shared" si="66"/>
        <v>0</v>
      </c>
      <c r="W194" s="129">
        <f t="shared" si="59"/>
        <v>0</v>
      </c>
    </row>
    <row r="195" spans="1:23">
      <c r="A195" s="148"/>
      <c r="B195" s="171" t="s">
        <v>183</v>
      </c>
      <c r="C195" s="246">
        <f>COUNTIFS(เรื่องร้องเรียน!E:E,"1",เรื่องร้องเรียน!N:N,"พระนคร",เรื่องร้องเรียน!AN:AN,"พระราชวัง")</f>
        <v>0</v>
      </c>
      <c r="D195" s="109">
        <f>COUNTIFS(เรื่องร้องเรียน!E:E,"1",เรื่องร้องเรียน!N:N,"พระนคร",เรื่องร้องเรียน!AN:AN,"พระราชวัง",เรื่องร้องเรียน!CL:CL,"1")</f>
        <v>0</v>
      </c>
      <c r="E195" s="109">
        <f>COUNTIFS(เรื่องร้องเรียน!E:E,"2",เรื่องร้องเรียน!N:N,"พระนคร",เรื่องร้องเรียน!AN:AN,"พระราชวัง")</f>
        <v>0</v>
      </c>
      <c r="F195" s="109">
        <f>COUNTIFS(เรื่องร้องเรียน!E:E,"2",เรื่องร้องเรียน!N:N,"พระนคร",เรื่องร้องเรียน!AN:AN,"พระราชวัง",เรื่องร้องเรียน!CL:CL,"1")</f>
        <v>0</v>
      </c>
      <c r="G195" s="109">
        <f>COUNTIFS(เรื่องร้องเรียน!E:E,"3",เรื่องร้องเรียน!N:N,"พระนคร",เรื่องร้องเรียน!AN:AN,"พระราชวัง")</f>
        <v>0</v>
      </c>
      <c r="H195" s="109">
        <f>COUNTIFS(เรื่องร้องเรียน!E:E,"3",เรื่องร้องเรียน!N:N,"พระนคร",เรื่องร้องเรียน!AN:AN,"พระราชวัง",เรื่องร้องเรียน!CL:CL,"1")</f>
        <v>0</v>
      </c>
      <c r="I195" s="109">
        <f>COUNTIFS(เรื่องร้องเรียน!E:E,"4",เรื่องร้องเรียน!N:N,"พระนคร",เรื่องร้องเรียน!AN:AN,"พระราชวัง")</f>
        <v>0</v>
      </c>
      <c r="J195" s="144">
        <f>COUNTIFS(เรื่องร้องเรียน!E:E,"4",เรื่องร้องเรียน!N:N,"พระนคร",เรื่องร้องเรียน!AN:AN,"พระราชวัง",เรื่องร้องเรียน!CL:CL,"1")</f>
        <v>0</v>
      </c>
      <c r="K195" s="144"/>
      <c r="L195" s="144"/>
      <c r="M195" s="109">
        <f t="shared" si="79"/>
        <v>0</v>
      </c>
      <c r="N195" s="145">
        <f t="shared" si="79"/>
        <v>0</v>
      </c>
      <c r="O195" s="146">
        <f>COUNTIFS(เรื่องร้องเรียน!E:E,"1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P195" s="144">
        <f>COUNTIFS(เรื่องร้องเรียน!E:E,"2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Q195" s="144">
        <f>COUNTIFS(เรื่องร้องเรียน!E:E,"3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R195" s="144">
        <f>COUNTIFS(เรื่องร้องเรียน!E:E,"4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S195" s="144"/>
      <c r="T195" s="147">
        <f t="shared" si="69"/>
        <v>0</v>
      </c>
      <c r="U195" s="129">
        <f t="shared" si="66"/>
        <v>0</v>
      </c>
      <c r="W195" s="129">
        <f t="shared" si="59"/>
        <v>0</v>
      </c>
    </row>
    <row r="196" spans="1:23" ht="21.6" thickBot="1">
      <c r="A196" s="150"/>
      <c r="B196" s="177" t="s">
        <v>184</v>
      </c>
      <c r="C196" s="123">
        <f>COUNTIFS(เรื่องร้องเรียน!E:E,"1",เรื่องร้องเรียน!N:N,"พระนคร",เรื่องร้องเรียน!AN:AN,"สำราญราษฎร์")</f>
        <v>0</v>
      </c>
      <c r="D196" s="117">
        <f>COUNTIFS(เรื่องร้องเรียน!E:E,"1",เรื่องร้องเรียน!N:N,"พระนคร",เรื่องร้องเรียน!AN:AN,"สำราญราษฎร์",เรื่องร้องเรียน!CL:CL,"1")</f>
        <v>0</v>
      </c>
      <c r="E196" s="117">
        <f>COUNTIFS(เรื่องร้องเรียน!E:E,"2",เรื่องร้องเรียน!N:N,"พระนคร",เรื่องร้องเรียน!AN:AN,"สำราญราษฎร์")</f>
        <v>0</v>
      </c>
      <c r="F196" s="117">
        <f>COUNTIFS(เรื่องร้องเรียน!E:E,"2",เรื่องร้องเรียน!N:N,"พระนคร",เรื่องร้องเรียน!AN:AN,"สำราญราษฎร์",เรื่องร้องเรียน!CL:CL,"1")</f>
        <v>0</v>
      </c>
      <c r="G196" s="117">
        <f>COUNTIFS(เรื่องร้องเรียน!E:E,"3",เรื่องร้องเรียน!N:N,"พระนคร",เรื่องร้องเรียน!AN:AN,"สำราญราษฎร์")</f>
        <v>0</v>
      </c>
      <c r="H196" s="117">
        <f>COUNTIFS(เรื่องร้องเรียน!E:E,"3",เรื่องร้องเรียน!N:N,"พระนคร",เรื่องร้องเรียน!AN:AN,"สำราญราษฎร์",เรื่องร้องเรียน!CL:CL,"1")</f>
        <v>0</v>
      </c>
      <c r="I196" s="117">
        <f>COUNTIFS(เรื่องร้องเรียน!E:E,"4",เรื่องร้องเรียน!N:N,"พระนคร",เรื่องร้องเรียน!AN:AN,"สำราญราษฎร์")</f>
        <v>0</v>
      </c>
      <c r="J196" s="152">
        <f>COUNTIFS(เรื่องร้องเรียน!E:E,"4",เรื่องร้องเรียน!N:N,"พระนคร",เรื่องร้องเรียน!AN:AN,"สำราญราษฎร์",เรื่องร้องเรียน!CL:CL,"1")</f>
        <v>0</v>
      </c>
      <c r="K196" s="152"/>
      <c r="L196" s="152"/>
      <c r="M196" s="117">
        <f t="shared" si="79"/>
        <v>0</v>
      </c>
      <c r="N196" s="122">
        <f t="shared" si="79"/>
        <v>0</v>
      </c>
      <c r="O196" s="153">
        <f>COUNTIFS(เรื่องร้องเรียน!E:E,"1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P196" s="152">
        <f>COUNTIFS(เรื่องร้องเรียน!E:E,"2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Q196" s="152">
        <f>COUNTIFS(เรื่องร้องเรียน!E:E,"3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R196" s="152">
        <f>COUNTIFS(เรื่องร้องเรียน!E:E,"4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S196" s="152"/>
      <c r="T196" s="154">
        <f t="shared" si="69"/>
        <v>0</v>
      </c>
      <c r="U196" s="129">
        <f t="shared" si="66"/>
        <v>0</v>
      </c>
      <c r="W196" s="129">
        <f t="shared" si="59"/>
        <v>0</v>
      </c>
    </row>
    <row r="197" spans="1:23" ht="21.6" thickBot="1">
      <c r="A197" s="130" t="s">
        <v>199</v>
      </c>
      <c r="B197" s="169" t="s">
        <v>152</v>
      </c>
      <c r="C197" s="132">
        <f>SUM(C198:C202)</f>
        <v>0</v>
      </c>
      <c r="D197" s="131">
        <f t="shared" ref="D197:T197" si="80">SUM(D198:D202)</f>
        <v>0</v>
      </c>
      <c r="E197" s="131">
        <f t="shared" si="80"/>
        <v>0</v>
      </c>
      <c r="F197" s="131">
        <f t="shared" si="80"/>
        <v>0</v>
      </c>
      <c r="G197" s="131">
        <f t="shared" si="80"/>
        <v>0</v>
      </c>
      <c r="H197" s="131">
        <f t="shared" si="80"/>
        <v>0</v>
      </c>
      <c r="I197" s="131">
        <f t="shared" si="80"/>
        <v>0</v>
      </c>
      <c r="J197" s="131">
        <f t="shared" si="80"/>
        <v>0</v>
      </c>
      <c r="K197" s="131">
        <f t="shared" si="80"/>
        <v>0</v>
      </c>
      <c r="L197" s="131">
        <f t="shared" si="80"/>
        <v>0</v>
      </c>
      <c r="M197" s="131">
        <f t="shared" si="80"/>
        <v>0</v>
      </c>
      <c r="N197" s="163">
        <f t="shared" si="80"/>
        <v>0</v>
      </c>
      <c r="O197" s="132">
        <f t="shared" si="80"/>
        <v>0</v>
      </c>
      <c r="P197" s="132">
        <f t="shared" si="80"/>
        <v>0</v>
      </c>
      <c r="Q197" s="132">
        <f t="shared" si="80"/>
        <v>0</v>
      </c>
      <c r="R197" s="132">
        <f t="shared" si="80"/>
        <v>0</v>
      </c>
      <c r="S197" s="132">
        <f t="shared" si="80"/>
        <v>0</v>
      </c>
      <c r="T197" s="133">
        <f t="shared" si="80"/>
        <v>0</v>
      </c>
      <c r="U197" s="134">
        <f t="shared" si="66"/>
        <v>0</v>
      </c>
      <c r="W197" s="135">
        <f t="shared" si="59"/>
        <v>0</v>
      </c>
    </row>
    <row r="198" spans="1:23">
      <c r="A198" s="173"/>
      <c r="B198" s="170" t="s">
        <v>20</v>
      </c>
      <c r="C198" s="180"/>
      <c r="D198" s="178"/>
      <c r="E198" s="178"/>
      <c r="F198" s="178"/>
      <c r="G198" s="178"/>
      <c r="H198" s="178"/>
      <c r="I198" s="178"/>
      <c r="J198" s="178"/>
      <c r="K198" s="178">
        <f>COUNTIFS(เรื่องร้องเรียน!E:E,"5",เรื่องร้องเรียน!N:N,"ภาษีเจริญ")</f>
        <v>0</v>
      </c>
      <c r="L198" s="178">
        <f>COUNTIFS(เรื่องร้องเรียน!E:E,"5",เรื่องร้องเรียน!N:N,"ภาษีเจริญ",เรื่องร้องเรียน!CL:CL,"1")</f>
        <v>0</v>
      </c>
      <c r="M198" s="178">
        <f t="shared" ref="M198:N201" si="81">SUM(C198,E198,G198,I198,K198)</f>
        <v>0</v>
      </c>
      <c r="N198" s="179">
        <f t="shared" si="81"/>
        <v>0</v>
      </c>
      <c r="O198" s="180"/>
      <c r="P198" s="178"/>
      <c r="Q198" s="178"/>
      <c r="R198" s="178"/>
      <c r="S198" s="178">
        <f>COUNTIFS(เรื่องร้องเรียน!E:E,"5",เรื่องร้องเรียน!N:N,"ภาษีเจริญ",เรื่องร้องเรียน!AQ:AQ,"1",เรื่องร้องเรียน!CL:CL,"")</f>
        <v>0</v>
      </c>
      <c r="T198" s="181">
        <f t="shared" si="69"/>
        <v>0</v>
      </c>
      <c r="U198" s="182">
        <f t="shared" si="66"/>
        <v>0</v>
      </c>
      <c r="W198" s="129">
        <f t="shared" si="59"/>
        <v>0</v>
      </c>
    </row>
    <row r="199" spans="1:23">
      <c r="A199" s="148"/>
      <c r="B199" s="171" t="s">
        <v>71</v>
      </c>
      <c r="C199" s="246">
        <f>COUNTIFS(เรื่องร้องเรียน!E:E,"1",เรื่องร้องเรียน!N:N,"ภาษีเจริญ",เรื่องร้องเรียน!AN:AN,"บางขุนเทียน")</f>
        <v>0</v>
      </c>
      <c r="D199" s="109">
        <f>COUNTIFS(เรื่องร้องเรียน!E:E,"1",เรื่องร้องเรียน!N:N,"ภาษีเจริญ",เรื่องร้องเรียน!AN:AN,"บางขุนเทียน",เรื่องร้องเรียน!CL:CL,"1")</f>
        <v>0</v>
      </c>
      <c r="E199" s="109">
        <f>COUNTIFS(เรื่องร้องเรียน!E:E,"2",เรื่องร้องเรียน!N:N,"ภาษีเจริญ",เรื่องร้องเรียน!AN:AN,"บางขุนเทียน")</f>
        <v>0</v>
      </c>
      <c r="F199" s="109">
        <f>COUNTIFS(เรื่องร้องเรียน!E:E,"2",เรื่องร้องเรียน!N:N,"ภาษีเจริญ",เรื่องร้องเรียน!AN:AN,"บางขุนเทียน",เรื่องร้องเรียน!CL:CL,"1")</f>
        <v>0</v>
      </c>
      <c r="G199" s="109">
        <f>COUNTIFS(เรื่องร้องเรียน!E:E,"3",เรื่องร้องเรียน!N:N,"ภาษีเจริญ",เรื่องร้องเรียน!AN:AN,"บางขุนเทียน")</f>
        <v>0</v>
      </c>
      <c r="H199" s="109">
        <f>COUNTIFS(เรื่องร้องเรียน!E:E,"3",เรื่องร้องเรียน!N:N,"ภาษีเจริญ",เรื่องร้องเรียน!AN:AN,"บางขุนเทียน",เรื่องร้องเรียน!CL:CL,"1")</f>
        <v>0</v>
      </c>
      <c r="I199" s="109">
        <f>COUNTIFS(เรื่องร้องเรียน!E:E,"4",เรื่องร้องเรียน!N:N,"ภาษีเจริญ",เรื่องร้องเรียน!AN:AN,"บางขุนเทียน")</f>
        <v>0</v>
      </c>
      <c r="J199" s="144">
        <f>COUNTIFS(เรื่องร้องเรียน!E:E,"4",เรื่องร้องเรียน!N:N,"ภาษีเจริญ",เรื่องร้องเรียน!AN:AN,"บางขุนเทียน",เรื่องร้องเรียน!CL:CL,"1")</f>
        <v>0</v>
      </c>
      <c r="K199" s="144"/>
      <c r="L199" s="144"/>
      <c r="M199" s="109">
        <f t="shared" si="81"/>
        <v>0</v>
      </c>
      <c r="N199" s="145">
        <f t="shared" si="81"/>
        <v>0</v>
      </c>
      <c r="O199" s="146">
        <f>COUNTIFS(เรื่องร้องเรียน!E:E,"1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P199" s="144">
        <f>COUNTIFS(เรื่องร้องเรียน!E:E,"2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Q199" s="144">
        <f>COUNTIFS(เรื่องร้องเรียน!E:E,"3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R199" s="144">
        <f>COUNTIFS(เรื่องร้องเรียน!E:E,"4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S199" s="144"/>
      <c r="T199" s="147">
        <f t="shared" si="69"/>
        <v>0</v>
      </c>
      <c r="U199" s="183">
        <f t="shared" si="66"/>
        <v>0</v>
      </c>
      <c r="V199" s="10" t="s">
        <v>92</v>
      </c>
      <c r="W199" s="129">
        <f t="shared" si="59"/>
        <v>0</v>
      </c>
    </row>
    <row r="200" spans="1:23">
      <c r="A200" s="148"/>
      <c r="B200" s="171" t="s">
        <v>199</v>
      </c>
      <c r="C200" s="246">
        <f>COUNTIFS(เรื่องร้องเรียน!E:E,"1",เรื่องร้องเรียน!N:N,"ภาษีเจริญ",เรื่องร้องเรียน!AN:AN,"ภาษีเจริญ")</f>
        <v>0</v>
      </c>
      <c r="D200" s="109">
        <f>COUNTIFS(เรื่องร้องเรียน!E:E,"1",เรื่องร้องเรียน!N:N,"ภาษีเจริญ",เรื่องร้องเรียน!AN:AN,"ภาษีเจริญ",เรื่องร้องเรียน!CL:CL,"1")</f>
        <v>0</v>
      </c>
      <c r="E200" s="109">
        <f>COUNTIFS(เรื่องร้องเรียน!E:E,"2",เรื่องร้องเรียน!N:N,"ภาษีเจริญ",เรื่องร้องเรียน!AN:AN,"ภาษีเจริญ")</f>
        <v>0</v>
      </c>
      <c r="F200" s="109">
        <f>COUNTIFS(เรื่องร้องเรียน!E:E,"2",เรื่องร้องเรียน!N:N,"ภาษีเจริญ",เรื่องร้องเรียน!AN:AN,"ภาษีเจริญ",เรื่องร้องเรียน!CL:CL,"1")</f>
        <v>0</v>
      </c>
      <c r="G200" s="109">
        <f>COUNTIFS(เรื่องร้องเรียน!E:E,"3",เรื่องร้องเรียน!N:N,"ภาษีเจริญ",เรื่องร้องเรียน!AN:AN,"ภาษีเจริญ")</f>
        <v>0</v>
      </c>
      <c r="H200" s="109">
        <f>COUNTIFS(เรื่องร้องเรียน!E:E,"3",เรื่องร้องเรียน!N:N,"ภาษีเจริญ",เรื่องร้องเรียน!AN:AN,"ภาษีเจริญ",เรื่องร้องเรียน!CL:CL,"1")</f>
        <v>0</v>
      </c>
      <c r="I200" s="109">
        <f>COUNTIFS(เรื่องร้องเรียน!E:E,"4",เรื่องร้องเรียน!N:N,"ภาษีเจริญ",เรื่องร้องเรียน!AN:AN,"ภาษีเจริญ")</f>
        <v>0</v>
      </c>
      <c r="J200" s="144">
        <f>COUNTIFS(เรื่องร้องเรียน!E:E,"4",เรื่องร้องเรียน!N:N,"ภาษีเจริญ",เรื่องร้องเรียน!AN:AN,"ภาษีเจริญ",เรื่องร้องเรียน!CL:CL,"1")</f>
        <v>0</v>
      </c>
      <c r="K200" s="144"/>
      <c r="L200" s="144"/>
      <c r="M200" s="109">
        <f t="shared" si="81"/>
        <v>0</v>
      </c>
      <c r="N200" s="145">
        <f t="shared" si="81"/>
        <v>0</v>
      </c>
      <c r="O200" s="146">
        <f>COUNTIFS(เรื่องร้องเรียน!E:E,"1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P200" s="144">
        <f>COUNTIFS(เรื่องร้องเรียน!E:E,"2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Q200" s="144">
        <f>COUNTIFS(เรื่องร้องเรียน!E:E,"3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R200" s="144">
        <f>COUNTIFS(เรื่องร้องเรียน!E:E,"4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S200" s="144"/>
      <c r="T200" s="147">
        <f t="shared" si="69"/>
        <v>0</v>
      </c>
      <c r="U200" s="183">
        <f t="shared" si="66"/>
        <v>0</v>
      </c>
      <c r="W200" s="129">
        <f t="shared" si="59"/>
        <v>0</v>
      </c>
    </row>
    <row r="201" spans="1:23">
      <c r="A201" s="148"/>
      <c r="B201" s="171" t="s">
        <v>190</v>
      </c>
      <c r="C201" s="246">
        <f>COUNTIFS(เรื่องร้องเรียน!E:E,"1",เรื่องร้องเรียน!N:N,"ภาษีเจริญ",เรื่องร้องเรียน!AN:AN,"บางเสาธง")</f>
        <v>0</v>
      </c>
      <c r="D201" s="109">
        <f>COUNTIFS(เรื่องร้องเรียน!E:E,"1",เรื่องร้องเรียน!N:N,"ภาษีเจริญ",เรื่องร้องเรียน!AN:AN,"บางเสาธง",เรื่องร้องเรียน!CL:CL,"1")</f>
        <v>0</v>
      </c>
      <c r="E201" s="109">
        <f>COUNTIFS(เรื่องร้องเรียน!E:E,"2",เรื่องร้องเรียน!N:N,"ภาษีเจริญ",เรื่องร้องเรียน!AN:AN,"บางเสาธง")</f>
        <v>0</v>
      </c>
      <c r="F201" s="109">
        <f>COUNTIFS(เรื่องร้องเรียน!E:E,"2",เรื่องร้องเรียน!N:N,"ภาษีเจริญ",เรื่องร้องเรียน!AN:AN,"บางเสาธง",เรื่องร้องเรียน!CL:CL,"1")</f>
        <v>0</v>
      </c>
      <c r="G201" s="109">
        <f>COUNTIFS(เรื่องร้องเรียน!E:E,"3",เรื่องร้องเรียน!N:N,"ภาษีเจริญ",เรื่องร้องเรียน!AN:AN,"บางเสาธง")</f>
        <v>0</v>
      </c>
      <c r="H201" s="109">
        <f>COUNTIFS(เรื่องร้องเรียน!E:E,"3",เรื่องร้องเรียน!N:N,"ภาษีเจริญ",เรื่องร้องเรียน!AN:AN,"บางเสาธง",เรื่องร้องเรียน!CL:CL,"1")</f>
        <v>0</v>
      </c>
      <c r="I201" s="109">
        <f>COUNTIFS(เรื่องร้องเรียน!E:E,"4",เรื่องร้องเรียน!N:N,"ภาษีเจริญ",เรื่องร้องเรียน!AN:AN,"บางเสาธง")</f>
        <v>0</v>
      </c>
      <c r="J201" s="144">
        <f>COUNTIFS(เรื่องร้องเรียน!E:E,"4",เรื่องร้องเรียน!N:N,"ภาษีเจริญ",เรื่องร้องเรียน!AN:AN,"บางเสาธง",เรื่องร้องเรียน!CL:CL,"1")</f>
        <v>0</v>
      </c>
      <c r="K201" s="144"/>
      <c r="L201" s="144"/>
      <c r="M201" s="109">
        <f t="shared" si="81"/>
        <v>0</v>
      </c>
      <c r="N201" s="145">
        <f t="shared" si="81"/>
        <v>0</v>
      </c>
      <c r="O201" s="146">
        <f>COUNTIFS(เรื่องร้องเรียน!E:E,"1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P201" s="144">
        <f>COUNTIFS(เรื่องร้องเรียน!E:E,"2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Q201" s="144">
        <f>COUNTIFS(เรื่องร้องเรียน!E:E,"3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R201" s="144">
        <f>COUNTIFS(เรื่องร้องเรียน!E:E,"4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S201" s="144"/>
      <c r="T201" s="147">
        <f t="shared" si="69"/>
        <v>0</v>
      </c>
      <c r="U201" s="183">
        <f t="shared" si="66"/>
        <v>0</v>
      </c>
      <c r="W201" s="129">
        <f t="shared" si="59"/>
        <v>0</v>
      </c>
    </row>
    <row r="202" spans="1:23" ht="21.6" thickBot="1">
      <c r="A202" s="174"/>
      <c r="B202" s="172" t="s">
        <v>92</v>
      </c>
      <c r="C202" s="231">
        <f>COUNTIFS(เรื่องร้องเรียน!E:E,"1",เรื่องร้องเรียน!N:N,"ภาษีเจริญ",เรื่องร้องเรียน!AN:AN,"หลักสอง")</f>
        <v>0</v>
      </c>
      <c r="D202" s="124">
        <f>COUNTIFS(เรื่องร้องเรียน!E:E,"1",เรื่องร้องเรียน!N:N,"ภาษีเจริญ",เรื่องร้องเรียน!AN:AN,"หลักสอง",เรื่องร้องเรียน!CL:CL,"1")</f>
        <v>0</v>
      </c>
      <c r="E202" s="124">
        <f>COUNTIFS(เรื่องร้องเรียน!E:E,"2",เรื่องร้องเรียน!N:N,"ภาษีเจริญ",เรื่องร้องเรียน!AN:AN,"หลักสอง")</f>
        <v>0</v>
      </c>
      <c r="F202" s="124">
        <f>COUNTIFS(เรื่องร้องเรียน!E:E,"2",เรื่องร้องเรียน!N:N,"ภาษีเจริญ",เรื่องร้องเรียน!AN:AN,"หลักสอง",เรื่องร้องเรียน!CL:CL,"1")</f>
        <v>0</v>
      </c>
      <c r="G202" s="124">
        <f>COUNTIFS(เรื่องร้องเรียน!E:E,"3",เรื่องร้องเรียน!N:N,"ภาษีเจริญ",เรื่องร้องเรียน!AN:AN,"หลักสอง")</f>
        <v>0</v>
      </c>
      <c r="H202" s="124">
        <f>COUNTIFS(เรื่องร้องเรียน!E:E,"3",เรื่องร้องเรียน!N:N,"ภาษีเจริญ",เรื่องร้องเรียน!AN:AN,"หลักสอง",เรื่องร้องเรียน!CL:CL,"1")</f>
        <v>0</v>
      </c>
      <c r="I202" s="124">
        <f>COUNTIFS(เรื่องร้องเรียน!E:E,"4",เรื่องร้องเรียน!N:N,"ภาษีเจริญ",เรื่องร้องเรียน!AN:AN,"หลักสอง")</f>
        <v>0</v>
      </c>
      <c r="J202" s="157">
        <f>COUNTIFS(เรื่องร้องเรียน!E:E,"4",เรื่องร้องเรียน!N:N,"ภาษีเจริญ",เรื่องร้องเรียน!AN:AN,"หลักสอง",เรื่องร้องเรียน!CL:CL,"1")</f>
        <v>0</v>
      </c>
      <c r="K202" s="157"/>
      <c r="L202" s="157"/>
      <c r="M202" s="124">
        <f>SUM(C202,E202,G202,I202,K202)</f>
        <v>0</v>
      </c>
      <c r="N202" s="158">
        <f>SUM(D202,F202,H202,J202,L202)</f>
        <v>0</v>
      </c>
      <c r="O202" s="159">
        <f>COUNTIFS(เรื่องร้องเรียน!E:E,"1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P202" s="157">
        <f>COUNTIFS(เรื่องร้องเรียน!E:E,"2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Q202" s="157">
        <f>COUNTIFS(เรื่องร้องเรียน!E:E,"3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R202" s="157">
        <f>COUNTIFS(เรื่องร้องเรียน!E:E,"4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S202" s="157"/>
      <c r="T202" s="160">
        <f>SUM(O202:S202)</f>
        <v>0</v>
      </c>
      <c r="U202" s="184">
        <f>M202-N202-T202</f>
        <v>0</v>
      </c>
      <c r="W202" s="129">
        <f t="shared" si="59"/>
        <v>0</v>
      </c>
    </row>
    <row r="203" spans="1:23" ht="21.6" thickBot="1">
      <c r="A203" s="130" t="s">
        <v>116</v>
      </c>
      <c r="B203" s="169" t="s">
        <v>152</v>
      </c>
      <c r="C203" s="132">
        <f>SUM(C204:C207 )</f>
        <v>0</v>
      </c>
      <c r="D203" s="131">
        <f t="shared" ref="D203:T203" si="82">SUM(D204:D207 )</f>
        <v>0</v>
      </c>
      <c r="E203" s="131">
        <f t="shared" si="82"/>
        <v>0</v>
      </c>
      <c r="F203" s="131">
        <f t="shared" si="82"/>
        <v>0</v>
      </c>
      <c r="G203" s="131">
        <f t="shared" si="82"/>
        <v>0</v>
      </c>
      <c r="H203" s="131">
        <f t="shared" si="82"/>
        <v>0</v>
      </c>
      <c r="I203" s="131">
        <f t="shared" si="82"/>
        <v>0</v>
      </c>
      <c r="J203" s="131">
        <f t="shared" si="82"/>
        <v>0</v>
      </c>
      <c r="K203" s="131">
        <f t="shared" si="82"/>
        <v>0</v>
      </c>
      <c r="L203" s="131">
        <f t="shared" si="82"/>
        <v>0</v>
      </c>
      <c r="M203" s="131">
        <f t="shared" si="82"/>
        <v>0</v>
      </c>
      <c r="N203" s="163">
        <f t="shared" si="82"/>
        <v>0</v>
      </c>
      <c r="O203" s="132">
        <f t="shared" si="82"/>
        <v>0</v>
      </c>
      <c r="P203" s="131">
        <f t="shared" si="82"/>
        <v>0</v>
      </c>
      <c r="Q203" s="131">
        <f t="shared" si="82"/>
        <v>0</v>
      </c>
      <c r="R203" s="131">
        <f t="shared" si="82"/>
        <v>0</v>
      </c>
      <c r="S203" s="131">
        <f t="shared" si="82"/>
        <v>0</v>
      </c>
      <c r="T203" s="133">
        <f t="shared" si="82"/>
        <v>0</v>
      </c>
      <c r="U203" s="134">
        <f t="shared" si="66"/>
        <v>0</v>
      </c>
      <c r="W203" s="135">
        <f t="shared" si="59"/>
        <v>0</v>
      </c>
    </row>
    <row r="204" spans="1:23">
      <c r="A204" s="173"/>
      <c r="B204" s="170" t="s">
        <v>20</v>
      </c>
      <c r="C204" s="140"/>
      <c r="D204" s="138"/>
      <c r="E204" s="138"/>
      <c r="F204" s="138"/>
      <c r="G204" s="138"/>
      <c r="H204" s="138"/>
      <c r="I204" s="138"/>
      <c r="J204" s="138"/>
      <c r="K204" s="138">
        <f>COUNTIFS(เรื่องร้องเรียน!E:E,"5",เรื่องร้องเรียน!N:N,"มีนบุรี")</f>
        <v>0</v>
      </c>
      <c r="L204" s="138">
        <f>COUNTIFS(เรื่องร้องเรียน!E:E,"5",เรื่องร้องเรียน!N:N,"มีนบุรี",เรื่องร้องเรียน!CL:CL,"1")</f>
        <v>0</v>
      </c>
      <c r="M204" s="138">
        <f t="shared" ref="M204:N207" si="83">SUM(C204,E204,G204,I204,K204)</f>
        <v>0</v>
      </c>
      <c r="N204" s="139">
        <f t="shared" si="83"/>
        <v>0</v>
      </c>
      <c r="O204" s="140"/>
      <c r="P204" s="138"/>
      <c r="Q204" s="138"/>
      <c r="R204" s="138"/>
      <c r="S204" s="138">
        <f>COUNTIFS(เรื่องร้องเรียน!E:E,"5",เรื่องร้องเรียน!N:N,"มีนบุรี",เรื่องร้องเรียน!AQ:AQ,"1",เรื่องร้องเรียน!CL:CL,"")</f>
        <v>0</v>
      </c>
      <c r="T204" s="141">
        <f t="shared" si="69"/>
        <v>0</v>
      </c>
      <c r="U204" s="129">
        <f t="shared" si="66"/>
        <v>0</v>
      </c>
      <c r="W204" s="129">
        <f t="shared" si="59"/>
        <v>0</v>
      </c>
    </row>
    <row r="205" spans="1:23">
      <c r="A205" s="148"/>
      <c r="B205" s="171" t="s">
        <v>124</v>
      </c>
      <c r="C205" s="246">
        <f>COUNTIFS(เรื่องร้องเรียน!E:E,"1",เรื่องร้องเรียน!N:N,"มีนบุรี",เรื่องร้องเรียน!AN:AN,"ฉลองกรุง")</f>
        <v>0</v>
      </c>
      <c r="D205" s="109">
        <f>COUNTIFS(เรื่องร้องเรียน!E:E,"1",เรื่องร้องเรียน!N:N,"มีนบุรี",เรื่องร้องเรียน!AN:AN,"ฉลองกรุง",เรื่องร้องเรียน!CL:CL,"1")</f>
        <v>0</v>
      </c>
      <c r="E205" s="109">
        <f>COUNTIFS(เรื่องร้องเรียน!E:E,"2",เรื่องร้องเรียน!N:N,"มีนบุรี",เรื่องร้องเรียน!AN:AN,"ฉลองกรุง")</f>
        <v>0</v>
      </c>
      <c r="F205" s="109">
        <f>COUNTIFS(เรื่องร้องเรียน!E:E,"2",เรื่องร้องเรียน!N:N,"มีนบุรี",เรื่องร้องเรียน!AN:AN,"ฉลองกรุง",เรื่องร้องเรียน!CL:CL,"1")</f>
        <v>0</v>
      </c>
      <c r="G205" s="109">
        <f>COUNTIFS(เรื่องร้องเรียน!E:E,"3",เรื่องร้องเรียน!N:N,"มีนบุรี",เรื่องร้องเรียน!AN:AN,"ฉลองกรุง")</f>
        <v>0</v>
      </c>
      <c r="H205" s="109">
        <f>COUNTIFS(เรื่องร้องเรียน!E:E,"3",เรื่องร้องเรียน!N:N,"มีนบุรี",เรื่องร้องเรียน!AN:AN,"ฉลองกรุง",เรื่องร้องเรียน!CL:CL,"1")</f>
        <v>0</v>
      </c>
      <c r="I205" s="109">
        <f>COUNTIFS(เรื่องร้องเรียน!E:E,"4",เรื่องร้องเรียน!N:N,"มีนบุรี",เรื่องร้องเรียน!AN:AN,"ฉลองกรุง")</f>
        <v>0</v>
      </c>
      <c r="J205" s="144">
        <f>COUNTIFS(เรื่องร้องเรียน!E:E,"4",เรื่องร้องเรียน!N:N,"มีนบุรี",เรื่องร้องเรียน!AN:AN,"ฉลองกรุง",เรื่องร้องเรียน!CL:CL,"1")</f>
        <v>0</v>
      </c>
      <c r="K205" s="144"/>
      <c r="L205" s="144"/>
      <c r="M205" s="109">
        <f t="shared" si="83"/>
        <v>0</v>
      </c>
      <c r="N205" s="145">
        <f t="shared" si="83"/>
        <v>0</v>
      </c>
      <c r="O205" s="146">
        <f>COUNTIFS(เรื่องร้องเรียน!E:E,"1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P205" s="144">
        <f>COUNTIFS(เรื่องร้องเรียน!E:E,"2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Q205" s="144">
        <f>COUNTIFS(เรื่องร้องเรียน!E:E,"3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R205" s="144">
        <f>COUNTIFS(เรื่องร้องเรียน!E:E,"4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S205" s="144"/>
      <c r="T205" s="147">
        <f t="shared" si="69"/>
        <v>0</v>
      </c>
      <c r="U205" s="129">
        <f t="shared" si="66"/>
        <v>0</v>
      </c>
      <c r="W205" s="129">
        <f t="shared" si="59"/>
        <v>0</v>
      </c>
    </row>
    <row r="206" spans="1:23">
      <c r="A206" s="148"/>
      <c r="B206" s="171" t="s">
        <v>116</v>
      </c>
      <c r="C206" s="246">
        <f>COUNTIFS(เรื่องร้องเรียน!E:E,"1",เรื่องร้องเรียน!N:N,"มีนบุรี",เรื่องร้องเรียน!AN:AN,"มีนบุรี")</f>
        <v>0</v>
      </c>
      <c r="D206" s="109">
        <f>COUNTIFS(เรื่องร้องเรียน!E:E,"1",เรื่องร้องเรียน!N:N,"มีนบุรี",เรื่องร้องเรียน!AN:AN,"มีนบุรี",เรื่องร้องเรียน!CL:CL,"1")</f>
        <v>0</v>
      </c>
      <c r="E206" s="109">
        <f>COUNTIFS(เรื่องร้องเรียน!E:E,"2",เรื่องร้องเรียน!N:N,"มีนบุรี",เรื่องร้องเรียน!AN:AN,"มีนบุรี")</f>
        <v>0</v>
      </c>
      <c r="F206" s="109">
        <f>COUNTIFS(เรื่องร้องเรียน!E:E,"2",เรื่องร้องเรียน!N:N,"มีนบุรี",เรื่องร้องเรียน!AN:AN,"มีนบุรี",เรื่องร้องเรียน!CL:CL,"1")</f>
        <v>0</v>
      </c>
      <c r="G206" s="109">
        <f>COUNTIFS(เรื่องร้องเรียน!E:E,"3",เรื่องร้องเรียน!N:N,"มีนบุรี",เรื่องร้องเรียน!AN:AN,"มีนบุรี")</f>
        <v>0</v>
      </c>
      <c r="H206" s="109">
        <f>COUNTIFS(เรื่องร้องเรียน!E:E,"3",เรื่องร้องเรียน!N:N,"มีนบุรี",เรื่องร้องเรียน!AN:AN,"มีนบุรี",เรื่องร้องเรียน!CL:CL,"1")</f>
        <v>0</v>
      </c>
      <c r="I206" s="109">
        <f>COUNTIFS(เรื่องร้องเรียน!E:E,"4",เรื่องร้องเรียน!N:N,"มีนบุรี",เรื่องร้องเรียน!AN:AN,"มีนบุรี")</f>
        <v>0</v>
      </c>
      <c r="J206" s="144">
        <f>COUNTIFS(เรื่องร้องเรียน!E:E,"4",เรื่องร้องเรียน!N:N,"มีนบุรี",เรื่องร้องเรียน!AN:AN,"มีนบุรี",เรื่องร้องเรียน!CL:CL,"1")</f>
        <v>0</v>
      </c>
      <c r="K206" s="144"/>
      <c r="L206" s="144"/>
      <c r="M206" s="109">
        <f t="shared" si="83"/>
        <v>0</v>
      </c>
      <c r="N206" s="145">
        <f t="shared" si="83"/>
        <v>0</v>
      </c>
      <c r="O206" s="146">
        <f>COUNTIFS(เรื่องร้องเรียน!E:E,"1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P206" s="144">
        <f>COUNTIFS(เรื่องร้องเรียน!E:E,"2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Q206" s="144">
        <f>COUNTIFS(เรื่องร้องเรียน!E:E,"3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R206" s="144">
        <f>COUNTIFS(เรื่องร้องเรียน!E:E,"4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S206" s="144"/>
      <c r="T206" s="147">
        <f t="shared" si="69"/>
        <v>0</v>
      </c>
      <c r="U206" s="129">
        <f t="shared" si="66"/>
        <v>0</v>
      </c>
      <c r="W206" s="129">
        <f t="shared" si="59"/>
        <v>0</v>
      </c>
    </row>
    <row r="207" spans="1:23" ht="21.6" thickBot="1">
      <c r="A207" s="150"/>
      <c r="B207" s="177" t="s">
        <v>175</v>
      </c>
      <c r="C207" s="123">
        <f>COUNTIFS(เรื่องร้องเรียน!E:E,"1",เรื่องร้องเรียน!N:N,"มีนบุรี",เรื่องร้องเรียน!AN:AN,"ร่มเกล้า")</f>
        <v>0</v>
      </c>
      <c r="D207" s="117">
        <f>COUNTIFS(เรื่องร้องเรียน!E:E,"1",เรื่องร้องเรียน!N:N,"มีนบุรี",เรื่องร้องเรียน!AN:AN,"ร่มเกล้า",เรื่องร้องเรียน!CL:CL,"1")</f>
        <v>0</v>
      </c>
      <c r="E207" s="117">
        <f>COUNTIFS(เรื่องร้องเรียน!E:E,"2",เรื่องร้องเรียน!N:N,"มีนบุรี",เรื่องร้องเรียน!AN:AN,"ร่มเกล้า")</f>
        <v>0</v>
      </c>
      <c r="F207" s="117">
        <f>COUNTIFS(เรื่องร้องเรียน!E:E,"2",เรื่องร้องเรียน!N:N,"มีนบุรี",เรื่องร้องเรียน!AN:AN,"ร่มเกล้า",เรื่องร้องเรียน!CL:CL,"1")</f>
        <v>0</v>
      </c>
      <c r="G207" s="117">
        <f>COUNTIFS(เรื่องร้องเรียน!E:E,"3",เรื่องร้องเรียน!N:N,"มีนบุรี",เรื่องร้องเรียน!AN:AN,"ร่มเกล้า")</f>
        <v>0</v>
      </c>
      <c r="H207" s="117">
        <f>COUNTIFS(เรื่องร้องเรียน!E:E,"3",เรื่องร้องเรียน!N:N,"มีนบุรี",เรื่องร้องเรียน!AN:AN,"ร่มเกล้า",เรื่องร้องเรียน!CL:CL,"1")</f>
        <v>0</v>
      </c>
      <c r="I207" s="117">
        <f>COUNTIFS(เรื่องร้องเรียน!E:E,"4",เรื่องร้องเรียน!N:N,"มีนบุรี",เรื่องร้องเรียน!AN:AN,"ร่มเกล้า")</f>
        <v>0</v>
      </c>
      <c r="J207" s="152">
        <f>COUNTIFS(เรื่องร้องเรียน!E:E,"4",เรื่องร้องเรียน!N:N,"มีนบุรี",เรื่องร้องเรียน!AN:AN,"ร่มเกล้า",เรื่องร้องเรียน!CL:CL,"1")</f>
        <v>0</v>
      </c>
      <c r="K207" s="152"/>
      <c r="L207" s="152"/>
      <c r="M207" s="117">
        <f t="shared" si="83"/>
        <v>0</v>
      </c>
      <c r="N207" s="122">
        <f t="shared" si="83"/>
        <v>0</v>
      </c>
      <c r="O207" s="153">
        <f>COUNTIFS(เรื่องร้องเรียน!E:E,"1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P207" s="152">
        <f>COUNTIFS(เรื่องร้องเรียน!E:E,"2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Q207" s="152">
        <f>COUNTIFS(เรื่องร้องเรียน!E:E,"3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R207" s="152">
        <f>COUNTIFS(เรื่องร้องเรียน!E:E,"4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S207" s="152"/>
      <c r="T207" s="154">
        <f t="shared" si="69"/>
        <v>0</v>
      </c>
      <c r="U207" s="129">
        <f t="shared" si="66"/>
        <v>0</v>
      </c>
      <c r="W207" s="129">
        <f t="shared" si="59"/>
        <v>0</v>
      </c>
    </row>
    <row r="208" spans="1:23" ht="21.6" thickBot="1">
      <c r="A208" s="130" t="s">
        <v>80</v>
      </c>
      <c r="B208" s="169" t="s">
        <v>152</v>
      </c>
      <c r="C208" s="132">
        <f>SUM(C209:C212)</f>
        <v>0</v>
      </c>
      <c r="D208" s="131">
        <f t="shared" ref="D208:T208" si="84">SUM(D209:D212)</f>
        <v>0</v>
      </c>
      <c r="E208" s="131">
        <f t="shared" si="84"/>
        <v>0</v>
      </c>
      <c r="F208" s="131">
        <f t="shared" si="84"/>
        <v>0</v>
      </c>
      <c r="G208" s="131">
        <f t="shared" si="84"/>
        <v>0</v>
      </c>
      <c r="H208" s="131">
        <f t="shared" si="84"/>
        <v>0</v>
      </c>
      <c r="I208" s="131">
        <f t="shared" si="84"/>
        <v>0</v>
      </c>
      <c r="J208" s="131">
        <f t="shared" si="84"/>
        <v>0</v>
      </c>
      <c r="K208" s="131">
        <f t="shared" si="84"/>
        <v>0</v>
      </c>
      <c r="L208" s="131">
        <f t="shared" si="84"/>
        <v>0</v>
      </c>
      <c r="M208" s="131">
        <f t="shared" si="84"/>
        <v>0</v>
      </c>
      <c r="N208" s="163">
        <f t="shared" si="84"/>
        <v>0</v>
      </c>
      <c r="O208" s="132">
        <f t="shared" si="84"/>
        <v>0</v>
      </c>
      <c r="P208" s="132">
        <f t="shared" si="84"/>
        <v>0</v>
      </c>
      <c r="Q208" s="132">
        <f t="shared" si="84"/>
        <v>0</v>
      </c>
      <c r="R208" s="132">
        <f t="shared" si="84"/>
        <v>0</v>
      </c>
      <c r="S208" s="132">
        <f t="shared" si="84"/>
        <v>0</v>
      </c>
      <c r="T208" s="133">
        <f t="shared" si="84"/>
        <v>0</v>
      </c>
      <c r="U208" s="134">
        <f t="shared" si="66"/>
        <v>0</v>
      </c>
      <c r="W208" s="135">
        <f t="shared" ref="W208:W271" si="85">SUM(M208-N208)</f>
        <v>0</v>
      </c>
    </row>
    <row r="209" spans="1:23">
      <c r="A209" s="173"/>
      <c r="B209" s="170" t="s">
        <v>20</v>
      </c>
      <c r="C209" s="180"/>
      <c r="D209" s="178"/>
      <c r="E209" s="178"/>
      <c r="F209" s="178"/>
      <c r="G209" s="178"/>
      <c r="H209" s="178"/>
      <c r="I209" s="178"/>
      <c r="J209" s="178"/>
      <c r="K209" s="178">
        <f>COUNTIFS(เรื่องร้องเรียน!E:E,"5",เรื่องร้องเรียน!N:N,"ยานนาวา")</f>
        <v>0</v>
      </c>
      <c r="L209" s="178">
        <f>COUNTIFS(เรื่องร้องเรียน!E:E,"5",เรื่องร้องเรียน!N:N,"ยานนาวา",เรื่องร้องเรียน!CL:CL,"1")</f>
        <v>0</v>
      </c>
      <c r="M209" s="178">
        <f t="shared" ref="M209:N211" si="86">SUM(C209,E209,G209,I209,K209)</f>
        <v>0</v>
      </c>
      <c r="N209" s="179">
        <f t="shared" si="86"/>
        <v>0</v>
      </c>
      <c r="O209" s="180"/>
      <c r="P209" s="178"/>
      <c r="Q209" s="178"/>
      <c r="R209" s="178"/>
      <c r="S209" s="178">
        <f>COUNTIFS(เรื่องร้องเรียน!E:E,"5",เรื่องร้องเรียน!N:N,"ยานนาวา",เรื่องร้องเรียน!AQ:AQ,"1",เรื่องร้องเรียน!CL:CL,"")</f>
        <v>0</v>
      </c>
      <c r="T209" s="181">
        <f t="shared" si="69"/>
        <v>0</v>
      </c>
      <c r="U209" s="182">
        <f t="shared" si="66"/>
        <v>0</v>
      </c>
      <c r="V209" s="10" t="s">
        <v>104</v>
      </c>
      <c r="W209" s="129">
        <f t="shared" si="85"/>
        <v>0</v>
      </c>
    </row>
    <row r="210" spans="1:23">
      <c r="A210" s="148"/>
      <c r="B210" s="171" t="s">
        <v>142</v>
      </c>
      <c r="C210" s="246">
        <f>COUNTIFS(เรื่องร้องเรียน!E:E,"1",เรื่องร้องเรียน!N:N,"ยานนาวา",เรื่องร้องเรียน!AN:AN,"ทุ่งมหาเมฆ")</f>
        <v>0</v>
      </c>
      <c r="D210" s="109">
        <f>COUNTIFS(เรื่องร้องเรียน!E:E,"1",เรื่องร้องเรียน!N:N,"ยานนาวา",เรื่องร้องเรียน!AN:AN,"ทุ่งมหาเมฆ",เรื่องร้องเรียน!CL:CL,"1")</f>
        <v>0</v>
      </c>
      <c r="E210" s="109">
        <f>COUNTIFS(เรื่องร้องเรียน!E:E,"2",เรื่องร้องเรียน!N:N,"ยานนาวา",เรื่องร้องเรียน!AN:AN,"ทุ่งมหาเมฆ")</f>
        <v>0</v>
      </c>
      <c r="F210" s="109">
        <f>COUNTIFS(เรื่องร้องเรียน!E:E,"2",เรื่องร้องเรียน!N:N,"ยานนาวา",เรื่องร้องเรียน!AN:AN,"ทุ่งมหาเมฆ",เรื่องร้องเรียน!CL:CL,"1")</f>
        <v>0</v>
      </c>
      <c r="G210" s="109">
        <f>COUNTIFS(เรื่องร้องเรียน!E:E,"3",เรื่องร้องเรียน!N:N,"ยานนาวา",เรื่องร้องเรียน!AN:AN,"ทุ่งมหาเมฆ")</f>
        <v>0</v>
      </c>
      <c r="H210" s="109">
        <f>COUNTIFS(เรื่องร้องเรียน!E:E,"3",เรื่องร้องเรียน!N:N,"ยานนาวา",เรื่องร้องเรียน!AN:AN,"ทุ่งมหาเมฆ",เรื่องร้องเรียน!CL:CL,"1")</f>
        <v>0</v>
      </c>
      <c r="I210" s="109">
        <f>COUNTIFS(เรื่องร้องเรียน!E:E,"4",เรื่องร้องเรียน!N:N,"ยานนาวา",เรื่องร้องเรียน!AN:AN,"ทุ่งมหาเมฆ")</f>
        <v>0</v>
      </c>
      <c r="J210" s="144">
        <f>COUNTIFS(เรื่องร้องเรียน!E:E,"4",เรื่องร้องเรียน!N:N,"ยานนาวา",เรื่องร้องเรียน!AN:AN,"ทุ่งมหาเมฆ",เรื่องร้องเรียน!CL:CL,"1")</f>
        <v>0</v>
      </c>
      <c r="K210" s="144"/>
      <c r="L210" s="144"/>
      <c r="M210" s="109">
        <f t="shared" si="86"/>
        <v>0</v>
      </c>
      <c r="N210" s="145">
        <f t="shared" si="86"/>
        <v>0</v>
      </c>
      <c r="O210" s="146">
        <f>COUNTIFS(เรื่องร้องเรียน!E:E,"1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P210" s="144">
        <f>COUNTIFS(เรื่องร้องเรียน!E:E,"2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Q210" s="144">
        <f>COUNTIFS(เรื่องร้องเรียน!E:E,"3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R210" s="144">
        <f>COUNTIFS(เรื่องร้องเรียน!E:E,"4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S210" s="144"/>
      <c r="T210" s="147">
        <f t="shared" si="69"/>
        <v>0</v>
      </c>
      <c r="U210" s="183">
        <f t="shared" si="66"/>
        <v>0</v>
      </c>
      <c r="W210" s="129">
        <f t="shared" si="85"/>
        <v>0</v>
      </c>
    </row>
    <row r="211" spans="1:23">
      <c r="A211" s="148"/>
      <c r="B211" s="171" t="s">
        <v>180</v>
      </c>
      <c r="C211" s="246">
        <f>COUNTIFS(เรื่องร้องเรียน!E:E,"1",เรื่องร้องเรียน!N:N,"ยานนาวา",เรื่องร้องเรียน!AN:AN,"บางโพงพาง")</f>
        <v>0</v>
      </c>
      <c r="D211" s="109">
        <f>COUNTIFS(เรื่องร้องเรียน!E:E,"1",เรื่องร้องเรียน!N:N,"ยานนาวา",เรื่องร้องเรียน!AN:AN,"บางโพงพาง",เรื่องร้องเรียน!CL:CL,"1")</f>
        <v>0</v>
      </c>
      <c r="E211" s="109">
        <f>COUNTIFS(เรื่องร้องเรียน!E:E,"2",เรื่องร้องเรียน!N:N,"ยานนาวา",เรื่องร้องเรียน!AN:AN,"บางโพงพาง")</f>
        <v>0</v>
      </c>
      <c r="F211" s="109">
        <f>COUNTIFS(เรื่องร้องเรียน!E:E,"2",เรื่องร้องเรียน!N:N,"ยานนาวา",เรื่องร้องเรียน!AN:AN,"บางโพงพาง",เรื่องร้องเรียน!CL:CL,"1")</f>
        <v>0</v>
      </c>
      <c r="G211" s="109">
        <f>COUNTIFS(เรื่องร้องเรียน!E:E,"3",เรื่องร้องเรียน!N:N,"ยานนาวา",เรื่องร้องเรียน!AN:AN,"บางโพงพาง")</f>
        <v>0</v>
      </c>
      <c r="H211" s="109">
        <f>COUNTIFS(เรื่องร้องเรียน!E:E,"3",เรื่องร้องเรียน!N:N,"ยานนาวา",เรื่องร้องเรียน!AN:AN,"บางโพงพาง",เรื่องร้องเรียน!CL:CL,"1")</f>
        <v>0</v>
      </c>
      <c r="I211" s="109">
        <f>COUNTIFS(เรื่องร้องเรียน!E:E,"4",เรื่องร้องเรียน!N:N,"ยานนาวา",เรื่องร้องเรียน!AN:AN,"บางโพงพาง")</f>
        <v>0</v>
      </c>
      <c r="J211" s="144">
        <f>COUNTIFS(เรื่องร้องเรียน!E:E,"4",เรื่องร้องเรียน!N:N,"ยานนาวา",เรื่องร้องเรียน!AN:AN,"บางโพงพาง",เรื่องร้องเรียน!CL:CL,"1")</f>
        <v>0</v>
      </c>
      <c r="K211" s="144"/>
      <c r="L211" s="144"/>
      <c r="M211" s="109">
        <f t="shared" si="86"/>
        <v>0</v>
      </c>
      <c r="N211" s="145">
        <f t="shared" si="86"/>
        <v>0</v>
      </c>
      <c r="O211" s="146">
        <f>COUNTIFS(เรื่องร้องเรียน!E:E,"1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P211" s="144">
        <f>COUNTIFS(เรื่องร้องเรียน!E:E,"2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Q211" s="144">
        <f>COUNTIFS(เรื่องร้องเรียน!E:E,"3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R211" s="144">
        <f>COUNTIFS(เรื่องร้องเรียน!E:E,"4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S211" s="144"/>
      <c r="T211" s="147">
        <f t="shared" si="69"/>
        <v>0</v>
      </c>
      <c r="U211" s="183">
        <f t="shared" si="66"/>
        <v>0</v>
      </c>
      <c r="W211" s="129">
        <f t="shared" si="85"/>
        <v>0</v>
      </c>
    </row>
    <row r="212" spans="1:23" ht="21.6" thickBot="1">
      <c r="A212" s="174"/>
      <c r="B212" s="172" t="s">
        <v>104</v>
      </c>
      <c r="C212" s="231">
        <f>COUNTIFS(เรื่องร้องเรียน!E:E,"1",เรื่องร้องเรียน!N:N,"ยานนาวา",เรื่องร้องเรียน!AN:AN,"วัดพระยาไกร")</f>
        <v>0</v>
      </c>
      <c r="D212" s="124">
        <f>COUNTIFS(เรื่องร้องเรียน!E:E,"1",เรื่องร้องเรียน!N:N,"ยานนาวา",เรื่องร้องเรียน!AN:AN,"วัดพระยาไกร",เรื่องร้องเรียน!CL:CL,"1")</f>
        <v>0</v>
      </c>
      <c r="E212" s="124">
        <f>COUNTIFS(เรื่องร้องเรียน!E:E,"2",เรื่องร้องเรียน!N:N,"ยานนาวา",เรื่องร้องเรียน!AN:AN,"วัดพระยาไกร")</f>
        <v>0</v>
      </c>
      <c r="F212" s="124">
        <f>COUNTIFS(เรื่องร้องเรียน!E:E,"2",เรื่องร้องเรียน!N:N,"ยานนาวา",เรื่องร้องเรียน!AN:AN,"วัดพระยาไกร",เรื่องร้องเรียน!CL:CL,"1")</f>
        <v>0</v>
      </c>
      <c r="G212" s="124">
        <f>COUNTIFS(เรื่องร้องเรียน!E:E,"3",เรื่องร้องเรียน!N:N,"ยานนาวา",เรื่องร้องเรียน!AN:AN,"วัดพระยาไกร")</f>
        <v>0</v>
      </c>
      <c r="H212" s="124">
        <f>COUNTIFS(เรื่องร้องเรียน!E:E,"3",เรื่องร้องเรียน!N:N,"ยานนาวา",เรื่องร้องเรียน!AN:AN,"วัดพระยาไกร",เรื่องร้องเรียน!CL:CL,"1")</f>
        <v>0</v>
      </c>
      <c r="I212" s="124">
        <f>COUNTIFS(เรื่องร้องเรียน!E:E,"4",เรื่องร้องเรียน!N:N,"ยานนาวา",เรื่องร้องเรียน!AN:AN,"วัดพระยาไกร")</f>
        <v>0</v>
      </c>
      <c r="J212" s="157">
        <f>COUNTIFS(เรื่องร้องเรียน!E:E,"4",เรื่องร้องเรียน!N:N,"ยานนาวา",เรื่องร้องเรียน!AN:AN,"วัดพระยาไกร",เรื่องร้องเรียน!CL:CL,"1")</f>
        <v>0</v>
      </c>
      <c r="K212" s="157"/>
      <c r="L212" s="157"/>
      <c r="M212" s="124">
        <f>SUM(C212,E212,G212,I212,K212)</f>
        <v>0</v>
      </c>
      <c r="N212" s="158">
        <f>SUM(D212,F212,H212,J212,L212)</f>
        <v>0</v>
      </c>
      <c r="O212" s="159">
        <f>COUNTIFS(เรื่องร้องเรียน!E:E,"1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P212" s="157">
        <f>COUNTIFS(เรื่องร้องเรียน!E:E,"2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Q212" s="157">
        <f>COUNTIFS(เรื่องร้องเรียน!E:E,"3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R212" s="157">
        <f>COUNTIFS(เรื่องร้องเรียน!E:E,"4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S212" s="157"/>
      <c r="T212" s="160">
        <f>SUM(O212:S212)</f>
        <v>0</v>
      </c>
      <c r="U212" s="184">
        <f>M212-N212-T212</f>
        <v>0</v>
      </c>
      <c r="W212" s="129">
        <f t="shared" si="85"/>
        <v>0</v>
      </c>
    </row>
    <row r="213" spans="1:23" ht="21.6" thickBot="1">
      <c r="A213" s="130" t="s">
        <v>114</v>
      </c>
      <c r="B213" s="169" t="s">
        <v>152</v>
      </c>
      <c r="C213" s="132">
        <f>SUM(C214:C218)</f>
        <v>0</v>
      </c>
      <c r="D213" s="131">
        <f t="shared" ref="D213:T213" si="87">SUM(D214:D218)</f>
        <v>0</v>
      </c>
      <c r="E213" s="131">
        <f t="shared" si="87"/>
        <v>0</v>
      </c>
      <c r="F213" s="131">
        <f t="shared" si="87"/>
        <v>0</v>
      </c>
      <c r="G213" s="131">
        <f t="shared" si="87"/>
        <v>0</v>
      </c>
      <c r="H213" s="131">
        <f t="shared" si="87"/>
        <v>0</v>
      </c>
      <c r="I213" s="131">
        <f t="shared" si="87"/>
        <v>0</v>
      </c>
      <c r="J213" s="131">
        <f t="shared" si="87"/>
        <v>0</v>
      </c>
      <c r="K213" s="131">
        <f t="shared" si="87"/>
        <v>0</v>
      </c>
      <c r="L213" s="131">
        <f t="shared" si="87"/>
        <v>0</v>
      </c>
      <c r="M213" s="131">
        <f t="shared" si="87"/>
        <v>0</v>
      </c>
      <c r="N213" s="163">
        <f t="shared" si="87"/>
        <v>0</v>
      </c>
      <c r="O213" s="132">
        <f t="shared" si="87"/>
        <v>0</v>
      </c>
      <c r="P213" s="132">
        <f t="shared" si="87"/>
        <v>0</v>
      </c>
      <c r="Q213" s="132">
        <f t="shared" si="87"/>
        <v>0</v>
      </c>
      <c r="R213" s="132">
        <f t="shared" si="87"/>
        <v>0</v>
      </c>
      <c r="S213" s="132">
        <f t="shared" si="87"/>
        <v>0</v>
      </c>
      <c r="T213" s="133">
        <f t="shared" si="87"/>
        <v>0</v>
      </c>
      <c r="U213" s="134">
        <f t="shared" si="66"/>
        <v>0</v>
      </c>
      <c r="W213" s="135">
        <f t="shared" si="85"/>
        <v>0</v>
      </c>
    </row>
    <row r="214" spans="1:23">
      <c r="A214" s="173"/>
      <c r="B214" s="170" t="s">
        <v>20</v>
      </c>
      <c r="C214" s="180"/>
      <c r="D214" s="178"/>
      <c r="E214" s="178"/>
      <c r="F214" s="178"/>
      <c r="G214" s="178"/>
      <c r="H214" s="178"/>
      <c r="I214" s="178"/>
      <c r="J214" s="178"/>
      <c r="K214" s="178">
        <f>COUNTIFS(เรื่องร้องเรียน!E:E,"5",เรื่องร้องเรียน!N:N,"ราชเทวี")</f>
        <v>0</v>
      </c>
      <c r="L214" s="178">
        <f>COUNTIFS(เรื่องร้องเรียน!E:E,"5",เรื่องร้องเรียน!N:N,"ราชเทวี",เรื่องร้องเรียน!CL:CL,"1")</f>
        <v>0</v>
      </c>
      <c r="M214" s="178">
        <f t="shared" ref="M214:N217" si="88">SUM(C214,E214,G214,I214,K214)</f>
        <v>0</v>
      </c>
      <c r="N214" s="179">
        <f t="shared" si="88"/>
        <v>0</v>
      </c>
      <c r="O214" s="180"/>
      <c r="P214" s="178"/>
      <c r="Q214" s="178"/>
      <c r="R214" s="178"/>
      <c r="S214" s="178">
        <f>COUNTIFS(เรื่องร้องเรียน!E:E,"5",เรื่องร้องเรียน!N:N,"ราชเทวี",เรื่องร้องเรียน!AQ:AQ,"1",เรื่องร้องเรียน!CL:CL,"")</f>
        <v>0</v>
      </c>
      <c r="T214" s="181">
        <f t="shared" si="69"/>
        <v>0</v>
      </c>
      <c r="U214" s="182">
        <f t="shared" si="66"/>
        <v>0</v>
      </c>
      <c r="V214" s="10" t="s">
        <v>169</v>
      </c>
      <c r="W214" s="129">
        <f t="shared" si="85"/>
        <v>0</v>
      </c>
    </row>
    <row r="215" spans="1:23">
      <c r="A215" s="148"/>
      <c r="B215" s="171" t="s">
        <v>86</v>
      </c>
      <c r="C215" s="246">
        <f>COUNTIFS(เรื่องร้องเรียน!E:E,"1",เรื่องร้องเรียน!N:N,"ราชเทวี",เรื่องร้องเรียน!AN:AN,"ดินแดง")</f>
        <v>0</v>
      </c>
      <c r="D215" s="109">
        <f>COUNTIFS(เรื่องร้องเรียน!E:E,"1",เรื่องร้องเรียน!N:N,"ราชเทวี",เรื่องร้องเรียน!AN:AN,"ดินแดง",เรื่องร้องเรียน!CL:CL,"1")</f>
        <v>0</v>
      </c>
      <c r="E215" s="109">
        <f>COUNTIFS(เรื่องร้องเรียน!E:E,"2",เรื่องร้องเรียน!N:N,"ราชเทวี",เรื่องร้องเรียน!AN:AN,"ดินแดง")</f>
        <v>0</v>
      </c>
      <c r="F215" s="109">
        <f>COUNTIFS(เรื่องร้องเรียน!E:E,"2",เรื่องร้องเรียน!N:N,"ราชเทวี",เรื่องร้องเรียน!AN:AN,"ดินแดง",เรื่องร้องเรียน!CL:CL,"1")</f>
        <v>0</v>
      </c>
      <c r="G215" s="109">
        <f>COUNTIFS(เรื่องร้องเรียน!E:E,"3",เรื่องร้องเรียน!N:N,"ราชเทวี",เรื่องร้องเรียน!AN:AN,"ดินแดง")</f>
        <v>0</v>
      </c>
      <c r="H215" s="109">
        <f>COUNTIFS(เรื่องร้องเรียน!E:E,"3",เรื่องร้องเรียน!N:N,"ราชเทวี",เรื่องร้องเรียน!AN:AN,"ดินแดง",เรื่องร้องเรียน!CL:CL,"1")</f>
        <v>0</v>
      </c>
      <c r="I215" s="109">
        <f>COUNTIFS(เรื่องร้องเรียน!E:E,"4",เรื่องร้องเรียน!N:N,"ราชเทวี",เรื่องร้องเรียน!AN:AN,"ดินแดง")</f>
        <v>0</v>
      </c>
      <c r="J215" s="144">
        <f>COUNTIFS(เรื่องร้องเรียน!E:E,"4",เรื่องร้องเรียน!N:N,"ราชเทวี",เรื่องร้องเรียน!AN:AN,"ดินแดง",เรื่องร้องเรียน!CL:CL,"1")</f>
        <v>0</v>
      </c>
      <c r="K215" s="144"/>
      <c r="L215" s="144"/>
      <c r="M215" s="109">
        <f t="shared" si="88"/>
        <v>0</v>
      </c>
      <c r="N215" s="145">
        <f t="shared" si="88"/>
        <v>0</v>
      </c>
      <c r="O215" s="146">
        <f>COUNTIFS(เรื่องร้องเรียน!E:E,"1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P215" s="144">
        <f>COUNTIFS(เรื่องร้องเรียน!E:E,"2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Q215" s="144">
        <f>COUNTIFS(เรื่องร้องเรียน!E:E,"3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R215" s="144">
        <f>COUNTIFS(เรื่องร้องเรียน!E:E,"4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S215" s="144"/>
      <c r="T215" s="147">
        <f t="shared" si="69"/>
        <v>0</v>
      </c>
      <c r="U215" s="183">
        <f t="shared" si="66"/>
        <v>0</v>
      </c>
      <c r="W215" s="129">
        <f t="shared" si="85"/>
        <v>0</v>
      </c>
    </row>
    <row r="216" spans="1:23">
      <c r="A216" s="148"/>
      <c r="B216" s="171" t="s">
        <v>89</v>
      </c>
      <c r="C216" s="246">
        <f>COUNTIFS(เรื่องร้องเรียน!E:E,"1",เรื่องร้องเรียน!N:N,"ราชเทวี",เรื่องร้องเรียน!AN:AN,"พญาไท")</f>
        <v>0</v>
      </c>
      <c r="D216" s="109">
        <f>COUNTIFS(เรื่องร้องเรียน!E:E,"1",เรื่องร้องเรียน!N:N,"ราชเทวี",เรื่องร้องเรียน!AN:AN,"พญาไท",เรื่องร้องเรียน!CL:CL,"1")</f>
        <v>0</v>
      </c>
      <c r="E216" s="109">
        <f>COUNTIFS(เรื่องร้องเรียน!E:E,"2",เรื่องร้องเรียน!N:N,"ราชเทวี",เรื่องร้องเรียน!AN:AN,"พญาไท")</f>
        <v>0</v>
      </c>
      <c r="F216" s="109">
        <f>COUNTIFS(เรื่องร้องเรียน!E:E,"2",เรื่องร้องเรียน!N:N,"ราชเทวี",เรื่องร้องเรียน!AN:AN,"พญาไท",เรื่องร้องเรียน!CL:CL,"1")</f>
        <v>0</v>
      </c>
      <c r="G216" s="109">
        <f>COUNTIFS(เรื่องร้องเรียน!E:E,"3",เรื่องร้องเรียน!N:N,"ราชเทวี",เรื่องร้องเรียน!AN:AN,"พญาไท")</f>
        <v>0</v>
      </c>
      <c r="H216" s="109">
        <f>COUNTIFS(เรื่องร้องเรียน!E:E,"3",เรื่องร้องเรียน!N:N,"ราชเทวี",เรื่องร้องเรียน!AN:AN,"พญาไท",เรื่องร้องเรียน!CL:CL,"1")</f>
        <v>0</v>
      </c>
      <c r="I216" s="109">
        <f>COUNTIFS(เรื่องร้องเรียน!E:E,"4",เรื่องร้องเรียน!N:N,"ราชเทวี",เรื่องร้องเรียน!AN:AN,"พญาไท")</f>
        <v>0</v>
      </c>
      <c r="J216" s="144">
        <f>COUNTIFS(เรื่องร้องเรียน!E:E,"4",เรื่องร้องเรียน!N:N,"ราชเทวี",เรื่องร้องเรียน!AN:AN,"พญาไท",เรื่องร้องเรียน!CL:CL,"1")</f>
        <v>0</v>
      </c>
      <c r="K216" s="144"/>
      <c r="L216" s="144"/>
      <c r="M216" s="109">
        <f t="shared" si="88"/>
        <v>0</v>
      </c>
      <c r="N216" s="145">
        <f t="shared" si="88"/>
        <v>0</v>
      </c>
      <c r="O216" s="146">
        <f>COUNTIFS(เรื่องร้องเรียน!E:E,"1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P216" s="144">
        <f>COUNTIFS(เรื่องร้องเรียน!E:E,"2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Q216" s="144">
        <f>COUNTIFS(เรื่องร้องเรียน!E:E,"3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R216" s="144">
        <f>COUNTIFS(เรื่องร้องเรียน!E:E,"4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S216" s="144"/>
      <c r="T216" s="147">
        <f t="shared" si="69"/>
        <v>0</v>
      </c>
      <c r="U216" s="183">
        <f t="shared" si="66"/>
        <v>0</v>
      </c>
      <c r="W216" s="129">
        <f t="shared" si="85"/>
        <v>0</v>
      </c>
    </row>
    <row r="217" spans="1:23">
      <c r="A217" s="148"/>
      <c r="B217" s="171" t="s">
        <v>170</v>
      </c>
      <c r="C217" s="246">
        <f>COUNTIFS(เรื่องร้องเรียน!E:E,"1",เรื่องร้องเรียน!N:N,"ราชเทวี",เรื่องร้องเรียน!AN:AN,"มักกะสัน")</f>
        <v>0</v>
      </c>
      <c r="D217" s="109">
        <f>COUNTIFS(เรื่องร้องเรียน!E:E,"1",เรื่องร้องเรียน!N:N,"ราชเทวี",เรื่องร้องเรียน!AN:AN,"มักกะสัน",เรื่องร้องเรียน!CL:CL,"1")</f>
        <v>0</v>
      </c>
      <c r="E217" s="109">
        <f>COUNTIFS(เรื่องร้องเรียน!E:E,"2",เรื่องร้องเรียน!N:N,"ราชเทวี",เรื่องร้องเรียน!AN:AN,"มักกะสัน")</f>
        <v>0</v>
      </c>
      <c r="F217" s="109">
        <f>COUNTIFS(เรื่องร้องเรียน!E:E,"2",เรื่องร้องเรียน!N:N,"ราชเทวี",เรื่องร้องเรียน!AN:AN,"มักกะสัน",เรื่องร้องเรียน!CL:CL,"1")</f>
        <v>0</v>
      </c>
      <c r="G217" s="109">
        <f>COUNTIFS(เรื่องร้องเรียน!E:E,"3",เรื่องร้องเรียน!N:N,"ราชเทวี",เรื่องร้องเรียน!AN:AN,"มักกะสัน")</f>
        <v>0</v>
      </c>
      <c r="H217" s="109">
        <f>COUNTIFS(เรื่องร้องเรียน!E:E,"3",เรื่องร้องเรียน!N:N,"ราชเทวี",เรื่องร้องเรียน!AN:AN,"มักกะสัน",เรื่องร้องเรียน!CL:CL,"1")</f>
        <v>0</v>
      </c>
      <c r="I217" s="109">
        <f>COUNTIFS(เรื่องร้องเรียน!E:E,"4",เรื่องร้องเรียน!N:N,"ราชเทวี",เรื่องร้องเรียน!AN:AN,"มักกะสัน")</f>
        <v>0</v>
      </c>
      <c r="J217" s="144">
        <f>COUNTIFS(เรื่องร้องเรียน!E:E,"4",เรื่องร้องเรียน!N:N,"ราชเทวี",เรื่องร้องเรียน!AN:AN,"มักกะสัน",เรื่องร้องเรียน!CL:CL,"1")</f>
        <v>0</v>
      </c>
      <c r="K217" s="144"/>
      <c r="L217" s="144"/>
      <c r="M217" s="109">
        <f t="shared" si="88"/>
        <v>0</v>
      </c>
      <c r="N217" s="145">
        <f t="shared" si="88"/>
        <v>0</v>
      </c>
      <c r="O217" s="146">
        <f>COUNTIFS(เรื่องร้องเรียน!E:E,"1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P217" s="144">
        <f>COUNTIFS(เรื่องร้องเรียน!E:E,"2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Q217" s="144">
        <f>COUNTIFS(เรื่องร้องเรียน!E:E,"3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R217" s="144">
        <f>COUNTIFS(เรื่องร้องเรียน!E:E,"4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S217" s="144"/>
      <c r="T217" s="147">
        <f t="shared" si="69"/>
        <v>0</v>
      </c>
      <c r="U217" s="183">
        <f t="shared" si="66"/>
        <v>0</v>
      </c>
      <c r="W217" s="129">
        <f t="shared" si="85"/>
        <v>0</v>
      </c>
    </row>
    <row r="218" spans="1:23" ht="21.6" thickBot="1">
      <c r="A218" s="174"/>
      <c r="B218" s="172" t="s">
        <v>169</v>
      </c>
      <c r="C218" s="231">
        <f>COUNTIFS(เรื่องร้องเรียน!E:E,"1",เรื่องร้องเรียน!N:N,"ราชเทวี",เรื่องร้องเรียน!AN:AN,"นางเลิ้ง")</f>
        <v>0</v>
      </c>
      <c r="D218" s="124">
        <f>COUNTIFS(เรื่องร้องเรียน!E:E,"1",เรื่องร้องเรียน!N:N,"ราชเทวี",เรื่องร้องเรียน!AN:AN,"นางเลิ้ง",เรื่องร้องเรียน!CL:CL,"1")</f>
        <v>0</v>
      </c>
      <c r="E218" s="124">
        <f>COUNTIFS(เรื่องร้องเรียน!E:E,"2",เรื่องร้องเรียน!N:N,"ราชเทวี",เรื่องร้องเรียน!AN:AN,"นางเลิ้ง")</f>
        <v>0</v>
      </c>
      <c r="F218" s="124">
        <f>COUNTIFS(เรื่องร้องเรียน!E:E,"2",เรื่องร้องเรียน!N:N,"ราชเทวี",เรื่องร้องเรียน!AN:AN,"นางเลิ้ง",เรื่องร้องเรียน!CL:CL,"1")</f>
        <v>0</v>
      </c>
      <c r="G218" s="124">
        <f>COUNTIFS(เรื่องร้องเรียน!E:E,"3",เรื่องร้องเรียน!N:N,"ราชเทวี",เรื่องร้องเรียน!AN:AN,"นางเลิ้ง")</f>
        <v>0</v>
      </c>
      <c r="H218" s="124">
        <f>COUNTIFS(เรื่องร้องเรียน!E:E,"3",เรื่องร้องเรียน!N:N,"ราชเทวี",เรื่องร้องเรียน!AN:AN,"นางเลิ้ง",เรื่องร้องเรียน!CL:CL,"1")</f>
        <v>0</v>
      </c>
      <c r="I218" s="124">
        <f>COUNTIFS(เรื่องร้องเรียน!E:E,"4",เรื่องร้องเรียน!N:N,"ราชเทวี",เรื่องร้องเรียน!AN:AN,"นางเลิ้ง")</f>
        <v>0</v>
      </c>
      <c r="J218" s="157">
        <f>COUNTIFS(เรื่องร้องเรียน!E:E,"4",เรื่องร้องเรียน!N:N,"ราชเทวี",เรื่องร้องเรียน!AN:AN,"นางเลิ้ง",เรื่องร้องเรียน!CL:CL,"1")</f>
        <v>0</v>
      </c>
      <c r="K218" s="157"/>
      <c r="L218" s="157"/>
      <c r="M218" s="124">
        <f>SUM(C218,E218,G218,I218,K218)</f>
        <v>0</v>
      </c>
      <c r="N218" s="158">
        <f>SUM(D218,F218,H218,J218,L218)</f>
        <v>0</v>
      </c>
      <c r="O218" s="159">
        <f>COUNTIFS(เรื่องร้องเรียน!E:E,"1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P218" s="157">
        <f>COUNTIFS(เรื่องร้องเรียน!E:E,"2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Q218" s="157">
        <f>COUNTIFS(เรื่องร้องเรียน!E:E,"3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R218" s="157">
        <f>COUNTIFS(เรื่องร้องเรียน!E:E,"4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S218" s="157"/>
      <c r="T218" s="160">
        <f>SUM(O218:S218)</f>
        <v>0</v>
      </c>
      <c r="U218" s="184">
        <f>M218-N218-T218</f>
        <v>0</v>
      </c>
      <c r="W218" s="129">
        <f t="shared" si="85"/>
        <v>0</v>
      </c>
    </row>
    <row r="219" spans="1:23" ht="21.6" thickBot="1">
      <c r="A219" s="168" t="s">
        <v>113</v>
      </c>
      <c r="B219" s="166" t="s">
        <v>152</v>
      </c>
      <c r="C219" s="132">
        <f>SUM(C220:C224)</f>
        <v>0</v>
      </c>
      <c r="D219" s="131">
        <f t="shared" ref="D219:T219" si="89">SUM(D220:D224)</f>
        <v>0</v>
      </c>
      <c r="E219" s="131">
        <f t="shared" si="89"/>
        <v>0</v>
      </c>
      <c r="F219" s="131">
        <f t="shared" si="89"/>
        <v>0</v>
      </c>
      <c r="G219" s="131">
        <f t="shared" si="89"/>
        <v>0</v>
      </c>
      <c r="H219" s="131">
        <f t="shared" si="89"/>
        <v>0</v>
      </c>
      <c r="I219" s="131">
        <f t="shared" si="89"/>
        <v>0</v>
      </c>
      <c r="J219" s="131">
        <f t="shared" si="89"/>
        <v>0</v>
      </c>
      <c r="K219" s="131">
        <f t="shared" si="89"/>
        <v>0</v>
      </c>
      <c r="L219" s="131">
        <f t="shared" si="89"/>
        <v>0</v>
      </c>
      <c r="M219" s="131">
        <f t="shared" si="89"/>
        <v>0</v>
      </c>
      <c r="N219" s="163">
        <f t="shared" si="89"/>
        <v>0</v>
      </c>
      <c r="O219" s="186">
        <f t="shared" si="89"/>
        <v>0</v>
      </c>
      <c r="P219" s="186">
        <f t="shared" si="89"/>
        <v>0</v>
      </c>
      <c r="Q219" s="186">
        <f t="shared" si="89"/>
        <v>0</v>
      </c>
      <c r="R219" s="186">
        <f t="shared" si="89"/>
        <v>0</v>
      </c>
      <c r="S219" s="186">
        <f t="shared" si="89"/>
        <v>0</v>
      </c>
      <c r="T219" s="133">
        <f t="shared" si="89"/>
        <v>0</v>
      </c>
      <c r="U219" s="134">
        <f t="shared" si="66"/>
        <v>0</v>
      </c>
      <c r="W219" s="135">
        <f t="shared" si="85"/>
        <v>0</v>
      </c>
    </row>
    <row r="220" spans="1:23">
      <c r="A220" s="173"/>
      <c r="B220" s="170" t="s">
        <v>20</v>
      </c>
      <c r="C220" s="180"/>
      <c r="D220" s="178"/>
      <c r="E220" s="178"/>
      <c r="F220" s="178"/>
      <c r="G220" s="178"/>
      <c r="H220" s="178"/>
      <c r="I220" s="178"/>
      <c r="J220" s="178"/>
      <c r="K220" s="178">
        <f>COUNTIFS(เรื่องร้องเรียน!E:E,"5",เรื่องร้องเรียน!N:N,"ราษฎร์บูรณะ")</f>
        <v>0</v>
      </c>
      <c r="L220" s="178">
        <f>COUNTIFS(เรื่องร้องเรียน!E:E,"5",เรื่องร้องเรียน!N:N,"ราษฎร์บูรณะ",เรื่องร้องเรียน!CL:CL,"1")</f>
        <v>0</v>
      </c>
      <c r="M220" s="178">
        <f t="shared" ref="M220:N222" si="90">SUM(C220,E220,G220,I220,K220)</f>
        <v>0</v>
      </c>
      <c r="N220" s="179">
        <f t="shared" si="90"/>
        <v>0</v>
      </c>
      <c r="O220" s="180"/>
      <c r="P220" s="178"/>
      <c r="Q220" s="178"/>
      <c r="R220" s="178"/>
      <c r="S220" s="178">
        <f>COUNTIFS(เรื่องร้องเรียน!E:E,"5",เรื่องร้องเรียน!N:N,"ราษฎร์บูรณะ",เรื่องร้องเรียน!AQ:AQ,"1",เรื่องร้องเรียน!CL:CL,"")</f>
        <v>0</v>
      </c>
      <c r="T220" s="181">
        <f t="shared" si="69"/>
        <v>0</v>
      </c>
      <c r="U220" s="182">
        <f t="shared" si="66"/>
        <v>0</v>
      </c>
      <c r="W220" s="129">
        <f t="shared" si="85"/>
        <v>0</v>
      </c>
    </row>
    <row r="221" spans="1:23">
      <c r="A221" s="148"/>
      <c r="B221" s="171" t="s">
        <v>196</v>
      </c>
      <c r="C221" s="246">
        <f>COUNTIFS(เรื่องร้องเรียน!E:E,"1",เรื่องร้องเรียน!N:N,"ราษฎร์บูรณะ",เรื่องร้องเรียน!AN:AN,"บุคคโล")</f>
        <v>0</v>
      </c>
      <c r="D221" s="109">
        <f>COUNTIFS(เรื่องร้องเรียน!E:E,"1",เรื่องร้องเรียน!N:N,"ราษฎร์บูรณะ",เรื่องร้องเรียน!AN:AN,"บุคคโล",เรื่องร้องเรียน!CL:CL,"1")</f>
        <v>0</v>
      </c>
      <c r="E221" s="109">
        <f>COUNTIFS(เรื่องร้องเรียน!E:E,"2",เรื่องร้องเรียน!N:N,"ราษฎร์บูรณะ",เรื่องร้องเรียน!AN:AN,"บุคคโล")</f>
        <v>0</v>
      </c>
      <c r="F221" s="109">
        <f>COUNTIFS(เรื่องร้องเรียน!E:E,"2",เรื่องร้องเรียน!N:N,"ราษฎร์บูรณะ",เรื่องร้องเรียน!AN:AN,"บุคคโล",เรื่องร้องเรียน!CL:CL,"1")</f>
        <v>0</v>
      </c>
      <c r="G221" s="109">
        <f>COUNTIFS(เรื่องร้องเรียน!E:E,"3",เรื่องร้องเรียน!N:N,"ราษฎร์บูรณะ",เรื่องร้องเรียน!AN:AN,"บุคคโล")</f>
        <v>0</v>
      </c>
      <c r="H221" s="109">
        <f>COUNTIFS(เรื่องร้องเรียน!E:E,"3",เรื่องร้องเรียน!N:N,"ราษฎร์บูรณะ",เรื่องร้องเรียน!AN:AN,"บุคคโล",เรื่องร้องเรียน!CL:CL,"1")</f>
        <v>0</v>
      </c>
      <c r="I221" s="109">
        <f>COUNTIFS(เรื่องร้องเรียน!E:E,"4",เรื่องร้องเรียน!N:N,"ราษฎร์บูรณะ",เรื่องร้องเรียน!AN:AN,"บุคคโล")</f>
        <v>0</v>
      </c>
      <c r="J221" s="144">
        <f>COUNTIFS(เรื่องร้องเรียน!E:E,"4",เรื่องร้องเรียน!N:N,"ราษฎร์บูรณะ",เรื่องร้องเรียน!AN:AN,"บุคคโล",เรื่องร้องเรียน!CL:CL,"1")</f>
        <v>0</v>
      </c>
      <c r="K221" s="144"/>
      <c r="L221" s="144"/>
      <c r="M221" s="109">
        <f t="shared" si="90"/>
        <v>0</v>
      </c>
      <c r="N221" s="145">
        <f t="shared" si="90"/>
        <v>0</v>
      </c>
      <c r="O221" s="146">
        <f>COUNTIFS(เรื่องร้องเรียน!E:E,"1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P221" s="144">
        <f>COUNTIFS(เรื่องร้องเรียน!E:E,"2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Q221" s="144">
        <f>COUNTIFS(เรื่องร้องเรียน!E:E,"3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R221" s="144">
        <f>COUNTIFS(เรื่องร้องเรียน!E:E,"4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S221" s="144"/>
      <c r="T221" s="147">
        <f t="shared" si="69"/>
        <v>0</v>
      </c>
      <c r="U221" s="183">
        <f t="shared" si="66"/>
        <v>0</v>
      </c>
      <c r="V221" s="10" t="s">
        <v>110</v>
      </c>
      <c r="W221" s="129">
        <f t="shared" si="85"/>
        <v>0</v>
      </c>
    </row>
    <row r="222" spans="1:23">
      <c r="A222" s="148"/>
      <c r="B222" s="171" t="s">
        <v>113</v>
      </c>
      <c r="C222" s="246">
        <f>COUNTIFS(เรื่องร้องเรียน!E:E,"1",เรื่องร้องเรียน!N:N,"ราษฎร์บูรณะ",เรื่องร้องเรียน!AN:AN,"ราษฎร์บูรณะ")</f>
        <v>0</v>
      </c>
      <c r="D222" s="109">
        <f>COUNTIFS(เรื่องร้องเรียน!E:E,"1",เรื่องร้องเรียน!N:N,"ราษฎร์บูรณะ",เรื่องร้องเรียน!AN:AN,"ราษฎร์บูรณะ",เรื่องร้องเรียน!CL:CL,"1")</f>
        <v>0</v>
      </c>
      <c r="E222" s="109">
        <f>COUNTIFS(เรื่องร้องเรียน!E:E,"2",เรื่องร้องเรียน!N:N,"ราษฎร์บูรณะ",เรื่องร้องเรียน!AN:AN,"ราษฎร์บูรณะ")</f>
        <v>0</v>
      </c>
      <c r="F222" s="109">
        <f>COUNTIFS(เรื่องร้องเรียน!E:E,"2",เรื่องร้องเรียน!N:N,"ราษฎร์บูรณะ",เรื่องร้องเรียน!AN:AN,"ราษฎร์บูรณะ",เรื่องร้องเรียน!CL:CL,"1")</f>
        <v>0</v>
      </c>
      <c r="G222" s="109">
        <f>COUNTIFS(เรื่องร้องเรียน!E:E,"3",เรื่องร้องเรียน!N:N,"ราษฎร์บูรณะ",เรื่องร้องเรียน!AN:AN,"ราษฎร์บูรณะ")</f>
        <v>0</v>
      </c>
      <c r="H222" s="109">
        <f>COUNTIFS(เรื่องร้องเรียน!E:E,"3",เรื่องร้องเรียน!N:N,"ราษฎร์บูรณะ",เรื่องร้องเรียน!AN:AN,"ราษฎร์บูรณะ",เรื่องร้องเรียน!CL:CL,"1")</f>
        <v>0</v>
      </c>
      <c r="I222" s="109">
        <f>COUNTIFS(เรื่องร้องเรียน!E:E,"4",เรื่องร้องเรียน!N:N,"ราษฎร์บูรณะ",เรื่องร้องเรียน!AN:AN,"ราษฎร์บูรณะ")</f>
        <v>0</v>
      </c>
      <c r="J222" s="144">
        <f>COUNTIFS(เรื่องร้องเรียน!E:E,"4",เรื่องร้องเรียน!N:N,"ราษฎร์บูรณะ",เรื่องร้องเรียน!AN:AN,"ราษฎร์บูรณะ",เรื่องร้องเรียน!CL:CL,"1")</f>
        <v>0</v>
      </c>
      <c r="K222" s="144"/>
      <c r="L222" s="144"/>
      <c r="M222" s="109">
        <f t="shared" si="90"/>
        <v>0</v>
      </c>
      <c r="N222" s="145">
        <f t="shared" si="90"/>
        <v>0</v>
      </c>
      <c r="O222" s="146">
        <f>COUNTIFS(เรื่องร้องเรียน!E:E,"1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P222" s="144">
        <f>COUNTIFS(เรื่องร้องเรียน!E:E,"2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Q222" s="144">
        <f>COUNTIFS(เรื่องร้องเรียน!E:E,"3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R222" s="144">
        <f>COUNTIFS(เรื่องร้องเรียน!E:E,"4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S222" s="144"/>
      <c r="T222" s="147">
        <f t="shared" si="69"/>
        <v>0</v>
      </c>
      <c r="U222" s="183">
        <f t="shared" si="66"/>
        <v>0</v>
      </c>
      <c r="V222" s="10" t="s">
        <v>105</v>
      </c>
      <c r="W222" s="129">
        <f t="shared" si="85"/>
        <v>0</v>
      </c>
    </row>
    <row r="223" spans="1:23">
      <c r="A223" s="148"/>
      <c r="B223" s="171" t="s">
        <v>110</v>
      </c>
      <c r="C223" s="246">
        <f>COUNTIFS(เรื่องร้องเรียน!E:E,"1",เรื่องร้องเรียน!N:N,"ราษฎร์บูรณะ",เรื่องร้องเรียน!AN:AN,"บางมด")</f>
        <v>0</v>
      </c>
      <c r="D223" s="109">
        <f>COUNTIFS(เรื่องร้องเรียน!E:E,"1",เรื่องร้องเรียน!N:N,"ราษฎร์บูรณะ",เรื่องร้องเรียน!AN:AN,"บางมด",เรื่องร้องเรียน!CL:CL,"1")</f>
        <v>0</v>
      </c>
      <c r="E223" s="109">
        <f>COUNTIFS(เรื่องร้องเรียน!E:E,"2",เรื่องร้องเรียน!N:N,"ราษฎร์บูรณะ",เรื่องร้องเรียน!AN:AN,"บางมด")</f>
        <v>0</v>
      </c>
      <c r="F223" s="109">
        <f>COUNTIFS(เรื่องร้องเรียน!E:E,"2",เรื่องร้องเรียน!N:N,"ราษฎร์บูรณะ",เรื่องร้องเรียน!AN:AN,"บางมด",เรื่องร้องเรียน!CL:CL,"1")</f>
        <v>0</v>
      </c>
      <c r="G223" s="109">
        <f>COUNTIFS(เรื่องร้องเรียน!E:E,"3",เรื่องร้องเรียน!N:N,"ราษฎร์บูรณะ",เรื่องร้องเรียน!AN:AN,"บางมด")</f>
        <v>0</v>
      </c>
      <c r="H223" s="109">
        <f>COUNTIFS(เรื่องร้องเรียน!E:E,"3",เรื่องร้องเรียน!N:N,"ราษฎร์บูรณะ",เรื่องร้องเรียน!AN:AN,"บางมด",เรื่องร้องเรียน!CL:CL,"1")</f>
        <v>0</v>
      </c>
      <c r="I223" s="109">
        <f>COUNTIFS(เรื่องร้องเรียน!E:E,"4",เรื่องร้องเรียน!N:N,"ราษฎร์บูรณะ",เรื่องร้องเรียน!AN:AN,"บางมด")</f>
        <v>0</v>
      </c>
      <c r="J223" s="144">
        <f>COUNTIFS(เรื่องร้องเรียน!E:E,"4",เรื่องร้องเรียน!N:N,"ราษฎร์บูรณะ",เรื่องร้องเรียน!AN:AN,"บางมด",เรื่องร้องเรียน!CL:CL,"1")</f>
        <v>0</v>
      </c>
      <c r="K223" s="144"/>
      <c r="L223" s="144"/>
      <c r="M223" s="109">
        <f>SUM(C223,E223,G223,I223,K223)</f>
        <v>0</v>
      </c>
      <c r="N223" s="145">
        <f>SUM(D223,F223,H223,J223,L223)</f>
        <v>0</v>
      </c>
      <c r="O223" s="146">
        <f>COUNTIFS(เรื่องร้องเรียน!E:E,"1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P223" s="144">
        <f>COUNTIFS(เรื่องร้องเรียน!E:E,"2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Q223" s="144">
        <f>COUNTIFS(เรื่องร้องเรียน!E:E,"3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R223" s="144">
        <f>COUNTIFS(เรื่องร้องเรียน!E:E,"4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S223" s="144"/>
      <c r="T223" s="147">
        <f>SUM(O223:S223)</f>
        <v>0</v>
      </c>
      <c r="U223" s="183">
        <f>M223-N223-T223</f>
        <v>0</v>
      </c>
      <c r="W223" s="129">
        <f t="shared" si="85"/>
        <v>0</v>
      </c>
    </row>
    <row r="224" spans="1:23" ht="21.6" thickBot="1">
      <c r="A224" s="174"/>
      <c r="B224" s="172" t="s">
        <v>105</v>
      </c>
      <c r="C224" s="231">
        <f>COUNTIFS(เรื่องร้องเรียน!E:E,"1",เรื่องร้องเรียน!N:N,"ราษฎร์บูรณะ",เรื่องร้องเรียน!AN:AN,"บางคอแหลม")</f>
        <v>0</v>
      </c>
      <c r="D224" s="124">
        <f>COUNTIFS(เรื่องร้องเรียน!E:E,"1",เรื่องร้องเรียน!N:N,"ราษฎร์บูรณะ",เรื่องร้องเรียน!AN:AN,"บางคอแหลม",เรื่องร้องเรียน!CL:CL,"1")</f>
        <v>0</v>
      </c>
      <c r="E224" s="124">
        <f>COUNTIFS(เรื่องร้องเรียน!E:E,"2",เรื่องร้องเรียน!N:N,"ราษฎร์บูรณะ",เรื่องร้องเรียน!AN:AN,"บางคอแหลม")</f>
        <v>0</v>
      </c>
      <c r="F224" s="124">
        <f>COUNTIFS(เรื่องร้องเรียน!E:E,"2",เรื่องร้องเรียน!N:N,"ราษฎร์บูรณะ",เรื่องร้องเรียน!AN:AN,"บางคอแหลม",เรื่องร้องเรียน!CL:CL,"1")</f>
        <v>0</v>
      </c>
      <c r="G224" s="124">
        <f>COUNTIFS(เรื่องร้องเรียน!E:E,"3",เรื่องร้องเรียน!N:N,"ราษฎร์บูรณะ",เรื่องร้องเรียน!AN:AN,"บางคอแหลม")</f>
        <v>0</v>
      </c>
      <c r="H224" s="124">
        <f>COUNTIFS(เรื่องร้องเรียน!E:E,"3",เรื่องร้องเรียน!N:N,"ราษฎร์บูรณะ",เรื่องร้องเรียน!AN:AN,"บางคอแหลม",เรื่องร้องเรียน!CL:CL,"1")</f>
        <v>0</v>
      </c>
      <c r="I224" s="124">
        <f>COUNTIFS(เรื่องร้องเรียน!E:E,"4",เรื่องร้องเรียน!N:N,"ราษฎร์บูรณะ",เรื่องร้องเรียน!AN:AN,"บางคอแหลม")</f>
        <v>0</v>
      </c>
      <c r="J224" s="157">
        <f>COUNTIFS(เรื่องร้องเรียน!E:E,"4",เรื่องร้องเรียน!N:N,"ราษฎร์บูรณะ",เรื่องร้องเรียน!AN:AN,"บางคอแหลม",เรื่องร้องเรียน!CL:CL,"1")</f>
        <v>0</v>
      </c>
      <c r="K224" s="157"/>
      <c r="L224" s="157"/>
      <c r="M224" s="124">
        <f>SUM(C224,E224,G224,I224,K224)</f>
        <v>0</v>
      </c>
      <c r="N224" s="158">
        <f>SUM(D224,F224,H224,J224,L224)</f>
        <v>0</v>
      </c>
      <c r="O224" s="159">
        <f>COUNTIFS(เรื่องร้องเรียน!E:E,"1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P224" s="157">
        <f>COUNTIFS(เรื่องร้องเรียน!E:E,"2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Q224" s="157">
        <f>COUNTIFS(เรื่องร้องเรียน!E:E,"3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R224" s="157">
        <f>COUNTIFS(เรื่องร้องเรียน!E:E,"4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S224" s="157"/>
      <c r="T224" s="160">
        <f>SUM(O224:S224)</f>
        <v>0</v>
      </c>
      <c r="U224" s="184">
        <f>M224-N224-T224</f>
        <v>0</v>
      </c>
      <c r="W224" s="129">
        <f t="shared" si="85"/>
        <v>0</v>
      </c>
    </row>
    <row r="225" spans="1:23" ht="21.6" thickBot="1">
      <c r="A225" s="168" t="s">
        <v>84</v>
      </c>
      <c r="B225" s="166" t="s">
        <v>152</v>
      </c>
      <c r="C225" s="132">
        <f>SUM(C226:C231)</f>
        <v>0</v>
      </c>
      <c r="D225" s="131">
        <f t="shared" ref="D225:T225" si="91">SUM(D226:D231)</f>
        <v>0</v>
      </c>
      <c r="E225" s="131">
        <f t="shared" si="91"/>
        <v>0</v>
      </c>
      <c r="F225" s="131">
        <f t="shared" si="91"/>
        <v>0</v>
      </c>
      <c r="G225" s="131">
        <f t="shared" si="91"/>
        <v>0</v>
      </c>
      <c r="H225" s="131">
        <f t="shared" si="91"/>
        <v>0</v>
      </c>
      <c r="I225" s="131">
        <f t="shared" si="91"/>
        <v>0</v>
      </c>
      <c r="J225" s="131">
        <f t="shared" si="91"/>
        <v>0</v>
      </c>
      <c r="K225" s="131">
        <f t="shared" si="91"/>
        <v>0</v>
      </c>
      <c r="L225" s="131">
        <f t="shared" si="91"/>
        <v>0</v>
      </c>
      <c r="M225" s="131">
        <f t="shared" si="91"/>
        <v>0</v>
      </c>
      <c r="N225" s="163">
        <f t="shared" si="91"/>
        <v>0</v>
      </c>
      <c r="O225" s="186">
        <f t="shared" si="91"/>
        <v>0</v>
      </c>
      <c r="P225" s="186">
        <f t="shared" si="91"/>
        <v>0</v>
      </c>
      <c r="Q225" s="186">
        <f t="shared" si="91"/>
        <v>0</v>
      </c>
      <c r="R225" s="186">
        <f t="shared" si="91"/>
        <v>0</v>
      </c>
      <c r="S225" s="186">
        <f t="shared" si="91"/>
        <v>0</v>
      </c>
      <c r="T225" s="133">
        <f t="shared" si="91"/>
        <v>0</v>
      </c>
      <c r="U225" s="134">
        <f t="shared" si="66"/>
        <v>0</v>
      </c>
      <c r="W225" s="135">
        <f t="shared" si="85"/>
        <v>0</v>
      </c>
    </row>
    <row r="226" spans="1:23">
      <c r="A226" s="173"/>
      <c r="B226" s="170" t="s">
        <v>20</v>
      </c>
      <c r="C226" s="180"/>
      <c r="D226" s="178"/>
      <c r="E226" s="178"/>
      <c r="F226" s="178"/>
      <c r="G226" s="178"/>
      <c r="H226" s="178"/>
      <c r="I226" s="178"/>
      <c r="J226" s="178"/>
      <c r="K226" s="178">
        <f>COUNTIFS(เรื่องร้องเรียน!E:E,"5",เรื่องร้องเรียน!N:N,"ลาดกระบัง")</f>
        <v>0</v>
      </c>
      <c r="L226" s="178">
        <f>COUNTIFS(เรื่องร้องเรียน!E:E,"5",เรื่องร้องเรียน!N:N,"ลาดกระบัง",เรื่องร้องเรียน!CL:CL,"1")</f>
        <v>0</v>
      </c>
      <c r="M226" s="178">
        <f t="shared" ref="M226:N230" si="92">SUM(C226,E226,G226,I226,K226)</f>
        <v>0</v>
      </c>
      <c r="N226" s="179">
        <f t="shared" si="92"/>
        <v>0</v>
      </c>
      <c r="O226" s="180"/>
      <c r="P226" s="178"/>
      <c r="Q226" s="178"/>
      <c r="R226" s="178"/>
      <c r="S226" s="178">
        <f>COUNTIFS(เรื่องร้องเรียน!E:E,"5",เรื่องร้องเรียน!N:N,"ลาดกระบัง",เรื่องร้องเรียน!AQ:AQ,"1",เรื่องร้องเรียน!CL:CL,"")</f>
        <v>0</v>
      </c>
      <c r="T226" s="181">
        <f t="shared" si="69"/>
        <v>0</v>
      </c>
      <c r="U226" s="182">
        <f t="shared" si="66"/>
        <v>0</v>
      </c>
      <c r="V226" s="10" t="s">
        <v>116</v>
      </c>
      <c r="W226" s="129">
        <f t="shared" si="85"/>
        <v>0</v>
      </c>
    </row>
    <row r="227" spans="1:23">
      <c r="A227" s="148"/>
      <c r="B227" s="171" t="s">
        <v>85</v>
      </c>
      <c r="C227" s="246">
        <f>COUNTIFS(เรื่องร้องเรียน!E:E,"1",เรื่องร้องเรียน!N:N,"ลาดกระบัง",เรื่องร้องเรียน!AN:AN,"จรเข้น้อย")</f>
        <v>0</v>
      </c>
      <c r="D227" s="109">
        <f>COUNTIFS(เรื่องร้องเรียน!E:E,"1",เรื่องร้องเรียน!N:N,"ลาดกระบัง",เรื่องร้องเรียน!AN:AN,"จรเข้น้อย",เรื่องร้องเรียน!CL:CL,"1")</f>
        <v>0</v>
      </c>
      <c r="E227" s="109">
        <f>COUNTIFS(เรื่องร้องเรียน!E:E,"2",เรื่องร้องเรียน!N:N,"ลาดกระบัง",เรื่องร้องเรียน!AN:AN,"จรเข้น้อย")</f>
        <v>0</v>
      </c>
      <c r="F227" s="109">
        <f>COUNTIFS(เรื่องร้องเรียน!E:E,"2",เรื่องร้องเรียน!N:N,"ลาดกระบัง",เรื่องร้องเรียน!AN:AN,"จรเข้น้อย",เรื่องร้องเรียน!CL:CL,"1")</f>
        <v>0</v>
      </c>
      <c r="G227" s="109">
        <f>COUNTIFS(เรื่องร้องเรียน!E:E,"3",เรื่องร้องเรียน!N:N,"ลาดกระบัง",เรื่องร้องเรียน!AN:AN,"จรเข้น้อย")</f>
        <v>0</v>
      </c>
      <c r="H227" s="109">
        <f>COUNTIFS(เรื่องร้องเรียน!E:E,"3",เรื่องร้องเรียน!N:N,"ลาดกระบัง",เรื่องร้องเรียน!AN:AN,"จรเข้น้อย",เรื่องร้องเรียน!CL:CL,"1")</f>
        <v>0</v>
      </c>
      <c r="I227" s="109">
        <f>COUNTIFS(เรื่องร้องเรียน!E:E,"4",เรื่องร้องเรียน!N:N,"ลาดกระบัง",เรื่องร้องเรียน!AN:AN,"จรเข้น้อย")</f>
        <v>0</v>
      </c>
      <c r="J227" s="144">
        <f>COUNTIFS(เรื่องร้องเรียน!E:E,"4",เรื่องร้องเรียน!N:N,"ลาดกระบัง",เรื่องร้องเรียน!AN:AN,"จรเข้น้อย",เรื่องร้องเรียน!CL:CL,"1")</f>
        <v>0</v>
      </c>
      <c r="K227" s="144"/>
      <c r="L227" s="144"/>
      <c r="M227" s="109">
        <f t="shared" si="92"/>
        <v>0</v>
      </c>
      <c r="N227" s="145">
        <f t="shared" si="92"/>
        <v>0</v>
      </c>
      <c r="O227" s="146">
        <f>COUNTIFS(เรื่องร้องเรียน!E:E,"1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P227" s="144">
        <f>COUNTIFS(เรื่องร้องเรียน!E:E,"2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Q227" s="144">
        <f>COUNTIFS(เรื่องร้องเรียน!E:E,"3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R227" s="144">
        <f>COUNTIFS(เรื่องร้องเรียน!E:E,"4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S227" s="144"/>
      <c r="T227" s="147">
        <f t="shared" si="69"/>
        <v>0</v>
      </c>
      <c r="U227" s="183">
        <f t="shared" si="66"/>
        <v>0</v>
      </c>
      <c r="W227" s="129">
        <f t="shared" si="85"/>
        <v>0</v>
      </c>
    </row>
    <row r="228" spans="1:23">
      <c r="A228" s="148"/>
      <c r="B228" s="171" t="s">
        <v>124</v>
      </c>
      <c r="C228" s="246">
        <f>COUNTIFS(เรื่องร้องเรียน!E:E,"1",เรื่องร้องเรียน!N:N,"ลาดกระบัง",เรื่องร้องเรียน!AN:AN,"ฉลองกรุง")</f>
        <v>0</v>
      </c>
      <c r="D228" s="109">
        <f>COUNTIFS(เรื่องร้องเรียน!E:E,"1",เรื่องร้องเรียน!N:N,"ลาดกระบัง",เรื่องร้องเรียน!AN:AN,"ฉลองกรุง",เรื่องร้องเรียน!CL:CL,"1")</f>
        <v>0</v>
      </c>
      <c r="E228" s="109">
        <f>COUNTIFS(เรื่องร้องเรียน!E:E,"2",เรื่องร้องเรียน!N:N,"ลาดกระบัง",เรื่องร้องเรียน!AN:AN,"ฉลองกรุง")</f>
        <v>0</v>
      </c>
      <c r="F228" s="109">
        <f>COUNTIFS(เรื่องร้องเรียน!E:E,"2",เรื่องร้องเรียน!N:N,"ลาดกระบัง",เรื่องร้องเรียน!AN:AN,"ฉลองกรุง",เรื่องร้องเรียน!CL:CL,"1")</f>
        <v>0</v>
      </c>
      <c r="G228" s="109">
        <f>COUNTIFS(เรื่องร้องเรียน!E:E,"3",เรื่องร้องเรียน!N:N,"ลาดกระบัง",เรื่องร้องเรียน!AN:AN,"ฉลองกรุง")</f>
        <v>0</v>
      </c>
      <c r="H228" s="109">
        <f>COUNTIFS(เรื่องร้องเรียน!E:E,"3",เรื่องร้องเรียน!N:N,"ลาดกระบัง",เรื่องร้องเรียน!AN:AN,"ฉลองกรุง",เรื่องร้องเรียน!CL:CL,"1")</f>
        <v>0</v>
      </c>
      <c r="I228" s="109">
        <f>COUNTIFS(เรื่องร้องเรียน!E:E,"4",เรื่องร้องเรียน!N:N,"ลาดกระบัง",เรื่องร้องเรียน!AN:AN,"ฉลองกรุง")</f>
        <v>0</v>
      </c>
      <c r="J228" s="144">
        <f>COUNTIFS(เรื่องร้องเรียน!E:E,"4",เรื่องร้องเรียน!N:N,"ลาดกระบัง",เรื่องร้องเรียน!AN:AN,"ฉลองกรุง",เรื่องร้องเรียน!CL:CL,"1")</f>
        <v>0</v>
      </c>
      <c r="K228" s="144"/>
      <c r="L228" s="144"/>
      <c r="M228" s="109">
        <f t="shared" si="92"/>
        <v>0</v>
      </c>
      <c r="N228" s="145">
        <f t="shared" si="92"/>
        <v>0</v>
      </c>
      <c r="O228" s="146">
        <f>COUNTIFS(เรื่องร้องเรียน!E:E,"1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P228" s="144">
        <f>COUNTIFS(เรื่องร้องเรียน!E:E,"2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Q228" s="144">
        <f>COUNTIFS(เรื่องร้องเรียน!E:E,"3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R228" s="144">
        <f>COUNTIFS(เรื่องร้องเรียน!E:E,"4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S228" s="144"/>
      <c r="T228" s="147">
        <f t="shared" si="69"/>
        <v>0</v>
      </c>
      <c r="U228" s="183">
        <f t="shared" si="66"/>
        <v>0</v>
      </c>
      <c r="W228" s="129">
        <f t="shared" si="85"/>
        <v>0</v>
      </c>
    </row>
    <row r="229" spans="1:23">
      <c r="A229" s="148"/>
      <c r="B229" s="171" t="s">
        <v>175</v>
      </c>
      <c r="C229" s="246">
        <f>COUNTIFS(เรื่องร้องเรียน!E:E,"1",เรื่องร้องเรียน!N:N,"ลาดกระบัง",เรื่องร้องเรียน!AN:AN,"ร่มเกล้า")</f>
        <v>0</v>
      </c>
      <c r="D229" s="109">
        <f>COUNTIFS(เรื่องร้องเรียน!E:E,"1",เรื่องร้องเรียน!N:N,"ลาดกระบัง",เรื่องร้องเรียน!AN:AN,"ร่มเกล้า",เรื่องร้องเรียน!CL:CL,"1")</f>
        <v>0</v>
      </c>
      <c r="E229" s="109">
        <f>COUNTIFS(เรื่องร้องเรียน!E:E,"2",เรื่องร้องเรียน!N:N,"ลาดกระบัง",เรื่องร้องเรียน!AN:AN,"ร่มเกล้า")</f>
        <v>0</v>
      </c>
      <c r="F229" s="109">
        <f>COUNTIFS(เรื่องร้องเรียน!E:E,"2",เรื่องร้องเรียน!N:N,"ลาดกระบัง",เรื่องร้องเรียน!AN:AN,"ร่มเกล้า",เรื่องร้องเรียน!CL:CL,"1")</f>
        <v>0</v>
      </c>
      <c r="G229" s="109">
        <f>COUNTIFS(เรื่องร้องเรียน!E:E,"3",เรื่องร้องเรียน!N:N,"ลาดกระบัง",เรื่องร้องเรียน!AN:AN,"ร่มเกล้า")</f>
        <v>0</v>
      </c>
      <c r="H229" s="109">
        <f>COUNTIFS(เรื่องร้องเรียน!E:E,"3",เรื่องร้องเรียน!N:N,"ลาดกระบัง",เรื่องร้องเรียน!AN:AN,"ร่มเกล้า",เรื่องร้องเรียน!CL:CL,"1")</f>
        <v>0</v>
      </c>
      <c r="I229" s="109">
        <f>COUNTIFS(เรื่องร้องเรียน!E:E,"4",เรื่องร้องเรียน!N:N,"ลาดกระบัง",เรื่องร้องเรียน!AN:AN,"ร่มเกล้า")</f>
        <v>0</v>
      </c>
      <c r="J229" s="144">
        <f>COUNTIFS(เรื่องร้องเรียน!E:E,"4",เรื่องร้องเรียน!N:N,"ลาดกระบัง",เรื่องร้องเรียน!AN:AN,"ร่มเกล้า",เรื่องร้องเรียน!CL:CL,"1")</f>
        <v>0</v>
      </c>
      <c r="K229" s="144"/>
      <c r="L229" s="144"/>
      <c r="M229" s="109">
        <f t="shared" si="92"/>
        <v>0</v>
      </c>
      <c r="N229" s="145">
        <f t="shared" si="92"/>
        <v>0</v>
      </c>
      <c r="O229" s="146">
        <f>COUNTIFS(เรื่องร้องเรียน!E:E,"1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P229" s="144">
        <f>COUNTIFS(เรื่องร้องเรียน!E:E,"2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Q229" s="144">
        <f>COUNTIFS(เรื่องร้องเรียน!E:E,"3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R229" s="144">
        <f>COUNTIFS(เรื่องร้องเรียน!E:E,"4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S229" s="144"/>
      <c r="T229" s="147">
        <f t="shared" si="69"/>
        <v>0</v>
      </c>
      <c r="U229" s="183">
        <f t="shared" si="66"/>
        <v>0</v>
      </c>
      <c r="W229" s="129">
        <f t="shared" si="85"/>
        <v>0</v>
      </c>
    </row>
    <row r="230" spans="1:23">
      <c r="A230" s="148"/>
      <c r="B230" s="171" t="s">
        <v>84</v>
      </c>
      <c r="C230" s="246">
        <f>COUNTIFS(เรื่องร้องเรียน!E:E,"1",เรื่องร้องเรียน!N:N,"ลาดกระบัง",เรื่องร้องเรียน!AN:AN,"ลาดกระบัง")</f>
        <v>0</v>
      </c>
      <c r="D230" s="109">
        <f>COUNTIFS(เรื่องร้องเรียน!E:E,"1",เรื่องร้องเรียน!N:N,"ลาดกระบัง",เรื่องร้องเรียน!AN:AN,"ลาดกระบัง",เรื่องร้องเรียน!CL:CL,"1")</f>
        <v>0</v>
      </c>
      <c r="E230" s="109">
        <f>COUNTIFS(เรื่องร้องเรียน!E:E,"2",เรื่องร้องเรียน!N:N,"ลาดกระบัง",เรื่องร้องเรียน!AN:AN,"ลาดกระบัง")</f>
        <v>0</v>
      </c>
      <c r="F230" s="109">
        <f>COUNTIFS(เรื่องร้องเรียน!E:E,"2",เรื่องร้องเรียน!N:N,"ลาดกระบัง",เรื่องร้องเรียน!AN:AN,"ลาดกระบัง",เรื่องร้องเรียน!CL:CL,"1")</f>
        <v>0</v>
      </c>
      <c r="G230" s="109">
        <f>COUNTIFS(เรื่องร้องเรียน!E:E,"3",เรื่องร้องเรียน!N:N,"ลาดกระบัง",เรื่องร้องเรียน!AN:AN,"ลาดกระบัง")</f>
        <v>0</v>
      </c>
      <c r="H230" s="109">
        <f>COUNTIFS(เรื่องร้องเรียน!E:E,"3",เรื่องร้องเรียน!N:N,"ลาดกระบัง",เรื่องร้องเรียน!AN:AN,"ลาดกระบัง",เรื่องร้องเรียน!CL:CL,"1")</f>
        <v>0</v>
      </c>
      <c r="I230" s="109">
        <f>COUNTIFS(เรื่องร้องเรียน!E:E,"4",เรื่องร้องเรียน!N:N,"ลาดกระบัง",เรื่องร้องเรียน!AN:AN,"ลาดกระบัง")</f>
        <v>0</v>
      </c>
      <c r="J230" s="144">
        <f>COUNTIFS(เรื่องร้องเรียน!E:E,"4",เรื่องร้องเรียน!N:N,"ลาดกระบัง",เรื่องร้องเรียน!AN:AN,"ลาดกระบัง",เรื่องร้องเรียน!CL:CL,"1")</f>
        <v>0</v>
      </c>
      <c r="K230" s="144"/>
      <c r="L230" s="144"/>
      <c r="M230" s="109">
        <f t="shared" si="92"/>
        <v>0</v>
      </c>
      <c r="N230" s="145">
        <f t="shared" si="92"/>
        <v>0</v>
      </c>
      <c r="O230" s="146">
        <f>COUNTIFS(เรื่องร้องเรียน!E:E,"1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P230" s="144">
        <f>COUNTIFS(เรื่องร้องเรียน!E:E,"2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Q230" s="144">
        <f>COUNTIFS(เรื่องร้องเรียน!E:E,"3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R230" s="144">
        <f>COUNTIFS(เรื่องร้องเรียน!E:E,"4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S230" s="144"/>
      <c r="T230" s="147">
        <f t="shared" si="69"/>
        <v>0</v>
      </c>
      <c r="U230" s="183">
        <f t="shared" si="66"/>
        <v>0</v>
      </c>
      <c r="W230" s="129">
        <f t="shared" si="85"/>
        <v>0</v>
      </c>
    </row>
    <row r="231" spans="1:23" ht="21.6" thickBot="1">
      <c r="A231" s="174"/>
      <c r="B231" s="172" t="s">
        <v>116</v>
      </c>
      <c r="C231" s="231">
        <f>COUNTIFS(เรื่องร้องเรียน!E:E,"1",เรื่องร้องเรียน!N:N,"ลาดกระบัง",เรื่องร้องเรียน!AN:AN,"มีนบุรี")</f>
        <v>0</v>
      </c>
      <c r="D231" s="124">
        <f>COUNTIFS(เรื่องร้องเรียน!E:E,"1",เรื่องร้องเรียน!N:N,"ลาดกระบัง",เรื่องร้องเรียน!AN:AN,"มีนบุรี",เรื่องร้องเรียน!CL:CL,"1")</f>
        <v>0</v>
      </c>
      <c r="E231" s="124">
        <f>COUNTIFS(เรื่องร้องเรียน!E:E,"2",เรื่องร้องเรียน!N:N,"ลาดกระบัง",เรื่องร้องเรียน!AN:AN,"มีนบุรี")</f>
        <v>0</v>
      </c>
      <c r="F231" s="124">
        <f>COUNTIFS(เรื่องร้องเรียน!E:E,"2",เรื่องร้องเรียน!N:N,"ลาดกระบัง",เรื่องร้องเรียน!AN:AN,"มีนบุรี",เรื่องร้องเรียน!CL:CL,"1")</f>
        <v>0</v>
      </c>
      <c r="G231" s="124">
        <f>COUNTIFS(เรื่องร้องเรียน!E:E,"3",เรื่องร้องเรียน!N:N,"ลาดกระบัง",เรื่องร้องเรียน!AN:AN,"มีนบุรี")</f>
        <v>0</v>
      </c>
      <c r="H231" s="124">
        <f>COUNTIFS(เรื่องร้องเรียน!E:E,"3",เรื่องร้องเรียน!N:N,"ลาดกระบัง",เรื่องร้องเรียน!AN:AN,"มีนบุรี",เรื่องร้องเรียน!CL:CL,"1")</f>
        <v>0</v>
      </c>
      <c r="I231" s="124">
        <f>COUNTIFS(เรื่องร้องเรียน!E:E,"4",เรื่องร้องเรียน!N:N,"ลาดกระบัง",เรื่องร้องเรียน!AN:AN,"มีนบุรี")</f>
        <v>0</v>
      </c>
      <c r="J231" s="157">
        <f>COUNTIFS(เรื่องร้องเรียน!E:E,"4",เรื่องร้องเรียน!N:N,"ลาดกระบัง",เรื่องร้องเรียน!AN:AN,"มีนบุรี",เรื่องร้องเรียน!CL:CL,"1")</f>
        <v>0</v>
      </c>
      <c r="K231" s="157"/>
      <c r="L231" s="157"/>
      <c r="M231" s="124">
        <f>SUM(C231,E231,G231,I231,K231)</f>
        <v>0</v>
      </c>
      <c r="N231" s="158">
        <f>SUM(D231,F231,H231,J231,L231)</f>
        <v>0</v>
      </c>
      <c r="O231" s="159">
        <f>COUNTIFS(เรื่องร้องเรียน!E:E,"1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P231" s="157">
        <f>COUNTIFS(เรื่องร้องเรียน!E:E,"2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Q231" s="157">
        <f>COUNTIFS(เรื่องร้องเรียน!E:E,"3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R231" s="157">
        <f>COUNTIFS(เรื่องร้องเรียน!E:E,"4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S231" s="157"/>
      <c r="T231" s="160">
        <f>SUM(O231:S231)</f>
        <v>0</v>
      </c>
      <c r="U231" s="184">
        <f>M231-N231-T231</f>
        <v>0</v>
      </c>
      <c r="W231" s="129">
        <f t="shared" si="85"/>
        <v>0</v>
      </c>
    </row>
    <row r="232" spans="1:23" ht="21.6" thickBot="1">
      <c r="A232" s="168" t="s">
        <v>120</v>
      </c>
      <c r="B232" s="166" t="s">
        <v>152</v>
      </c>
      <c r="C232" s="132">
        <f>SUM(C233:C236)</f>
        <v>0</v>
      </c>
      <c r="D232" s="131">
        <f t="shared" ref="D232:T232" si="93">SUM(D233:D236)</f>
        <v>0</v>
      </c>
      <c r="E232" s="131">
        <f t="shared" si="93"/>
        <v>0</v>
      </c>
      <c r="F232" s="131">
        <f t="shared" si="93"/>
        <v>0</v>
      </c>
      <c r="G232" s="131">
        <f t="shared" si="93"/>
        <v>0</v>
      </c>
      <c r="H232" s="131">
        <f t="shared" si="93"/>
        <v>0</v>
      </c>
      <c r="I232" s="131">
        <f t="shared" si="93"/>
        <v>0</v>
      </c>
      <c r="J232" s="131">
        <f t="shared" si="93"/>
        <v>0</v>
      </c>
      <c r="K232" s="131">
        <f t="shared" si="93"/>
        <v>0</v>
      </c>
      <c r="L232" s="131">
        <f t="shared" si="93"/>
        <v>0</v>
      </c>
      <c r="M232" s="131">
        <f t="shared" si="93"/>
        <v>0</v>
      </c>
      <c r="N232" s="163">
        <f t="shared" si="93"/>
        <v>0</v>
      </c>
      <c r="O232" s="186">
        <f t="shared" si="93"/>
        <v>0</v>
      </c>
      <c r="P232" s="186">
        <f t="shared" si="93"/>
        <v>0</v>
      </c>
      <c r="Q232" s="186">
        <f t="shared" si="93"/>
        <v>0</v>
      </c>
      <c r="R232" s="186">
        <f t="shared" si="93"/>
        <v>0</v>
      </c>
      <c r="S232" s="186">
        <f t="shared" si="93"/>
        <v>0</v>
      </c>
      <c r="T232" s="133">
        <f t="shared" si="93"/>
        <v>0</v>
      </c>
      <c r="U232" s="134">
        <f t="shared" si="66"/>
        <v>0</v>
      </c>
      <c r="W232" s="135">
        <f t="shared" si="85"/>
        <v>0</v>
      </c>
    </row>
    <row r="233" spans="1:23">
      <c r="A233" s="173"/>
      <c r="B233" s="170" t="s">
        <v>20</v>
      </c>
      <c r="C233" s="180"/>
      <c r="D233" s="178"/>
      <c r="E233" s="178"/>
      <c r="F233" s="178"/>
      <c r="G233" s="178"/>
      <c r="H233" s="178"/>
      <c r="I233" s="178"/>
      <c r="J233" s="178"/>
      <c r="K233" s="178">
        <f>COUNTIFS(เรื่องร้องเรียน!E:E,"5",เรื่องร้องเรียน!N:N,"ลาดพร้าว")</f>
        <v>0</v>
      </c>
      <c r="L233" s="178">
        <f>COUNTIFS(เรื่องร้องเรียน!E:E,"5",เรื่องร้องเรียน!N:N,"ลาดพร้าว",เรื่องร้องเรียน!CL:CL,"1")</f>
        <v>0</v>
      </c>
      <c r="M233" s="178">
        <f t="shared" ref="M233:N235" si="94">SUM(C233,E233,G233,I233,K233)</f>
        <v>0</v>
      </c>
      <c r="N233" s="179">
        <f t="shared" si="94"/>
        <v>0</v>
      </c>
      <c r="O233" s="180"/>
      <c r="P233" s="178"/>
      <c r="Q233" s="178"/>
      <c r="R233" s="178"/>
      <c r="S233" s="178">
        <f>COUNTIFS(เรื่องร้องเรียน!E:E,"5",เรื่องร้องเรียน!N:N,"ลาดพร้าว",เรื่องร้องเรียน!AQ:AQ,"1",เรื่องร้องเรียน!CL:CL,"")</f>
        <v>0</v>
      </c>
      <c r="T233" s="181">
        <f t="shared" si="69"/>
        <v>0</v>
      </c>
      <c r="U233" s="182">
        <f t="shared" si="66"/>
        <v>0</v>
      </c>
      <c r="V233" s="10" t="s">
        <v>100</v>
      </c>
      <c r="W233" s="129">
        <f t="shared" si="85"/>
        <v>0</v>
      </c>
    </row>
    <row r="234" spans="1:23">
      <c r="A234" s="148"/>
      <c r="B234" s="171" t="s">
        <v>69</v>
      </c>
      <c r="C234" s="246">
        <f>COUNTIFS(เรื่องร้องเรียน!E:E,"1",เรื่องร้องเรียน!N:N,"ลาดพร้าว",เรื่องร้องเรียน!AN:AN,"โคกคราม")</f>
        <v>0</v>
      </c>
      <c r="D234" s="109">
        <f>COUNTIFS(เรื่องร้องเรียน!E:E,"1",เรื่องร้องเรียน!N:N,"ลาดพร้าว",เรื่องร้องเรียน!AN:AN,"โคกคราม",เรื่องร้องเรียน!CL:CL,"1")</f>
        <v>0</v>
      </c>
      <c r="E234" s="109">
        <f>COUNTIFS(เรื่องร้องเรียน!E:E,"2",เรื่องร้องเรียน!N:N,"ลาดพร้าว",เรื่องร้องเรียน!AN:AN,"โคกคราม")</f>
        <v>0</v>
      </c>
      <c r="F234" s="109">
        <f>COUNTIFS(เรื่องร้องเรียน!E:E,"2",เรื่องร้องเรียน!N:N,"ลาดพร้าว",เรื่องร้องเรียน!AN:AN,"โคกคราม",เรื่องร้องเรียน!CL:CL,"1")</f>
        <v>0</v>
      </c>
      <c r="G234" s="109">
        <f>COUNTIFS(เรื่องร้องเรียน!E:E,"3",เรื่องร้องเรียน!N:N,"ลาดพร้าว",เรื่องร้องเรียน!AN:AN,"โคกคราม")</f>
        <v>0</v>
      </c>
      <c r="H234" s="109">
        <f>COUNTIFS(เรื่องร้องเรียน!E:E,"3",เรื่องร้องเรียน!N:N,"ลาดพร้าว",เรื่องร้องเรียน!AN:AN,"โคกคราม",เรื่องร้องเรียน!CL:CL,"1")</f>
        <v>0</v>
      </c>
      <c r="I234" s="109">
        <f>COUNTIFS(เรื่องร้องเรียน!E:E,"4",เรื่องร้องเรียน!N:N,"ลาดพร้าว",เรื่องร้องเรียน!AN:AN,"โคกคราม")</f>
        <v>0</v>
      </c>
      <c r="J234" s="144">
        <f>COUNTIFS(เรื่องร้องเรียน!E:E,"4",เรื่องร้องเรียน!N:N,"ลาดพร้าว",เรื่องร้องเรียน!AN:AN,"โคกคราม",เรื่องร้องเรียน!CL:CL,"1")</f>
        <v>0</v>
      </c>
      <c r="K234" s="144"/>
      <c r="L234" s="144"/>
      <c r="M234" s="109">
        <f t="shared" si="94"/>
        <v>0</v>
      </c>
      <c r="N234" s="145">
        <f t="shared" si="94"/>
        <v>0</v>
      </c>
      <c r="O234" s="146">
        <f>COUNTIFS(เรื่องร้องเรียน!E:E,"1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P234" s="144">
        <f>COUNTIFS(เรื่องร้องเรียน!E:E,"2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Q234" s="144">
        <f>COUNTIFS(เรื่องร้องเรียน!E:E,"3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R234" s="144">
        <f>COUNTIFS(เรื่องร้องเรียน!E:E,"4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S234" s="144"/>
      <c r="T234" s="147">
        <f t="shared" si="69"/>
        <v>0</v>
      </c>
      <c r="U234" s="183">
        <f t="shared" ref="U234:U299" si="95">M234-N234-T234</f>
        <v>0</v>
      </c>
      <c r="W234" s="129">
        <f t="shared" si="85"/>
        <v>0</v>
      </c>
    </row>
    <row r="235" spans="1:23">
      <c r="A235" s="148"/>
      <c r="B235" s="171" t="s">
        <v>132</v>
      </c>
      <c r="C235" s="246">
        <f>COUNTIFS(เรื่องร้องเรียน!E:E,"1",เรื่องร้องเรียน!N:N,"ลาดพร้าว",เรื่องร้องเรียน!AN:AN,"โชคชัย")</f>
        <v>0</v>
      </c>
      <c r="D235" s="109">
        <f>COUNTIFS(เรื่องร้องเรียน!E:E,"1",เรื่องร้องเรียน!N:N,"ลาดพร้าว",เรื่องร้องเรียน!AN:AN,"โชคชัย",เรื่องร้องเรียน!CL:CL,"1")</f>
        <v>0</v>
      </c>
      <c r="E235" s="109">
        <f>COUNTIFS(เรื่องร้องเรียน!E:E,"2",เรื่องร้องเรียน!N:N,"ลาดพร้าว",เรื่องร้องเรียน!AN:AN,"โชคชัย")</f>
        <v>0</v>
      </c>
      <c r="F235" s="109">
        <f>COUNTIFS(เรื่องร้องเรียน!E:E,"2",เรื่องร้องเรียน!N:N,"ลาดพร้าว",เรื่องร้องเรียน!AN:AN,"โชคชัย",เรื่องร้องเรียน!CL:CL,"1")</f>
        <v>0</v>
      </c>
      <c r="G235" s="109">
        <f>COUNTIFS(เรื่องร้องเรียน!E:E,"3",เรื่องร้องเรียน!N:N,"ลาดพร้าว",เรื่องร้องเรียน!AN:AN,"โชคชัย")</f>
        <v>0</v>
      </c>
      <c r="H235" s="109">
        <f>COUNTIFS(เรื่องร้องเรียน!E:E,"3",เรื่องร้องเรียน!N:N,"ลาดพร้าว",เรื่องร้องเรียน!AN:AN,"โชคชัย",เรื่องร้องเรียน!CL:CL,"1")</f>
        <v>0</v>
      </c>
      <c r="I235" s="109">
        <f>COUNTIFS(เรื่องร้องเรียน!E:E,"4",เรื่องร้องเรียน!N:N,"ลาดพร้าว",เรื่องร้องเรียน!AN:AN,"โชคชัย")</f>
        <v>0</v>
      </c>
      <c r="J235" s="144">
        <f>COUNTIFS(เรื่องร้องเรียน!E:E,"4",เรื่องร้องเรียน!N:N,"ลาดพร้าว",เรื่องร้องเรียน!AN:AN,"โชคชัย",เรื่องร้องเรียน!CL:CL,"1")</f>
        <v>0</v>
      </c>
      <c r="K235" s="144"/>
      <c r="L235" s="144"/>
      <c r="M235" s="109">
        <f t="shared" si="94"/>
        <v>0</v>
      </c>
      <c r="N235" s="145">
        <f t="shared" si="94"/>
        <v>0</v>
      </c>
      <c r="O235" s="146">
        <f>COUNTIFS(เรื่องร้องเรียน!E:E,"1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P235" s="144">
        <f>COUNTIFS(เรื่องร้องเรียน!E:E,"2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Q235" s="144">
        <f>COUNTIFS(เรื่องร้องเรียน!E:E,"3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R235" s="144">
        <f>COUNTIFS(เรื่องร้องเรียน!E:E,"4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S235" s="144"/>
      <c r="T235" s="147">
        <f t="shared" si="69"/>
        <v>0</v>
      </c>
      <c r="U235" s="183">
        <f t="shared" si="95"/>
        <v>0</v>
      </c>
      <c r="W235" s="129">
        <f t="shared" si="85"/>
        <v>0</v>
      </c>
    </row>
    <row r="236" spans="1:23" ht="21.6" thickBot="1">
      <c r="A236" s="174"/>
      <c r="B236" s="172" t="s">
        <v>100</v>
      </c>
      <c r="C236" s="231">
        <f>COUNTIFS(เรื่องร้องเรียน!E:E,"1",เรื่องร้องเรียน!N:N,"ลาดพร้าว",เรื่องร้องเรียน!AN:AN,"พหลโยธิน")</f>
        <v>0</v>
      </c>
      <c r="D236" s="124">
        <f>COUNTIFS(เรื่องร้องเรียน!E:E,"1",เรื่องร้องเรียน!N:N,"ลาดพร้าว",เรื่องร้องเรียน!AN:AN,"พหลโยธิน",เรื่องร้องเรียน!CL:CL,"1")</f>
        <v>0</v>
      </c>
      <c r="E236" s="124">
        <f>COUNTIFS(เรื่องร้องเรียน!E:E,"2",เรื่องร้องเรียน!N:N,"ลาดพร้าว",เรื่องร้องเรียน!AN:AN,"พหลโยธิน")</f>
        <v>0</v>
      </c>
      <c r="F236" s="124">
        <f>COUNTIFS(เรื่องร้องเรียน!E:E,"2",เรื่องร้องเรียน!N:N,"ลาดพร้าว",เรื่องร้องเรียน!AN:AN,"พหลโยธิน",เรื่องร้องเรียน!CL:CL,"1")</f>
        <v>0</v>
      </c>
      <c r="G236" s="124">
        <f>COUNTIFS(เรื่องร้องเรียน!E:E,"3",เรื่องร้องเรียน!N:N,"ลาดพร้าว",เรื่องร้องเรียน!AN:AN,"พหลโยธิน")</f>
        <v>0</v>
      </c>
      <c r="H236" s="124">
        <f>COUNTIFS(เรื่องร้องเรียน!E:E,"3",เรื่องร้องเรียน!N:N,"ลาดพร้าว",เรื่องร้องเรียน!AN:AN,"พหลโยธิน",เรื่องร้องเรียน!CL:CL,"1")</f>
        <v>0</v>
      </c>
      <c r="I236" s="124">
        <f>COUNTIFS(เรื่องร้องเรียน!E:E,"4",เรื่องร้องเรียน!N:N,"ลาดพร้าว",เรื่องร้องเรียน!AN:AN,"พหลโยธิน")</f>
        <v>0</v>
      </c>
      <c r="J236" s="157">
        <f>COUNTIFS(เรื่องร้องเรียน!E:E,"4",เรื่องร้องเรียน!N:N,"ลาดพร้าว",เรื่องร้องเรียน!AN:AN,"พหลโยธิน",เรื่องร้องเรียน!CL:CL,"1")</f>
        <v>0</v>
      </c>
      <c r="K236" s="157"/>
      <c r="L236" s="157"/>
      <c r="M236" s="124">
        <f>SUM(C236,E236,G236,I236,K236)</f>
        <v>0</v>
      </c>
      <c r="N236" s="158">
        <f>SUM(D236,F236,H236,J236,L236)</f>
        <v>0</v>
      </c>
      <c r="O236" s="159">
        <f>COUNTIFS(เรื่องร้องเรียน!E:E,"1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P236" s="157">
        <f>COUNTIFS(เรื่องร้องเรียน!E:E,"2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Q236" s="157">
        <f>COUNTIFS(เรื่องร้องเรียน!E:E,"3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R236" s="157">
        <f>COUNTIFS(เรื่องร้องเรียน!E:E,"4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S236" s="157"/>
      <c r="T236" s="160">
        <f>SUM(O236:S236)</f>
        <v>0</v>
      </c>
      <c r="U236" s="184">
        <f>M236-N236-T236</f>
        <v>0</v>
      </c>
      <c r="W236" s="129">
        <f t="shared" si="85"/>
        <v>0</v>
      </c>
    </row>
    <row r="237" spans="1:23" ht="21.6" thickBot="1">
      <c r="A237" s="168" t="s">
        <v>179</v>
      </c>
      <c r="B237" s="166" t="s">
        <v>152</v>
      </c>
      <c r="C237" s="132">
        <f>SUM(C238:C241)</f>
        <v>0</v>
      </c>
      <c r="D237" s="131">
        <f t="shared" ref="D237:T237" si="96">SUM(D238:D241)</f>
        <v>0</v>
      </c>
      <c r="E237" s="131">
        <f t="shared" si="96"/>
        <v>0</v>
      </c>
      <c r="F237" s="131">
        <f t="shared" si="96"/>
        <v>0</v>
      </c>
      <c r="G237" s="131">
        <f t="shared" si="96"/>
        <v>0</v>
      </c>
      <c r="H237" s="131">
        <f t="shared" si="96"/>
        <v>0</v>
      </c>
      <c r="I237" s="131">
        <f t="shared" si="96"/>
        <v>0</v>
      </c>
      <c r="J237" s="131">
        <f t="shared" si="96"/>
        <v>0</v>
      </c>
      <c r="K237" s="131">
        <f t="shared" si="96"/>
        <v>0</v>
      </c>
      <c r="L237" s="131">
        <f t="shared" si="96"/>
        <v>0</v>
      </c>
      <c r="M237" s="131">
        <f t="shared" si="96"/>
        <v>0</v>
      </c>
      <c r="N237" s="163">
        <f t="shared" si="96"/>
        <v>0</v>
      </c>
      <c r="O237" s="186">
        <f t="shared" si="96"/>
        <v>0</v>
      </c>
      <c r="P237" s="186">
        <f t="shared" si="96"/>
        <v>0</v>
      </c>
      <c r="Q237" s="186">
        <f t="shared" si="96"/>
        <v>0</v>
      </c>
      <c r="R237" s="186">
        <f t="shared" si="96"/>
        <v>0</v>
      </c>
      <c r="S237" s="186">
        <f t="shared" si="96"/>
        <v>0</v>
      </c>
      <c r="T237" s="133">
        <f t="shared" si="96"/>
        <v>0</v>
      </c>
      <c r="U237" s="134">
        <f t="shared" si="95"/>
        <v>0</v>
      </c>
      <c r="W237" s="135">
        <f t="shared" si="85"/>
        <v>0</v>
      </c>
    </row>
    <row r="238" spans="1:23">
      <c r="A238" s="173"/>
      <c r="B238" s="170" t="s">
        <v>20</v>
      </c>
      <c r="C238" s="180"/>
      <c r="D238" s="178"/>
      <c r="E238" s="178"/>
      <c r="F238" s="178"/>
      <c r="G238" s="178"/>
      <c r="H238" s="178"/>
      <c r="I238" s="178"/>
      <c r="J238" s="178"/>
      <c r="K238" s="178">
        <f>COUNTIFS(เรื่องร้องเรียน!E:E,"5",เรื่องร้องเรียน!N:N,"วังทองหลาง")</f>
        <v>0</v>
      </c>
      <c r="L238" s="178">
        <f>COUNTIFS(เรื่องร้องเรียน!E:E,"5",เรื่องร้องเรียน!N:N,"วังทองหลาง",เรื่องร้องเรียน!CL:CL,"1")</f>
        <v>0</v>
      </c>
      <c r="M238" s="178">
        <f t="shared" ref="M238:N240" si="97">SUM(C238,E238,G238,I238,K238)</f>
        <v>0</v>
      </c>
      <c r="N238" s="179">
        <f t="shared" si="97"/>
        <v>0</v>
      </c>
      <c r="O238" s="180"/>
      <c r="P238" s="178"/>
      <c r="Q238" s="178"/>
      <c r="R238" s="178"/>
      <c r="S238" s="178">
        <f>COUNTIFS(เรื่องร้องเรียน!E:E,"5",เรื่องร้องเรียน!N:N,"วังทองหลาง",เรื่องร้องเรียน!AQ:AQ,"1",เรื่องร้องเรียน!CL:CL,"")</f>
        <v>0</v>
      </c>
      <c r="T238" s="181">
        <f t="shared" si="69"/>
        <v>0</v>
      </c>
      <c r="U238" s="182">
        <f t="shared" si="95"/>
        <v>0</v>
      </c>
      <c r="V238" s="10" t="s">
        <v>120</v>
      </c>
      <c r="W238" s="129">
        <f t="shared" si="85"/>
        <v>0</v>
      </c>
    </row>
    <row r="239" spans="1:23">
      <c r="A239" s="148"/>
      <c r="B239" s="171" t="s">
        <v>132</v>
      </c>
      <c r="C239" s="246">
        <f>COUNTIFS(เรื่องร้องเรียน!E:E,"1",เรื่องร้องเรียน!N:N,"วังทองหลาง",เรื่องร้องเรียน!AN:AN,"โชคชัย")</f>
        <v>0</v>
      </c>
      <c r="D239" s="109">
        <f>COUNTIFS(เรื่องร้องเรียน!E:E,"1",เรื่องร้องเรียน!N:N,"วังทองหลาง",เรื่องร้องเรียน!AN:AN,"โชคชัย",เรื่องร้องเรียน!CL:CL,"1")</f>
        <v>0</v>
      </c>
      <c r="E239" s="109">
        <f>COUNTIFS(เรื่องร้องเรียน!E:E,"2",เรื่องร้องเรียน!N:N,"วังทองหลาง",เรื่องร้องเรียน!AN:AN,"โชคชัย")</f>
        <v>0</v>
      </c>
      <c r="F239" s="109">
        <f>COUNTIFS(เรื่องร้องเรียน!E:E,"2",เรื่องร้องเรียน!N:N,"วังทองหลาง",เรื่องร้องเรียน!AN:AN,"โชคชัย",เรื่องร้องเรียน!CL:CL,"1")</f>
        <v>0</v>
      </c>
      <c r="G239" s="109">
        <f>COUNTIFS(เรื่องร้องเรียน!E:E,"3",เรื่องร้องเรียน!N:N,"วังทองหลาง",เรื่องร้องเรียน!AN:AN,"โชคชัย")</f>
        <v>0</v>
      </c>
      <c r="H239" s="109">
        <f>COUNTIFS(เรื่องร้องเรียน!E:E,"3",เรื่องร้องเรียน!N:N,"วังทองหลาง",เรื่องร้องเรียน!AN:AN,"โชคชัย",เรื่องร้องเรียน!CL:CL,"1")</f>
        <v>0</v>
      </c>
      <c r="I239" s="109">
        <f>COUNTIFS(เรื่องร้องเรียน!E:E,"4",เรื่องร้องเรียน!N:N,"วังทองหลาง",เรื่องร้องเรียน!AN:AN,"โชคชัย")</f>
        <v>0</v>
      </c>
      <c r="J239" s="144">
        <f>COUNTIFS(เรื่องร้องเรียน!E:E,"4",เรื่องร้องเรียน!N:N,"วังทองหลาง",เรื่องร้องเรียน!AN:AN,"โชคชัย",เรื่องร้องเรียน!CL:CL,"1")</f>
        <v>0</v>
      </c>
      <c r="K239" s="144"/>
      <c r="L239" s="144"/>
      <c r="M239" s="109">
        <f t="shared" si="97"/>
        <v>0</v>
      </c>
      <c r="N239" s="145">
        <f t="shared" si="97"/>
        <v>0</v>
      </c>
      <c r="O239" s="146">
        <f>COUNTIFS(เรื่องร้องเรียน!E:E,"1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P239" s="144">
        <f>COUNTIFS(เรื่องร้องเรียน!E:E,"2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Q239" s="144">
        <f>COUNTIFS(เรื่องร้องเรียน!E:E,"3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R239" s="144">
        <f>COUNTIFS(เรื่องร้องเรียน!E:E,"4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S239" s="144"/>
      <c r="T239" s="147">
        <f t="shared" ref="T239:T299" si="98">SUM(O239:S239)</f>
        <v>0</v>
      </c>
      <c r="U239" s="183">
        <f t="shared" si="95"/>
        <v>0</v>
      </c>
      <c r="W239" s="129">
        <f t="shared" si="85"/>
        <v>0</v>
      </c>
    </row>
    <row r="240" spans="1:23">
      <c r="A240" s="148"/>
      <c r="B240" s="171" t="s">
        <v>179</v>
      </c>
      <c r="C240" s="246">
        <f>COUNTIFS(เรื่องร้องเรียน!E:E,"1",เรื่องร้องเรียน!N:N,"วังทองหลาง",เรื่องร้องเรียน!AN:AN,"วังทองหลาง")</f>
        <v>0</v>
      </c>
      <c r="D240" s="109">
        <f>COUNTIFS(เรื่องร้องเรียน!E:E,"1",เรื่องร้องเรียน!N:N,"วังทองหลาง",เรื่องร้องเรียน!AN:AN,"วังทองหลาง",เรื่องร้องเรียน!CL:CL,"1")</f>
        <v>0</v>
      </c>
      <c r="E240" s="109">
        <f>COUNTIFS(เรื่องร้องเรียน!E:E,"2",เรื่องร้องเรียน!N:N,"วังทองหลาง",เรื่องร้องเรียน!AN:AN,"วังทองหลาง")</f>
        <v>0</v>
      </c>
      <c r="F240" s="109">
        <f>COUNTIFS(เรื่องร้องเรียน!E:E,"2",เรื่องร้องเรียน!N:N,"วังทองหลาง",เรื่องร้องเรียน!AN:AN,"วังทองหลาง",เรื่องร้องเรียน!CL:CL,"1")</f>
        <v>0</v>
      </c>
      <c r="G240" s="109">
        <f>COUNTIFS(เรื่องร้องเรียน!E:E,"3",เรื่องร้องเรียน!N:N,"วังทองหลาง",เรื่องร้องเรียน!AN:AN,"วังทองหลาง")</f>
        <v>0</v>
      </c>
      <c r="H240" s="109">
        <f>COUNTIFS(เรื่องร้องเรียน!E:E,"3",เรื่องร้องเรียน!N:N,"วังทองหลาง",เรื่องร้องเรียน!AN:AN,"วังทองหลาง",เรื่องร้องเรียน!CL:CL,"1")</f>
        <v>0</v>
      </c>
      <c r="I240" s="109">
        <f>COUNTIFS(เรื่องร้องเรียน!E:E,"4",เรื่องร้องเรียน!N:N,"วังทองหลาง",เรื่องร้องเรียน!AN:AN,"วังทองหลาง")</f>
        <v>0</v>
      </c>
      <c r="J240" s="144">
        <f>COUNTIFS(เรื่องร้องเรียน!E:E,"4",เรื่องร้องเรียน!N:N,"วังทองหลาง",เรื่องร้องเรียน!AN:AN,"วังทองหลาง",เรื่องร้องเรียน!CL:CL,"1")</f>
        <v>0</v>
      </c>
      <c r="K240" s="144"/>
      <c r="L240" s="144"/>
      <c r="M240" s="109">
        <f t="shared" si="97"/>
        <v>0</v>
      </c>
      <c r="N240" s="145">
        <f t="shared" si="97"/>
        <v>0</v>
      </c>
      <c r="O240" s="146">
        <f>COUNTIFS(เรื่องร้องเรียน!E:E,"1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P240" s="144">
        <f>COUNTIFS(เรื่องร้องเรียน!E:E,"2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Q240" s="144">
        <f>COUNTIFS(เรื่องร้องเรียน!E:E,"3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R240" s="144">
        <f>COUNTIFS(เรื่องร้องเรียน!E:E,"4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S240" s="144"/>
      <c r="T240" s="147">
        <f t="shared" si="98"/>
        <v>0</v>
      </c>
      <c r="U240" s="183">
        <f t="shared" si="95"/>
        <v>0</v>
      </c>
      <c r="W240" s="129">
        <f t="shared" si="85"/>
        <v>0</v>
      </c>
    </row>
    <row r="241" spans="1:23" ht="21.6" thickBot="1">
      <c r="A241" s="174"/>
      <c r="B241" s="172" t="s">
        <v>120</v>
      </c>
      <c r="C241" s="231">
        <f>COUNTIFS(เรื่องร้องเรียน!E:E,"1",เรื่องร้องเรียน!N:N,"วังทองหลาง",เรื่องร้องเรียน!AN:AN,"ลาดพร้าว")</f>
        <v>0</v>
      </c>
      <c r="D241" s="124">
        <f>COUNTIFS(เรื่องร้องเรียน!E:E,"1",เรื่องร้องเรียน!N:N,"วังทองหลาง",เรื่องร้องเรียน!AN:AN,"ลาดพร้าว",เรื่องร้องเรียน!CL:CL,"1")</f>
        <v>0</v>
      </c>
      <c r="E241" s="124">
        <f>COUNTIFS(เรื่องร้องเรียน!E:E,"2",เรื่องร้องเรียน!N:N,"วังทองหลาง",เรื่องร้องเรียน!AN:AN,"ลาดพร้าว")</f>
        <v>0</v>
      </c>
      <c r="F241" s="124">
        <f>COUNTIFS(เรื่องร้องเรียน!E:E,"2",เรื่องร้องเรียน!N:N,"วังทองหลาง",เรื่องร้องเรียน!AN:AN,"ลาดพร้าว",เรื่องร้องเรียน!CL:CL,"1")</f>
        <v>0</v>
      </c>
      <c r="G241" s="124">
        <f>COUNTIFS(เรื่องร้องเรียน!E:E,"3",เรื่องร้องเรียน!N:N,"วังทองหลาง",เรื่องร้องเรียน!AN:AN,"ลาดพร้าว")</f>
        <v>0</v>
      </c>
      <c r="H241" s="124">
        <f>COUNTIFS(เรื่องร้องเรียน!E:E,"3",เรื่องร้องเรียน!N:N,"วังทองหลาง",เรื่องร้องเรียน!AN:AN,"ลาดพร้าว",เรื่องร้องเรียน!CL:CL,"1")</f>
        <v>0</v>
      </c>
      <c r="I241" s="124">
        <f>COUNTIFS(เรื่องร้องเรียน!E:E,"4",เรื่องร้องเรียน!N:N,"วังทองหลาง",เรื่องร้องเรียน!AN:AN,"ลาดพร้าว")</f>
        <v>0</v>
      </c>
      <c r="J241" s="157">
        <f>COUNTIFS(เรื่องร้องเรียน!E:E,"4",เรื่องร้องเรียน!N:N,"วังทองหลาง",เรื่องร้องเรียน!AN:AN,"ลาดพร้าว",เรื่องร้องเรียน!CL:CL,"1")</f>
        <v>0</v>
      </c>
      <c r="K241" s="157"/>
      <c r="L241" s="157"/>
      <c r="M241" s="124">
        <f>SUM(C241,E241,G241,I241,K241)</f>
        <v>0</v>
      </c>
      <c r="N241" s="158">
        <f>SUM(D241,F241,H241,J241,L241)</f>
        <v>0</v>
      </c>
      <c r="O241" s="159">
        <f>COUNTIFS(เรื่องร้องเรียน!E:E,"1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P241" s="157">
        <f>COUNTIFS(เรื่องร้องเรียน!E:E,"2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Q241" s="157">
        <f>COUNTIFS(เรื่องร้องเรียน!E:E,"3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R241" s="157">
        <f>COUNTIFS(เรื่องร้องเรียน!E:E,"4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S241" s="157"/>
      <c r="T241" s="160">
        <f>SUM(O241:S241)</f>
        <v>0</v>
      </c>
      <c r="U241" s="184">
        <f>M241-N241-T241</f>
        <v>0</v>
      </c>
      <c r="W241" s="129">
        <f t="shared" si="85"/>
        <v>0</v>
      </c>
    </row>
    <row r="242" spans="1:23" ht="21.6" thickBot="1">
      <c r="A242" s="168" t="s">
        <v>136</v>
      </c>
      <c r="B242" s="166" t="s">
        <v>152</v>
      </c>
      <c r="C242" s="132">
        <f>SUM(C243:C247)</f>
        <v>0</v>
      </c>
      <c r="D242" s="131">
        <f t="shared" ref="D242:T242" si="99">SUM(D243:D247)</f>
        <v>0</v>
      </c>
      <c r="E242" s="131">
        <f t="shared" si="99"/>
        <v>0</v>
      </c>
      <c r="F242" s="131">
        <f t="shared" si="99"/>
        <v>0</v>
      </c>
      <c r="G242" s="131">
        <f t="shared" si="99"/>
        <v>0</v>
      </c>
      <c r="H242" s="131">
        <f t="shared" si="99"/>
        <v>0</v>
      </c>
      <c r="I242" s="131">
        <f t="shared" si="99"/>
        <v>0</v>
      </c>
      <c r="J242" s="131">
        <f t="shared" si="99"/>
        <v>0</v>
      </c>
      <c r="K242" s="131">
        <f t="shared" si="99"/>
        <v>0</v>
      </c>
      <c r="L242" s="131">
        <f t="shared" si="99"/>
        <v>0</v>
      </c>
      <c r="M242" s="131">
        <f t="shared" si="99"/>
        <v>0</v>
      </c>
      <c r="N242" s="163">
        <f t="shared" si="99"/>
        <v>0</v>
      </c>
      <c r="O242" s="186">
        <f t="shared" si="99"/>
        <v>0</v>
      </c>
      <c r="P242" s="186">
        <f t="shared" si="99"/>
        <v>0</v>
      </c>
      <c r="Q242" s="186">
        <f t="shared" si="99"/>
        <v>0</v>
      </c>
      <c r="R242" s="186">
        <f t="shared" si="99"/>
        <v>0</v>
      </c>
      <c r="S242" s="186">
        <f t="shared" si="99"/>
        <v>0</v>
      </c>
      <c r="T242" s="133">
        <f t="shared" si="99"/>
        <v>0</v>
      </c>
      <c r="U242" s="134">
        <f t="shared" si="95"/>
        <v>0</v>
      </c>
      <c r="W242" s="135">
        <f t="shared" si="85"/>
        <v>0</v>
      </c>
    </row>
    <row r="243" spans="1:23">
      <c r="A243" s="173"/>
      <c r="B243" s="170" t="s">
        <v>20</v>
      </c>
      <c r="C243" s="180"/>
      <c r="D243" s="178"/>
      <c r="E243" s="178"/>
      <c r="F243" s="178"/>
      <c r="G243" s="178"/>
      <c r="H243" s="178"/>
      <c r="I243" s="178"/>
      <c r="J243" s="178"/>
      <c r="K243" s="178">
        <f>COUNTIFS(เรื่องร้องเรียน!E:E,"5",เรื่องร้องเรียน!N:N,"วัฒนา")</f>
        <v>0</v>
      </c>
      <c r="L243" s="178">
        <f>COUNTIFS(เรื่องร้องเรียน!E:E,"5",เรื่องร้องเรียน!N:N,"วัฒนา",เรื่องร้องเรียน!CL:CL,"1")</f>
        <v>0</v>
      </c>
      <c r="M243" s="178">
        <f t="shared" ref="M243:N246" si="100">SUM(C243,E243,G243,I243,K243)</f>
        <v>0</v>
      </c>
      <c r="N243" s="179">
        <f t="shared" si="100"/>
        <v>0</v>
      </c>
      <c r="O243" s="180"/>
      <c r="P243" s="178"/>
      <c r="Q243" s="178"/>
      <c r="R243" s="178"/>
      <c r="S243" s="178">
        <f>COUNTIFS(เรื่องร้องเรียน!E:E,"5",เรื่องร้องเรียน!N:N,"วัฒนา",เรื่องร้องเรียน!AQ:AQ,"1",เรื่องร้องเรียน!CL:CL,"")</f>
        <v>0</v>
      </c>
      <c r="T243" s="181">
        <f t="shared" si="98"/>
        <v>0</v>
      </c>
      <c r="U243" s="182">
        <f t="shared" si="95"/>
        <v>0</v>
      </c>
      <c r="V243" s="10" t="s">
        <v>115</v>
      </c>
      <c r="W243" s="129">
        <f t="shared" si="85"/>
        <v>0</v>
      </c>
    </row>
    <row r="244" spans="1:23">
      <c r="A244" s="148"/>
      <c r="B244" s="171" t="s">
        <v>128</v>
      </c>
      <c r="C244" s="246">
        <f>COUNTIFS(เรื่องร้องเรียน!E:E,"1",เรื่องร้องเรียน!N:N,"วัฒนา",เรื่องร้องเรียน!AN:AN,"คลองตัน")</f>
        <v>0</v>
      </c>
      <c r="D244" s="109">
        <f>COUNTIFS(เรื่องร้องเรียน!E:E,"1",เรื่องร้องเรียน!N:N,"วัฒนา",เรื่องร้องเรียน!AN:AN,"คลองตัน",เรื่องร้องเรียน!CL:CL,"1")</f>
        <v>0</v>
      </c>
      <c r="E244" s="109">
        <f>COUNTIFS(เรื่องร้องเรียน!E:E,"2",เรื่องร้องเรียน!N:N,"วัฒนา",เรื่องร้องเรียน!AN:AN,"คลองตัน")</f>
        <v>0</v>
      </c>
      <c r="F244" s="109">
        <f>COUNTIFS(เรื่องร้องเรียน!E:E,"2",เรื่องร้องเรียน!N:N,"วัฒนา",เรื่องร้องเรียน!AN:AN,"คลองตัน",เรื่องร้องเรียน!CL:CL,"1")</f>
        <v>0</v>
      </c>
      <c r="G244" s="109">
        <f>COUNTIFS(เรื่องร้องเรียน!E:E,"3",เรื่องร้องเรียน!N:N,"วัฒนา",เรื่องร้องเรียน!AN:AN,"คลองตัน")</f>
        <v>0</v>
      </c>
      <c r="H244" s="109">
        <f>COUNTIFS(เรื่องร้องเรียน!E:E,"3",เรื่องร้องเรียน!N:N,"วัฒนา",เรื่องร้องเรียน!AN:AN,"คลองตัน",เรื่องร้องเรียน!CL:CL,"1")</f>
        <v>0</v>
      </c>
      <c r="I244" s="109">
        <f>COUNTIFS(เรื่องร้องเรียน!E:E,"4",เรื่องร้องเรียน!N:N,"วัฒนา",เรื่องร้องเรียน!AN:AN,"คลองตัน")</f>
        <v>0</v>
      </c>
      <c r="J244" s="144">
        <f>COUNTIFS(เรื่องร้องเรียน!E:E,"4",เรื่องร้องเรียน!N:N,"วัฒนา",เรื่องร้องเรียน!AN:AN,"คลองตัน",เรื่องร้องเรียน!CL:CL,"1")</f>
        <v>0</v>
      </c>
      <c r="K244" s="144"/>
      <c r="L244" s="144"/>
      <c r="M244" s="109">
        <f t="shared" si="100"/>
        <v>0</v>
      </c>
      <c r="N244" s="145">
        <f t="shared" si="100"/>
        <v>0</v>
      </c>
      <c r="O244" s="146">
        <f>COUNTIFS(เรื่องร้องเรียน!E:E,"1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P244" s="144">
        <f>COUNTIFS(เรื่องร้องเรียน!E:E,"2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Q244" s="144">
        <f>COUNTIFS(เรื่องร้องเรียน!E:E,"3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R244" s="144">
        <f>COUNTIFS(เรื่องร้องเรียน!E:E,"4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S244" s="144"/>
      <c r="T244" s="147">
        <f t="shared" si="98"/>
        <v>0</v>
      </c>
      <c r="U244" s="183">
        <f t="shared" si="95"/>
        <v>0</v>
      </c>
      <c r="W244" s="129">
        <f t="shared" si="85"/>
        <v>0</v>
      </c>
    </row>
    <row r="245" spans="1:23">
      <c r="A245" s="148"/>
      <c r="B245" s="171" t="s">
        <v>137</v>
      </c>
      <c r="C245" s="246">
        <f>COUNTIFS(เรื่องร้องเรียน!E:E,"1",เรื่องร้องเรียน!N:N,"วัฒนา",เรื่องร้องเรียน!AN:AN,"ทองหล่อ")</f>
        <v>0</v>
      </c>
      <c r="D245" s="109">
        <f>COUNTIFS(เรื่องร้องเรียน!E:E,"1",เรื่องร้องเรียน!N:N,"วัฒนา",เรื่องร้องเรียน!AN:AN,"ทองหล่อ",เรื่องร้องเรียน!CL:CL,"1")</f>
        <v>0</v>
      </c>
      <c r="E245" s="109">
        <f>COUNTIFS(เรื่องร้องเรียน!E:E,"2",เรื่องร้องเรียน!N:N,"วัฒนา",เรื่องร้องเรียน!AN:AN,"ทองหล่อ")</f>
        <v>0</v>
      </c>
      <c r="F245" s="109">
        <f>COUNTIFS(เรื่องร้องเรียน!E:E,"2",เรื่องร้องเรียน!N:N,"วัฒนา",เรื่องร้องเรียน!AN:AN,"ทองหล่อ",เรื่องร้องเรียน!CL:CL,"1")</f>
        <v>0</v>
      </c>
      <c r="G245" s="109">
        <f>COUNTIFS(เรื่องร้องเรียน!E:E,"3",เรื่องร้องเรียน!N:N,"วัฒนา",เรื่องร้องเรียน!AN:AN,"ทองหล่อ")</f>
        <v>0</v>
      </c>
      <c r="H245" s="109">
        <f>COUNTIFS(เรื่องร้องเรียน!E:E,"3",เรื่องร้องเรียน!N:N,"วัฒนา",เรื่องร้องเรียน!AN:AN,"ทองหล่อ",เรื่องร้องเรียน!CL:CL,"1")</f>
        <v>0</v>
      </c>
      <c r="I245" s="109">
        <f>COUNTIFS(เรื่องร้องเรียน!E:E,"4",เรื่องร้องเรียน!N:N,"วัฒนา",เรื่องร้องเรียน!AN:AN,"ทองหล่อ")</f>
        <v>0</v>
      </c>
      <c r="J245" s="144">
        <f>COUNTIFS(เรื่องร้องเรียน!E:E,"4",เรื่องร้องเรียน!N:N,"วัฒนา",เรื่องร้องเรียน!AN:AN,"ทองหล่อ",เรื่องร้องเรียน!CL:CL,"1")</f>
        <v>0</v>
      </c>
      <c r="K245" s="144"/>
      <c r="L245" s="144"/>
      <c r="M245" s="109">
        <f t="shared" si="100"/>
        <v>0</v>
      </c>
      <c r="N245" s="145">
        <f t="shared" si="100"/>
        <v>0</v>
      </c>
      <c r="O245" s="146">
        <f>COUNTIFS(เรื่องร้องเรียน!E:E,"1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P245" s="144">
        <f>COUNTIFS(เรื่องร้องเรียน!E:E,"2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Q245" s="144">
        <f>COUNTIFS(เรื่องร้องเรียน!E:E,"3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R245" s="144">
        <f>COUNTIFS(เรื่องร้องเรียน!E:E,"4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S245" s="144"/>
      <c r="T245" s="147">
        <f t="shared" si="98"/>
        <v>0</v>
      </c>
      <c r="U245" s="183">
        <f t="shared" si="95"/>
        <v>0</v>
      </c>
      <c r="W245" s="129">
        <f t="shared" si="85"/>
        <v>0</v>
      </c>
    </row>
    <row r="246" spans="1:23">
      <c r="A246" s="148"/>
      <c r="B246" s="171" t="s">
        <v>98</v>
      </c>
      <c r="C246" s="246">
        <f>COUNTIFS(เรื่องร้องเรียน!E:E,"1",เรื่องร้องเรียน!N:N,"วัฒนา",เรื่องร้องเรียน!AN:AN,"ลุมพินี")</f>
        <v>0</v>
      </c>
      <c r="D246" s="109">
        <f>COUNTIFS(เรื่องร้องเรียน!E:E,"1",เรื่องร้องเรียน!N:N,"วัฒนา",เรื่องร้องเรียน!AN:AN,"ลุมพินี",เรื่องร้องเรียน!CL:CL,"1")</f>
        <v>0</v>
      </c>
      <c r="E246" s="109">
        <f>COUNTIFS(เรื่องร้องเรียน!E:E,"2",เรื่องร้องเรียน!N:N,"วัฒนา",เรื่องร้องเรียน!AN:AN,"ลุมพินี")</f>
        <v>0</v>
      </c>
      <c r="F246" s="109">
        <f>COUNTIFS(เรื่องร้องเรียน!E:E,"2",เรื่องร้องเรียน!N:N,"วัฒนา",เรื่องร้องเรียน!AN:AN,"ลุมพินี",เรื่องร้องเรียน!CL:CL,"1")</f>
        <v>0</v>
      </c>
      <c r="G246" s="109">
        <f>COUNTIFS(เรื่องร้องเรียน!E:E,"3",เรื่องร้องเรียน!N:N,"วัฒนา",เรื่องร้องเรียน!AN:AN,"ลุมพินี")</f>
        <v>0</v>
      </c>
      <c r="H246" s="109">
        <f>COUNTIFS(เรื่องร้องเรียน!E:E,"3",เรื่องร้องเรียน!N:N,"วัฒนา",เรื่องร้องเรียน!AN:AN,"ลุมพินี",เรื่องร้องเรียน!CL:CL,"1")</f>
        <v>0</v>
      </c>
      <c r="I246" s="109">
        <f>COUNTIFS(เรื่องร้องเรียน!E:E,"4",เรื่องร้องเรียน!N:N,"วัฒนา",เรื่องร้องเรียน!AN:AN,"ลุมพินี")</f>
        <v>0</v>
      </c>
      <c r="J246" s="144">
        <f>COUNTIFS(เรื่องร้องเรียน!E:E,"4",เรื่องร้องเรียน!N:N,"วัฒนา",เรื่องร้องเรียน!AN:AN,"ลุมพินี",เรื่องร้องเรียน!CL:CL,"1")</f>
        <v>0</v>
      </c>
      <c r="K246" s="144"/>
      <c r="L246" s="144"/>
      <c r="M246" s="109">
        <f t="shared" si="100"/>
        <v>0</v>
      </c>
      <c r="N246" s="145">
        <f t="shared" si="100"/>
        <v>0</v>
      </c>
      <c r="O246" s="146">
        <f>COUNTIFS(เรื่องร้องเรียน!E:E,"1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P246" s="144">
        <f>COUNTIFS(เรื่องร้องเรียน!E:E,"2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Q246" s="144">
        <f>COUNTIFS(เรื่องร้องเรียน!E:E,"3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R246" s="144">
        <f>COUNTIFS(เรื่องร้องเรียน!E:E,"4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S246" s="144"/>
      <c r="T246" s="147">
        <f t="shared" si="98"/>
        <v>0</v>
      </c>
      <c r="U246" s="183">
        <f t="shared" si="95"/>
        <v>0</v>
      </c>
      <c r="W246" s="129">
        <f t="shared" si="85"/>
        <v>0</v>
      </c>
    </row>
    <row r="247" spans="1:23" ht="21.6" thickBot="1">
      <c r="A247" s="174"/>
      <c r="B247" s="172" t="s">
        <v>115</v>
      </c>
      <c r="C247" s="231">
        <f>COUNTIFS(เรื่องร้องเรียน!E:E,"1",เรื่องร้องเรียน!N:N,"วัฒนา",เรื่องร้องเรียน!AN:AN,"พระโขนง")</f>
        <v>0</v>
      </c>
      <c r="D247" s="124">
        <f>COUNTIFS(เรื่องร้องเรียน!E:E,"1",เรื่องร้องเรียน!N:N,"วัฒนา",เรื่องร้องเรียน!AN:AN,"พระโขนง",เรื่องร้องเรียน!CL:CL,"1")</f>
        <v>0</v>
      </c>
      <c r="E247" s="124">
        <f>COUNTIFS(เรื่องร้องเรียน!E:E,"2",เรื่องร้องเรียน!N:N,"วัฒนา",เรื่องร้องเรียน!AN:AN,"พระโขนง")</f>
        <v>0</v>
      </c>
      <c r="F247" s="124">
        <f>COUNTIFS(เรื่องร้องเรียน!E:E,"2",เรื่องร้องเรียน!N:N,"วัฒนา",เรื่องร้องเรียน!AN:AN,"พระโขนง",เรื่องร้องเรียน!CL:CL,"1")</f>
        <v>0</v>
      </c>
      <c r="G247" s="124">
        <f>COUNTIFS(เรื่องร้องเรียน!E:E,"3",เรื่องร้องเรียน!N:N,"วัฒนา",เรื่องร้องเรียน!AN:AN,"พระโขนง")</f>
        <v>0</v>
      </c>
      <c r="H247" s="124">
        <f>COUNTIFS(เรื่องร้องเรียน!E:E,"3",เรื่องร้องเรียน!N:N,"วัฒนา",เรื่องร้องเรียน!AN:AN,"พระโขนง",เรื่องร้องเรียน!CL:CL,"1")</f>
        <v>0</v>
      </c>
      <c r="I247" s="124">
        <f>COUNTIFS(เรื่องร้องเรียน!E:E,"4",เรื่องร้องเรียน!N:N,"วัฒนา",เรื่องร้องเรียน!AN:AN,"พระโขนง")</f>
        <v>0</v>
      </c>
      <c r="J247" s="157">
        <f>COUNTIFS(เรื่องร้องเรียน!E:E,"4",เรื่องร้องเรียน!N:N,"วัฒนา",เรื่องร้องเรียน!AN:AN,"พระโขนง",เรื่องร้องเรียน!CL:CL,"1")</f>
        <v>0</v>
      </c>
      <c r="K247" s="157"/>
      <c r="L247" s="157"/>
      <c r="M247" s="124">
        <f>SUM(C247,E247,G247,I247,K247)</f>
        <v>0</v>
      </c>
      <c r="N247" s="158">
        <f>SUM(D247,F247,H247,J247,L247)</f>
        <v>0</v>
      </c>
      <c r="O247" s="159">
        <f>COUNTIFS(เรื่องร้องเรียน!E:E,"1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P247" s="157">
        <f>COUNTIFS(เรื่องร้องเรียน!E:E,"2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Q247" s="157">
        <f>COUNTIFS(เรื่องร้องเรียน!E:E,"3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R247" s="157">
        <f>COUNTIFS(เรื่องร้องเรียน!E:E,"4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S247" s="157"/>
      <c r="T247" s="160">
        <f>SUM(O247:S247)</f>
        <v>0</v>
      </c>
      <c r="U247" s="184">
        <f>M247-N247-T247</f>
        <v>0</v>
      </c>
      <c r="W247" s="129">
        <f t="shared" si="85"/>
        <v>0</v>
      </c>
    </row>
    <row r="248" spans="1:23" ht="21.6" thickBot="1">
      <c r="A248" s="168" t="s">
        <v>90</v>
      </c>
      <c r="B248" s="166" t="s">
        <v>152</v>
      </c>
      <c r="C248" s="132">
        <f>SUM(C249:C254)</f>
        <v>0</v>
      </c>
      <c r="D248" s="131">
        <f t="shared" ref="D248:T248" si="101">SUM(D249:D254)</f>
        <v>0</v>
      </c>
      <c r="E248" s="131">
        <f t="shared" si="101"/>
        <v>0</v>
      </c>
      <c r="F248" s="131">
        <f t="shared" si="101"/>
        <v>0</v>
      </c>
      <c r="G248" s="131">
        <f t="shared" si="101"/>
        <v>0</v>
      </c>
      <c r="H248" s="131">
        <f t="shared" si="101"/>
        <v>0</v>
      </c>
      <c r="I248" s="131">
        <f t="shared" si="101"/>
        <v>0</v>
      </c>
      <c r="J248" s="131">
        <f t="shared" si="101"/>
        <v>0</v>
      </c>
      <c r="K248" s="131">
        <f t="shared" si="101"/>
        <v>0</v>
      </c>
      <c r="L248" s="131">
        <f t="shared" si="101"/>
        <v>0</v>
      </c>
      <c r="M248" s="131">
        <f t="shared" si="101"/>
        <v>0</v>
      </c>
      <c r="N248" s="163">
        <f t="shared" si="101"/>
        <v>0</v>
      </c>
      <c r="O248" s="186">
        <f t="shared" si="101"/>
        <v>0</v>
      </c>
      <c r="P248" s="186">
        <f t="shared" si="101"/>
        <v>0</v>
      </c>
      <c r="Q248" s="186">
        <f t="shared" si="101"/>
        <v>0</v>
      </c>
      <c r="R248" s="186">
        <f t="shared" si="101"/>
        <v>0</v>
      </c>
      <c r="S248" s="186">
        <f t="shared" si="101"/>
        <v>0</v>
      </c>
      <c r="T248" s="133">
        <f t="shared" si="101"/>
        <v>0</v>
      </c>
      <c r="U248" s="134">
        <f t="shared" si="95"/>
        <v>0</v>
      </c>
      <c r="W248" s="135">
        <f t="shared" si="85"/>
        <v>0</v>
      </c>
    </row>
    <row r="249" spans="1:23">
      <c r="A249" s="173"/>
      <c r="B249" s="170" t="s">
        <v>20</v>
      </c>
      <c r="C249" s="180"/>
      <c r="D249" s="178"/>
      <c r="E249" s="178"/>
      <c r="F249" s="178"/>
      <c r="G249" s="178"/>
      <c r="H249" s="178"/>
      <c r="I249" s="178"/>
      <c r="J249" s="178"/>
      <c r="K249" s="178">
        <f>COUNTIFS(เรื่องร้องเรียน!E:E,"5",เรื่องร้องเรียน!N:N,"สวนหลวง")</f>
        <v>0</v>
      </c>
      <c r="L249" s="178">
        <f>COUNTIFS(เรื่องร้องเรียน!E:E,"5",เรื่องร้องเรียน!N:N,"สวนหลวง",เรื่องร้องเรียน!CL:CL,"1")</f>
        <v>0</v>
      </c>
      <c r="M249" s="178">
        <f t="shared" ref="M249:N253" si="102">SUM(C249,E249,G249,I249,K249)</f>
        <v>0</v>
      </c>
      <c r="N249" s="179">
        <f t="shared" si="102"/>
        <v>0</v>
      </c>
      <c r="O249" s="180"/>
      <c r="P249" s="178"/>
      <c r="Q249" s="178"/>
      <c r="R249" s="178"/>
      <c r="S249" s="178">
        <f>COUNTIFS(เรื่องร้องเรียน!E:E,"5",เรื่องร้องเรียน!N:N,"สวนหลวง",เรื่องร้องเรียน!AQ:AQ,"1",เรื่องร้องเรียน!CL:CL,"")</f>
        <v>0</v>
      </c>
      <c r="T249" s="181">
        <f t="shared" si="98"/>
        <v>0</v>
      </c>
      <c r="U249" s="182">
        <f t="shared" si="95"/>
        <v>0</v>
      </c>
      <c r="W249" s="129">
        <f t="shared" si="85"/>
        <v>0</v>
      </c>
    </row>
    <row r="250" spans="1:23">
      <c r="A250" s="148"/>
      <c r="B250" s="171" t="s">
        <v>128</v>
      </c>
      <c r="C250" s="246">
        <f>COUNTIFS(เรื่องร้องเรียน!E:E,"1",เรื่องร้องเรียน!N:N,"สวนหลวง",เรื่องร้องเรียน!AN:AN,"คลองตัน")</f>
        <v>0</v>
      </c>
      <c r="D250" s="109">
        <f>COUNTIFS(เรื่องร้องเรียน!E:E,"1",เรื่องร้องเรียน!N:N,"สวนหลวง",เรื่องร้องเรียน!AN:AN,"คลองตัน",เรื่องร้องเรียน!CL:CL,"1")</f>
        <v>0</v>
      </c>
      <c r="E250" s="109">
        <f>COUNTIFS(เรื่องร้องเรียน!E:E,"2",เรื่องร้องเรียน!N:N,"สวนหลวง",เรื่องร้องเรียน!AN:AN,"คลองตัน")</f>
        <v>0</v>
      </c>
      <c r="F250" s="109">
        <f>COUNTIFS(เรื่องร้องเรียน!E:E,"2",เรื่องร้องเรียน!N:N,"สวนหลวง",เรื่องร้องเรียน!AN:AN,"คลองตัน",เรื่องร้องเรียน!CL:CL,"1")</f>
        <v>0</v>
      </c>
      <c r="G250" s="109">
        <f>COUNTIFS(เรื่องร้องเรียน!E:E,"3",เรื่องร้องเรียน!N:N,"สวนหลวง",เรื่องร้องเรียน!AN:AN,"คลองตัน")</f>
        <v>0</v>
      </c>
      <c r="H250" s="109">
        <f>COUNTIFS(เรื่องร้องเรียน!E:E,"3",เรื่องร้องเรียน!N:N,"สวนหลวง",เรื่องร้องเรียน!AN:AN,"คลองตัน",เรื่องร้องเรียน!CL:CL,"1")</f>
        <v>0</v>
      </c>
      <c r="I250" s="109">
        <f>COUNTIFS(เรื่องร้องเรียน!E:E,"4",เรื่องร้องเรียน!N:N,"สวนหลวง",เรื่องร้องเรียน!AN:AN,"คลองตัน")</f>
        <v>0</v>
      </c>
      <c r="J250" s="144">
        <f>COUNTIFS(เรื่องร้องเรียน!E:E,"4",เรื่องร้องเรียน!N:N,"สวนหลวง",เรื่องร้องเรียน!AN:AN,"คลองตัน",เรื่องร้องเรียน!CL:CL,"1")</f>
        <v>0</v>
      </c>
      <c r="K250" s="144"/>
      <c r="L250" s="144"/>
      <c r="M250" s="109">
        <f t="shared" si="102"/>
        <v>0</v>
      </c>
      <c r="N250" s="145">
        <f t="shared" si="102"/>
        <v>0</v>
      </c>
      <c r="O250" s="146">
        <f>COUNTIFS(เรื่องร้องเรียน!E:E,"1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P250" s="144">
        <f>COUNTIFS(เรื่องร้องเรียน!E:E,"2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Q250" s="144">
        <f>COUNTIFS(เรื่องร้องเรียน!E:E,"3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R250" s="144">
        <f>COUNTIFS(เรื่องร้องเรียน!E:E,"4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S250" s="144"/>
      <c r="T250" s="147">
        <f t="shared" si="98"/>
        <v>0</v>
      </c>
      <c r="U250" s="183">
        <f t="shared" si="95"/>
        <v>0</v>
      </c>
      <c r="V250" s="10" t="s">
        <v>74</v>
      </c>
      <c r="W250" s="129">
        <f t="shared" si="85"/>
        <v>0</v>
      </c>
    </row>
    <row r="251" spans="1:23">
      <c r="A251" s="148"/>
      <c r="B251" s="171" t="s">
        <v>73</v>
      </c>
      <c r="C251" s="246">
        <f>COUNTIFS(เรื่องร้องเรียน!E:E,"1",เรื่องร้องเรียน!N:N,"สวนหลวง",เรื่องร้องเรียน!AN:AN,"ประเวศ")</f>
        <v>0</v>
      </c>
      <c r="D251" s="109">
        <f>COUNTIFS(เรื่องร้องเรียน!E:E,"1",เรื่องร้องเรียน!N:N,"สวนหลวง",เรื่องร้องเรียน!AN:AN,"ประเวศ",เรื่องร้องเรียน!CL:CL,"1")</f>
        <v>0</v>
      </c>
      <c r="E251" s="109">
        <f>COUNTIFS(เรื่องร้องเรียน!E:E,"2",เรื่องร้องเรียน!N:N,"สวนหลวง",เรื่องร้องเรียน!AN:AN,"ประเวศ")</f>
        <v>0</v>
      </c>
      <c r="F251" s="109">
        <f>COUNTIFS(เรื่องร้องเรียน!E:E,"2",เรื่องร้องเรียน!N:N,"สวนหลวง",เรื่องร้องเรียน!AN:AN,"ประเวศ",เรื่องร้องเรียน!CL:CL,"1")</f>
        <v>0</v>
      </c>
      <c r="G251" s="109">
        <f>COUNTIFS(เรื่องร้องเรียน!E:E,"3",เรื่องร้องเรียน!N:N,"สวนหลวง",เรื่องร้องเรียน!AN:AN,"ประเวศ")</f>
        <v>0</v>
      </c>
      <c r="H251" s="109">
        <f>COUNTIFS(เรื่องร้องเรียน!E:E,"3",เรื่องร้องเรียน!N:N,"สวนหลวง",เรื่องร้องเรียน!AN:AN,"ประเวศ",เรื่องร้องเรียน!CL:CL,"1")</f>
        <v>0</v>
      </c>
      <c r="I251" s="109">
        <f>COUNTIFS(เรื่องร้องเรียน!E:E,"4",เรื่องร้องเรียน!N:N,"สวนหลวง",เรื่องร้องเรียน!AN:AN,"ประเวศ")</f>
        <v>0</v>
      </c>
      <c r="J251" s="144">
        <f>COUNTIFS(เรื่องร้องเรียน!E:E,"4",เรื่องร้องเรียน!N:N,"สวนหลวง",เรื่องร้องเรียน!AN:AN,"ประเวศ",เรื่องร้องเรียน!CL:CL,"1")</f>
        <v>0</v>
      </c>
      <c r="K251" s="144"/>
      <c r="L251" s="144"/>
      <c r="M251" s="109">
        <f t="shared" si="102"/>
        <v>0</v>
      </c>
      <c r="N251" s="145">
        <f t="shared" si="102"/>
        <v>0</v>
      </c>
      <c r="O251" s="146">
        <f>COUNTIFS(เรื่องร้องเรียน!E:E,"1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P251" s="144">
        <f>COUNTIFS(เรื่องร้องเรียน!E:E,"2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Q251" s="144">
        <f>COUNTIFS(เรื่องร้องเรียน!E:E,"3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R251" s="144">
        <f>COUNTIFS(เรื่องร้องเรียน!E:E,"4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S251" s="144"/>
      <c r="T251" s="147">
        <f t="shared" si="98"/>
        <v>0</v>
      </c>
      <c r="U251" s="183">
        <f t="shared" si="95"/>
        <v>0</v>
      </c>
      <c r="W251" s="129">
        <f t="shared" si="85"/>
        <v>0</v>
      </c>
    </row>
    <row r="252" spans="1:23">
      <c r="A252" s="148"/>
      <c r="B252" s="171" t="s">
        <v>115</v>
      </c>
      <c r="C252" s="246">
        <f>COUNTIFS(เรื่องร้องเรียน!E:E,"1",เรื่องร้องเรียน!N:N,"สวนหลวง",เรื่องร้องเรียน!AN:AN,"พระโขนง")</f>
        <v>0</v>
      </c>
      <c r="D252" s="109">
        <f>COUNTIFS(เรื่องร้องเรียน!E:E,"1",เรื่องร้องเรียน!N:N,"สวนหลวง",เรื่องร้องเรียน!AN:AN,"พระโขนง",เรื่องร้องเรียน!CL:CL,"1")</f>
        <v>0</v>
      </c>
      <c r="E252" s="109">
        <f>COUNTIFS(เรื่องร้องเรียน!E:E,"2",เรื่องร้องเรียน!N:N,"สวนหลวง",เรื่องร้องเรียน!AN:AN,"พระโขนง")</f>
        <v>0</v>
      </c>
      <c r="F252" s="109">
        <f>COUNTIFS(เรื่องร้องเรียน!E:E,"2",เรื่องร้องเรียน!N:N,"สวนหลวง",เรื่องร้องเรียน!AN:AN,"พระโขนง",เรื่องร้องเรียน!CL:CL,"1")</f>
        <v>0</v>
      </c>
      <c r="G252" s="109">
        <f>COUNTIFS(เรื่องร้องเรียน!E:E,"3",เรื่องร้องเรียน!N:N,"สวนหลวง",เรื่องร้องเรียน!AN:AN,"พระโขนง")</f>
        <v>0</v>
      </c>
      <c r="H252" s="109">
        <f>COUNTIFS(เรื่องร้องเรียน!E:E,"3",เรื่องร้องเรียน!N:N,"สวนหลวง",เรื่องร้องเรียน!AN:AN,"พระโขนง",เรื่องร้องเรียน!CL:CL,"1")</f>
        <v>0</v>
      </c>
      <c r="I252" s="109">
        <f>COUNTIFS(เรื่องร้องเรียน!E:E,"4",เรื่องร้องเรียน!N:N,"สวนหลวง",เรื่องร้องเรียน!AN:AN,"พระโขนง")</f>
        <v>0</v>
      </c>
      <c r="J252" s="144">
        <f>COUNTIFS(เรื่องร้องเรียน!E:E,"4",เรื่องร้องเรียน!N:N,"สวนหลวง",เรื่องร้องเรียน!AN:AN,"พระโขนง",เรื่องร้องเรียน!CL:CL,"1")</f>
        <v>0</v>
      </c>
      <c r="K252" s="144"/>
      <c r="L252" s="144"/>
      <c r="M252" s="109">
        <f t="shared" si="102"/>
        <v>0</v>
      </c>
      <c r="N252" s="145">
        <f t="shared" si="102"/>
        <v>0</v>
      </c>
      <c r="O252" s="146">
        <f>COUNTIFS(เรื่องร้องเรียน!E:E,"1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P252" s="144">
        <f>COUNTIFS(เรื่องร้องเรียน!E:E,"2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Q252" s="144">
        <f>COUNTIFS(เรื่องร้องเรียน!E:E,"3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R252" s="144">
        <f>COUNTIFS(เรื่องร้องเรียน!E:E,"4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S252" s="144"/>
      <c r="T252" s="147">
        <f t="shared" si="98"/>
        <v>0</v>
      </c>
      <c r="U252" s="183">
        <f t="shared" si="95"/>
        <v>0</v>
      </c>
      <c r="W252" s="129">
        <f t="shared" si="85"/>
        <v>0</v>
      </c>
    </row>
    <row r="253" spans="1:23">
      <c r="A253" s="148"/>
      <c r="B253" s="171" t="s">
        <v>91</v>
      </c>
      <c r="C253" s="246">
        <f>COUNTIFS(เรื่องร้องเรียน!E:E,"1",เรื่องร้องเรียน!N:N,"สวนหลวง",เรื่องร้องเรียน!AN:AN,"หัวหมาก")</f>
        <v>0</v>
      </c>
      <c r="D253" s="109">
        <f>COUNTIFS(เรื่องร้องเรียน!E:E,"1",เรื่องร้องเรียน!N:N,"สวนหลวง",เรื่องร้องเรียน!AN:AN,"หัวหมาก",เรื่องร้องเรียน!CL:CL,"1")</f>
        <v>0</v>
      </c>
      <c r="E253" s="109">
        <f>COUNTIFS(เรื่องร้องเรียน!E:E,"2",เรื่องร้องเรียน!N:N,"สวนหลวง",เรื่องร้องเรียน!AN:AN,"หัวหมาก")</f>
        <v>0</v>
      </c>
      <c r="F253" s="109">
        <f>COUNTIFS(เรื่องร้องเรียน!E:E,"2",เรื่องร้องเรียน!N:N,"สวนหลวง",เรื่องร้องเรียน!AN:AN,"หัวหมาก",เรื่องร้องเรียน!CL:CL,"1")</f>
        <v>0</v>
      </c>
      <c r="G253" s="109">
        <f>COUNTIFS(เรื่องร้องเรียน!E:E,"3",เรื่องร้องเรียน!N:N,"สวนหลวง",เรื่องร้องเรียน!AN:AN,"หัวหมาก")</f>
        <v>0</v>
      </c>
      <c r="H253" s="109">
        <f>COUNTIFS(เรื่องร้องเรียน!E:E,"3",เรื่องร้องเรียน!N:N,"สวนหลวง",เรื่องร้องเรียน!AN:AN,"หัวหมาก",เรื่องร้องเรียน!CL:CL,"1")</f>
        <v>0</v>
      </c>
      <c r="I253" s="109">
        <f>COUNTIFS(เรื่องร้องเรียน!E:E,"4",เรื่องร้องเรียน!N:N,"สวนหลวง",เรื่องร้องเรียน!AN:AN,"หัวหมาก")</f>
        <v>0</v>
      </c>
      <c r="J253" s="144">
        <f>COUNTIFS(เรื่องร้องเรียน!E:E,"4",เรื่องร้องเรียน!N:N,"สวนหลวง",เรื่องร้องเรียน!AN:AN,"หัวหมาก",เรื่องร้องเรียน!CL:CL,"1")</f>
        <v>0</v>
      </c>
      <c r="K253" s="144"/>
      <c r="L253" s="144"/>
      <c r="M253" s="109">
        <f t="shared" si="102"/>
        <v>0</v>
      </c>
      <c r="N253" s="145">
        <f t="shared" si="102"/>
        <v>0</v>
      </c>
      <c r="O253" s="146">
        <f>COUNTIFS(เรื่องร้องเรียน!E:E,"1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P253" s="144">
        <f>COUNTIFS(เรื่องร้องเรียน!E:E,"2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Q253" s="144">
        <f>COUNTIFS(เรื่องร้องเรียน!E:E,"3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R253" s="144">
        <f>COUNTIFS(เรื่องร้องเรียน!E:E,"4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S253" s="144"/>
      <c r="T253" s="147">
        <f t="shared" si="98"/>
        <v>0</v>
      </c>
      <c r="U253" s="183">
        <f t="shared" si="95"/>
        <v>0</v>
      </c>
      <c r="W253" s="129">
        <f t="shared" si="85"/>
        <v>0</v>
      </c>
    </row>
    <row r="254" spans="1:23" ht="21.6" thickBot="1">
      <c r="A254" s="174"/>
      <c r="B254" s="172" t="s">
        <v>74</v>
      </c>
      <c r="C254" s="231">
        <f>COUNTIFS(เรื่องร้องเรียน!E:E,"1",เรื่องร้องเรียน!N:N,"สวนหลวง",เรื่องร้องเรียน!AN:AN,"อุดมสุข")</f>
        <v>0</v>
      </c>
      <c r="D254" s="124">
        <f>COUNTIFS(เรื่องร้องเรียน!E:E,"1",เรื่องร้องเรียน!N:N,"สวนหลวง",เรื่องร้องเรียน!AN:AN,"อุดมสุข",เรื่องร้องเรียน!CL:CL,"1")</f>
        <v>0</v>
      </c>
      <c r="E254" s="124">
        <f>COUNTIFS(เรื่องร้องเรียน!E:E,"2",เรื่องร้องเรียน!N:N,"สวนหลวง",เรื่องร้องเรียน!AN:AN,"อุดมสุข")</f>
        <v>0</v>
      </c>
      <c r="F254" s="124">
        <f>COUNTIFS(เรื่องร้องเรียน!E:E,"2",เรื่องร้องเรียน!N:N,"สวนหลวง",เรื่องร้องเรียน!AN:AN,"อุดมสุข",เรื่องร้องเรียน!CL:CL,"1")</f>
        <v>0</v>
      </c>
      <c r="G254" s="124">
        <f>COUNTIFS(เรื่องร้องเรียน!E:E,"3",เรื่องร้องเรียน!N:N,"สวนหลวง",เรื่องร้องเรียน!AN:AN,"อุดมสุข")</f>
        <v>0</v>
      </c>
      <c r="H254" s="124">
        <f>COUNTIFS(เรื่องร้องเรียน!E:E,"3",เรื่องร้องเรียน!N:N,"สวนหลวง",เรื่องร้องเรียน!AN:AN,"อุดมสุข",เรื่องร้องเรียน!CL:CL,"1")</f>
        <v>0</v>
      </c>
      <c r="I254" s="124">
        <f>COUNTIFS(เรื่องร้องเรียน!E:E,"4",เรื่องร้องเรียน!N:N,"สวนหลวง",เรื่องร้องเรียน!AN:AN,"อุดมสุข")</f>
        <v>0</v>
      </c>
      <c r="J254" s="157">
        <f>COUNTIFS(เรื่องร้องเรียน!E:E,"4",เรื่องร้องเรียน!N:N,"สวนหลวง",เรื่องร้องเรียน!AN:AN,"อุดมสุข",เรื่องร้องเรียน!CL:CL,"1")</f>
        <v>0</v>
      </c>
      <c r="K254" s="157"/>
      <c r="L254" s="157"/>
      <c r="M254" s="124">
        <f>SUM(C254,E254,G254,I254,K254)</f>
        <v>0</v>
      </c>
      <c r="N254" s="158">
        <f>SUM(D254,F254,H254,J254,L254)</f>
        <v>0</v>
      </c>
      <c r="O254" s="159">
        <f>COUNTIFS(เรื่องร้องเรียน!E:E,"1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P254" s="157">
        <f>COUNTIFS(เรื่องร้องเรียน!E:E,"2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Q254" s="157">
        <f>COUNTIFS(เรื่องร้องเรียน!E:E,"3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R254" s="157">
        <f>COUNTIFS(เรื่องร้องเรียน!E:E,"4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S254" s="157"/>
      <c r="T254" s="160">
        <f>SUM(O254:S254)</f>
        <v>0</v>
      </c>
      <c r="U254" s="184">
        <f>M254-N254-T254</f>
        <v>0</v>
      </c>
      <c r="W254" s="129">
        <f t="shared" si="85"/>
        <v>0</v>
      </c>
    </row>
    <row r="255" spans="1:23" ht="21.6" thickBot="1">
      <c r="A255" s="168" t="s">
        <v>101</v>
      </c>
      <c r="B255" s="166" t="s">
        <v>152</v>
      </c>
      <c r="C255" s="186">
        <f>SUM(C256:C258)</f>
        <v>0</v>
      </c>
      <c r="D255" s="187">
        <f t="shared" ref="D255:T255" si="103">SUM(D256:D258)</f>
        <v>0</v>
      </c>
      <c r="E255" s="187">
        <f t="shared" si="103"/>
        <v>0</v>
      </c>
      <c r="F255" s="187">
        <f t="shared" si="103"/>
        <v>0</v>
      </c>
      <c r="G255" s="187">
        <f t="shared" si="103"/>
        <v>0</v>
      </c>
      <c r="H255" s="187">
        <f t="shared" si="103"/>
        <v>0</v>
      </c>
      <c r="I255" s="187">
        <f t="shared" si="103"/>
        <v>0</v>
      </c>
      <c r="J255" s="187">
        <f t="shared" si="103"/>
        <v>0</v>
      </c>
      <c r="K255" s="187">
        <f t="shared" si="103"/>
        <v>0</v>
      </c>
      <c r="L255" s="187">
        <f t="shared" si="103"/>
        <v>0</v>
      </c>
      <c r="M255" s="187">
        <f t="shared" si="103"/>
        <v>0</v>
      </c>
      <c r="N255" s="188">
        <f t="shared" si="103"/>
        <v>0</v>
      </c>
      <c r="O255" s="186">
        <f t="shared" si="103"/>
        <v>0</v>
      </c>
      <c r="P255" s="187">
        <f t="shared" si="103"/>
        <v>0</v>
      </c>
      <c r="Q255" s="187">
        <f t="shared" si="103"/>
        <v>0</v>
      </c>
      <c r="R255" s="187">
        <f t="shared" si="103"/>
        <v>0</v>
      </c>
      <c r="S255" s="187">
        <f t="shared" si="103"/>
        <v>0</v>
      </c>
      <c r="T255" s="189">
        <f t="shared" si="103"/>
        <v>0</v>
      </c>
      <c r="U255" s="129">
        <f t="shared" si="95"/>
        <v>0</v>
      </c>
      <c r="W255" s="135">
        <f t="shared" si="85"/>
        <v>0</v>
      </c>
    </row>
    <row r="256" spans="1:23">
      <c r="A256" s="173"/>
      <c r="B256" s="170" t="s">
        <v>20</v>
      </c>
      <c r="C256" s="180"/>
      <c r="D256" s="178"/>
      <c r="E256" s="178"/>
      <c r="F256" s="178"/>
      <c r="G256" s="178"/>
      <c r="H256" s="178"/>
      <c r="I256" s="178"/>
      <c r="J256" s="178"/>
      <c r="K256" s="178">
        <f>COUNTIFS(เรื่องร้องเรียน!E:E,"5",เรื่องร้องเรียน!N:N,"สะพานสูง")</f>
        <v>0</v>
      </c>
      <c r="L256" s="178">
        <f>COUNTIFS(เรื่องร้องเรียน!E:E,"5",เรื่องร้องเรียน!N:N,"สะพานสูง",เรื่องร้องเรียน!CL:CL,"1")</f>
        <v>0</v>
      </c>
      <c r="M256" s="178">
        <f t="shared" ref="M256:N258" si="104">SUM(C256,E256,G256,I256,K256)</f>
        <v>0</v>
      </c>
      <c r="N256" s="179">
        <f t="shared" si="104"/>
        <v>0</v>
      </c>
      <c r="O256" s="180"/>
      <c r="P256" s="178"/>
      <c r="Q256" s="178"/>
      <c r="R256" s="178"/>
      <c r="S256" s="178">
        <f>COUNTIFS(เรื่องร้องเรียน!E:E,"5",เรื่องร้องเรียน!N:N,"สะพานสูง",เรื่องร้องเรียน!AQ:AQ,"1",เรื่องร้องเรียน!CL:CL,"")</f>
        <v>0</v>
      </c>
      <c r="T256" s="181">
        <f t="shared" si="98"/>
        <v>0</v>
      </c>
      <c r="U256" s="182">
        <f t="shared" si="95"/>
        <v>0</v>
      </c>
      <c r="W256" s="129">
        <f t="shared" si="85"/>
        <v>0</v>
      </c>
    </row>
    <row r="257" spans="1:23">
      <c r="A257" s="148"/>
      <c r="B257" s="171" t="s">
        <v>102</v>
      </c>
      <c r="C257" s="246">
        <f>COUNTIFS(เรื่องร้องเรียน!E:E,"1",เรื่องร้องเรียน!N:N,"สะพานสูง",เรื่องร้องเรียน!AN:AN,"บางชัน")</f>
        <v>0</v>
      </c>
      <c r="D257" s="109">
        <f>COUNTIFS(เรื่องร้องเรียน!E:E,"1",เรื่องร้องเรียน!N:N,"สะพานสูง",เรื่องร้องเรียน!AN:AN,"บางชัน",เรื่องร้องเรียน!CL:CL,"1")</f>
        <v>0</v>
      </c>
      <c r="E257" s="109">
        <f>COUNTIFS(เรื่องร้องเรียน!E:E,"2",เรื่องร้องเรียน!N:N,"สะพานสูง",เรื่องร้องเรียน!AN:AN,"บางชัน")</f>
        <v>0</v>
      </c>
      <c r="F257" s="109">
        <f>COUNTIFS(เรื่องร้องเรียน!E:E,"2",เรื่องร้องเรียน!N:N,"สะพานสูง",เรื่องร้องเรียน!AN:AN,"บางชัน",เรื่องร้องเรียน!CL:CL,"1")</f>
        <v>0</v>
      </c>
      <c r="G257" s="109">
        <f>COUNTIFS(เรื่องร้องเรียน!E:E,"3",เรื่องร้องเรียน!N:N,"สะพานสูง",เรื่องร้องเรียน!AN:AN,"บางชัน")</f>
        <v>0</v>
      </c>
      <c r="H257" s="109">
        <f>COUNTIFS(เรื่องร้องเรียน!E:E,"3",เรื่องร้องเรียน!N:N,"สะพานสูง",เรื่องร้องเรียน!AN:AN,"บางชัน",เรื่องร้องเรียน!CL:CL,"1")</f>
        <v>0</v>
      </c>
      <c r="I257" s="109">
        <f>COUNTIFS(เรื่องร้องเรียน!E:E,"4",เรื่องร้องเรียน!N:N,"สะพานสูง",เรื่องร้องเรียน!AN:AN,"บางชัน")</f>
        <v>0</v>
      </c>
      <c r="J257" s="144">
        <f>COUNTIFS(เรื่องร้องเรียน!E:E,"4",เรื่องร้องเรียน!N:N,"สะพานสูง",เรื่องร้องเรียน!AN:AN,"บางชัน",เรื่องร้องเรียน!CL:CL,"1")</f>
        <v>0</v>
      </c>
      <c r="K257" s="144"/>
      <c r="L257" s="144"/>
      <c r="M257" s="109">
        <f t="shared" si="104"/>
        <v>0</v>
      </c>
      <c r="N257" s="145">
        <f t="shared" si="104"/>
        <v>0</v>
      </c>
      <c r="O257" s="146">
        <f>COUNTIFS(เรื่องร้องเรียน!E:E,"1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P257" s="144">
        <f>COUNTIFS(เรื่องร้องเรียน!E:E,"2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Q257" s="144">
        <f>COUNTIFS(เรื่องร้องเรียน!E:E,"3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R257" s="144">
        <f>COUNTIFS(เรื่องร้องเรียน!E:E,"4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S257" s="144"/>
      <c r="T257" s="147">
        <f t="shared" si="98"/>
        <v>0</v>
      </c>
      <c r="U257" s="183">
        <f t="shared" si="95"/>
        <v>0</v>
      </c>
      <c r="W257" s="129">
        <f t="shared" si="85"/>
        <v>0</v>
      </c>
    </row>
    <row r="258" spans="1:23" ht="21.6" thickBot="1">
      <c r="A258" s="174"/>
      <c r="B258" s="172" t="s">
        <v>73</v>
      </c>
      <c r="C258" s="231">
        <f>COUNTIFS(เรื่องร้องเรียน!E:E,"1",เรื่องร้องเรียน!N:N,"สะพานสูง",เรื่องร้องเรียน!AN:AN,"ประเวศ")</f>
        <v>0</v>
      </c>
      <c r="D258" s="124">
        <f>COUNTIFS(เรื่องร้องเรียน!E:E,"1",เรื่องร้องเรียน!N:N,"สะพานสูง",เรื่องร้องเรียน!AN:AN,"ประเวศ",เรื่องร้องเรียน!CL:CL,"1")</f>
        <v>0</v>
      </c>
      <c r="E258" s="124">
        <f>COUNTIFS(เรื่องร้องเรียน!E:E,"2",เรื่องร้องเรียน!N:N,"สะพานสูง",เรื่องร้องเรียน!AN:AN,"ประเวศ")</f>
        <v>0</v>
      </c>
      <c r="F258" s="124">
        <f>COUNTIFS(เรื่องร้องเรียน!E:E,"2",เรื่องร้องเรียน!N:N,"สะพานสูง",เรื่องร้องเรียน!AN:AN,"ประเวศ",เรื่องร้องเรียน!CL:CL,"1")</f>
        <v>0</v>
      </c>
      <c r="G258" s="124">
        <f>COUNTIFS(เรื่องร้องเรียน!E:E,"3",เรื่องร้องเรียน!N:N,"สะพานสูง",เรื่องร้องเรียน!AN:AN,"ประเวศ")</f>
        <v>0</v>
      </c>
      <c r="H258" s="124">
        <f>COUNTIFS(เรื่องร้องเรียน!E:E,"3",เรื่องร้องเรียน!N:N,"สะพานสูง",เรื่องร้องเรียน!AN:AN,"ประเวศ",เรื่องร้องเรียน!CL:CL,"1")</f>
        <v>0</v>
      </c>
      <c r="I258" s="124">
        <f>COUNTIFS(เรื่องร้องเรียน!E:E,"4",เรื่องร้องเรียน!N:N,"สะพานสูง",เรื่องร้องเรียน!AN:AN,"ประเวศ")</f>
        <v>0</v>
      </c>
      <c r="J258" s="157">
        <f>COUNTIFS(เรื่องร้องเรียน!E:E,"4",เรื่องร้องเรียน!N:N,"สะพานสูง",เรื่องร้องเรียน!AN:AN,"ประเวศ",เรื่องร้องเรียน!CL:CL,"1")</f>
        <v>0</v>
      </c>
      <c r="K258" s="157"/>
      <c r="L258" s="157"/>
      <c r="M258" s="124">
        <f t="shared" si="104"/>
        <v>0</v>
      </c>
      <c r="N258" s="158">
        <f t="shared" si="104"/>
        <v>0</v>
      </c>
      <c r="O258" s="159">
        <f>COUNTIFS(เรื่องร้องเรียน!E:E,"1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P258" s="157">
        <f>COUNTIFS(เรื่องร้องเรียน!E:E,"2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Q258" s="157">
        <f>COUNTIFS(เรื่องร้องเรียน!E:E,"3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R258" s="157">
        <f>COUNTIFS(เรื่องร้องเรียน!E:E,"4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S258" s="157"/>
      <c r="T258" s="160">
        <f t="shared" si="98"/>
        <v>0</v>
      </c>
      <c r="U258" s="184">
        <f t="shared" si="95"/>
        <v>0</v>
      </c>
      <c r="W258" s="129">
        <f t="shared" si="85"/>
        <v>0</v>
      </c>
    </row>
    <row r="259" spans="1:23" ht="21.6" thickBot="1">
      <c r="A259" s="168" t="s">
        <v>138</v>
      </c>
      <c r="B259" s="166" t="s">
        <v>152</v>
      </c>
      <c r="C259" s="132">
        <f>SUM(C260:C264)</f>
        <v>0</v>
      </c>
      <c r="D259" s="131">
        <f t="shared" ref="D259:T259" si="105">SUM(D260:D264)</f>
        <v>0</v>
      </c>
      <c r="E259" s="131">
        <f t="shared" si="105"/>
        <v>0</v>
      </c>
      <c r="F259" s="131">
        <f t="shared" si="105"/>
        <v>0</v>
      </c>
      <c r="G259" s="131">
        <f t="shared" si="105"/>
        <v>0</v>
      </c>
      <c r="H259" s="131">
        <f t="shared" si="105"/>
        <v>0</v>
      </c>
      <c r="I259" s="131">
        <f t="shared" si="105"/>
        <v>0</v>
      </c>
      <c r="J259" s="131">
        <f t="shared" si="105"/>
        <v>0</v>
      </c>
      <c r="K259" s="131">
        <f t="shared" si="105"/>
        <v>0</v>
      </c>
      <c r="L259" s="131">
        <f t="shared" si="105"/>
        <v>0</v>
      </c>
      <c r="M259" s="131">
        <f t="shared" si="105"/>
        <v>0</v>
      </c>
      <c r="N259" s="163">
        <f t="shared" si="105"/>
        <v>0</v>
      </c>
      <c r="O259" s="186">
        <f t="shared" si="105"/>
        <v>0</v>
      </c>
      <c r="P259" s="186">
        <f t="shared" si="105"/>
        <v>0</v>
      </c>
      <c r="Q259" s="186">
        <f t="shared" si="105"/>
        <v>0</v>
      </c>
      <c r="R259" s="186">
        <f t="shared" si="105"/>
        <v>0</v>
      </c>
      <c r="S259" s="186">
        <f t="shared" si="105"/>
        <v>0</v>
      </c>
      <c r="T259" s="133">
        <f t="shared" si="105"/>
        <v>0</v>
      </c>
      <c r="U259" s="134">
        <f t="shared" si="95"/>
        <v>0</v>
      </c>
      <c r="W259" s="135">
        <f t="shared" si="85"/>
        <v>0</v>
      </c>
    </row>
    <row r="260" spans="1:23">
      <c r="A260" s="173"/>
      <c r="B260" s="170" t="s">
        <v>20</v>
      </c>
      <c r="C260" s="180"/>
      <c r="D260" s="178"/>
      <c r="E260" s="178"/>
      <c r="F260" s="178"/>
      <c r="G260" s="178"/>
      <c r="H260" s="178"/>
      <c r="I260" s="178"/>
      <c r="J260" s="178"/>
      <c r="K260" s="178">
        <f>COUNTIFS(เรื่องร้องเรียน!E:E,"5",เรื่องร้องเรียน!N:N,"สัมพันธวงศ์")</f>
        <v>0</v>
      </c>
      <c r="L260" s="178">
        <f>COUNTIFS(เรื่องร้องเรียน!E:E,"5",เรื่องร้องเรียน!N:N,"สัมพันธวงศ์",เรื่องร้องเรียน!CL:CL,"1")</f>
        <v>0</v>
      </c>
      <c r="M260" s="178">
        <f t="shared" ref="M260:N262" si="106">SUM(C260,E260,G260,I260,K260)</f>
        <v>0</v>
      </c>
      <c r="N260" s="179">
        <f t="shared" si="106"/>
        <v>0</v>
      </c>
      <c r="O260" s="180"/>
      <c r="P260" s="178"/>
      <c r="Q260" s="178"/>
      <c r="R260" s="178"/>
      <c r="S260" s="178">
        <f>COUNTIFS(เรื่องร้องเรียน!E:E,"5",เรื่องร้องเรียน!N:N,"สัมพันธวงศ์",เรื่องร้องเรียน!AQ:AQ,"1",เรื่องร้องเรียน!CL:CL,"")</f>
        <v>0</v>
      </c>
      <c r="T260" s="181">
        <f t="shared" si="98"/>
        <v>0</v>
      </c>
      <c r="U260" s="182">
        <f t="shared" si="95"/>
        <v>0</v>
      </c>
      <c r="V260" s="10" t="s">
        <v>184</v>
      </c>
      <c r="W260" s="129">
        <f t="shared" si="85"/>
        <v>0</v>
      </c>
    </row>
    <row r="261" spans="1:23">
      <c r="A261" s="148"/>
      <c r="B261" s="171" t="s">
        <v>181</v>
      </c>
      <c r="C261" s="246">
        <f>COUNTIFS(เรื่องร้องเรียน!E:E,"1",เรื่องร้องเรียน!N:N,"สัมพันธวงศ์",เรื่องร้องเรียน!AN:AN,"จักรวรรดิ")</f>
        <v>0</v>
      </c>
      <c r="D261" s="109">
        <f>COUNTIFS(เรื่องร้องเรียน!E:E,"1",เรื่องร้องเรียน!N:N,"สัมพันธวงศ์",เรื่องร้องเรียน!AN:AN,"จักรวรรดิ",เรื่องร้องเรียน!CL:CL,"1")</f>
        <v>0</v>
      </c>
      <c r="E261" s="109">
        <f>COUNTIFS(เรื่องร้องเรียน!E:E,"2",เรื่องร้องเรียน!N:N,"สัมพันธวงศ์",เรื่องร้องเรียน!AN:AN,"จักรวรรดิ")</f>
        <v>0</v>
      </c>
      <c r="F261" s="109">
        <f>COUNTIFS(เรื่องร้องเรียน!E:E,"2",เรื่องร้องเรียน!N:N,"สัมพันธวงศ์",เรื่องร้องเรียน!AN:AN,"จักรวรรดิ",เรื่องร้องเรียน!CL:CL,"1")</f>
        <v>0</v>
      </c>
      <c r="G261" s="109">
        <f>COUNTIFS(เรื่องร้องเรียน!E:E,"3",เรื่องร้องเรียน!N:N,"สัมพันธวงศ์",เรื่องร้องเรียน!AN:AN,"จักรวรรดิ")</f>
        <v>0</v>
      </c>
      <c r="H261" s="109">
        <f>COUNTIFS(เรื่องร้องเรียน!E:E,"3",เรื่องร้องเรียน!N:N,"สัมพันธวงศ์",เรื่องร้องเรียน!AN:AN,"จักรวรรดิ",เรื่องร้องเรียน!CL:CL,"1")</f>
        <v>0</v>
      </c>
      <c r="I261" s="109">
        <f>COUNTIFS(เรื่องร้องเรียน!E:E,"4",เรื่องร้องเรียน!N:N,"สัมพันธวงศ์",เรื่องร้องเรียน!AN:AN,"จักรวรรดิ")</f>
        <v>0</v>
      </c>
      <c r="J261" s="144">
        <f>COUNTIFS(เรื่องร้องเรียน!E:E,"4",เรื่องร้องเรียน!N:N,"สัมพันธวงศ์",เรื่องร้องเรียน!AN:AN,"จักรวรรดิ",เรื่องร้องเรียน!CL:CL,"1")</f>
        <v>0</v>
      </c>
      <c r="K261" s="144"/>
      <c r="L261" s="144"/>
      <c r="M261" s="109">
        <f t="shared" si="106"/>
        <v>0</v>
      </c>
      <c r="N261" s="145">
        <f t="shared" si="106"/>
        <v>0</v>
      </c>
      <c r="O261" s="146">
        <f>COUNTIFS(เรื่องร้องเรียน!E:E,"1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P261" s="144">
        <f>COUNTIFS(เรื่องร้องเรียน!E:E,"2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Q261" s="144">
        <f>COUNTIFS(เรื่องร้องเรียน!E:E,"3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R261" s="144">
        <f>COUNTIFS(เรื่องร้องเรียน!E:E,"4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S261" s="144"/>
      <c r="T261" s="147">
        <f t="shared" si="98"/>
        <v>0</v>
      </c>
      <c r="U261" s="183">
        <f t="shared" si="95"/>
        <v>0</v>
      </c>
      <c r="V261" s="10" t="s">
        <v>183</v>
      </c>
      <c r="W261" s="129">
        <f t="shared" si="85"/>
        <v>0</v>
      </c>
    </row>
    <row r="262" spans="1:23">
      <c r="A262" s="148"/>
      <c r="B262" s="171" t="s">
        <v>139</v>
      </c>
      <c r="C262" s="246">
        <f>COUNTIFS(เรื่องร้องเรียน!E:E,"1",เรื่องร้องเรียน!N:N,"สัมพันธวงศ์",เรื่องร้องเรียน!AN:AN,"พลับพลาไชย 2")</f>
        <v>0</v>
      </c>
      <c r="D262" s="109">
        <f>COUNTIFS(เรื่องร้องเรียน!E:E,"1",เรื่องร้องเรียน!N:N,"สัมพันธวงศ์",เรื่องร้องเรียน!AN:AN,"พลับพลาไชย 2",เรื่องร้องเรียน!CL:CL,"1")</f>
        <v>0</v>
      </c>
      <c r="E262" s="109">
        <f>COUNTIFS(เรื่องร้องเรียน!E:E,"2",เรื่องร้องเรียน!N:N,"สัมพันธวงศ์",เรื่องร้องเรียน!AN:AN,"พลับพลาไชย 2")</f>
        <v>0</v>
      </c>
      <c r="F262" s="109">
        <f>COUNTIFS(เรื่องร้องเรียน!E:E,"2",เรื่องร้องเรียน!N:N,"สัมพันธวงศ์",เรื่องร้องเรียน!AN:AN,"พลับพลาไชย 2",เรื่องร้องเรียน!CL:CL,"1")</f>
        <v>0</v>
      </c>
      <c r="G262" s="109">
        <f>COUNTIFS(เรื่องร้องเรียน!E:E,"3",เรื่องร้องเรียน!N:N,"สัมพันธวงศ์",เรื่องร้องเรียน!AN:AN,"พลับพลาไชย 2")</f>
        <v>0</v>
      </c>
      <c r="H262" s="109">
        <f>COUNTIFS(เรื่องร้องเรียน!E:E,"3",เรื่องร้องเรียน!N:N,"สัมพันธวงศ์",เรื่องร้องเรียน!AN:AN,"พลับพลาไชย 2",เรื่องร้องเรียน!CL:CL,"1")</f>
        <v>0</v>
      </c>
      <c r="I262" s="109">
        <f>COUNTIFS(เรื่องร้องเรียน!E:E,"4",เรื่องร้องเรียน!N:N,"สัมพันธวงศ์",เรื่องร้องเรียน!AN:AN,"พลับพลาไชย 2")</f>
        <v>0</v>
      </c>
      <c r="J262" s="144">
        <f>COUNTIFS(เรื่องร้องเรียน!E:E,"4",เรื่องร้องเรียน!N:N,"สัมพันธวงศ์",เรื่องร้องเรียน!AN:AN,"พลับพลาไชย 2",เรื่องร้องเรียน!CL:CL,"1")</f>
        <v>0</v>
      </c>
      <c r="K262" s="144"/>
      <c r="L262" s="144"/>
      <c r="M262" s="109">
        <f t="shared" si="106"/>
        <v>0</v>
      </c>
      <c r="N262" s="145">
        <f t="shared" si="106"/>
        <v>0</v>
      </c>
      <c r="O262" s="146">
        <f>COUNTIFS(เรื่องร้องเรียน!E:E,"1",เรื่องร้องเรียน!N:N,"สัมพันธวงศ์",เรื่องร้องเรียน!AN:AN,"พลับพลาไชย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P262" s="144">
        <f>COUNTIFS(เรื่องร้องเรียน!E:E,"2",เรื่องร้องเรียน!N:N,"สัมพันธวงศ์",เรื่องร้องเรียน!AN:AN,"พลับพลาไชย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Q262" s="144">
        <f>COUNTIFS(เรื่องร้องเรียน!E:E,"3",เรื่องร้องเรียน!N:N,"สัมพันธวงศ์",เรื่องร้องเรียน!AN:AN,"พลับพลาไชย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R262" s="144">
        <f>COUNTIFS(เรื่องร้องเรียน!E:E,"4",เรื่องร้องเรียน!N:N,"สัมพันธวงศ์",เรื่องร้องเรียน!AN:AN,"พลับพลาไชย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S262" s="144"/>
      <c r="T262" s="147">
        <f t="shared" si="98"/>
        <v>0</v>
      </c>
      <c r="U262" s="183">
        <f t="shared" si="95"/>
        <v>0</v>
      </c>
      <c r="W262" s="129">
        <f t="shared" si="85"/>
        <v>0</v>
      </c>
    </row>
    <row r="263" spans="1:23">
      <c r="A263" s="148"/>
      <c r="B263" s="171" t="s">
        <v>184</v>
      </c>
      <c r="C263" s="246">
        <f>COUNTIFS(เรื่องร้องเรียน!E:E,"1",เรื่องร้องเรียน!N:N,"สัมพันธวงศ์",เรื่องร้องเรียน!AN:AN,"สำราญราษฎร์")</f>
        <v>0</v>
      </c>
      <c r="D263" s="109">
        <f>COUNTIFS(เรื่องร้องเรียน!E:E,"1",เรื่องร้องเรียน!N:N,"สัมพันธวงศ์",เรื่องร้องเรียน!AN:AN,"สำราญราษฎร์",เรื่องร้องเรียน!CL:CL,"1")</f>
        <v>0</v>
      </c>
      <c r="E263" s="109">
        <f>COUNTIFS(เรื่องร้องเรียน!E:E,"2",เรื่องร้องเรียน!N:N,"สัมพันธวงศ์",เรื่องร้องเรียน!AN:AN,"สำราญราษฎร์")</f>
        <v>0</v>
      </c>
      <c r="F263" s="109">
        <f>COUNTIFS(เรื่องร้องเรียน!E:E,"2",เรื่องร้องเรียน!N:N,"สัมพันธวงศ์",เรื่องร้องเรียน!AN:AN,"สำราญราษฎร์",เรื่องร้องเรียน!CL:CL,"1")</f>
        <v>0</v>
      </c>
      <c r="G263" s="109">
        <f>COUNTIFS(เรื่องร้องเรียน!E:E,"3",เรื่องร้องเรียน!N:N,"สัมพันธวงศ์",เรื่องร้องเรียน!AN:AN,"สำราญราษฎร์")</f>
        <v>0</v>
      </c>
      <c r="H263" s="109">
        <f>COUNTIFS(เรื่องร้องเรียน!E:E,"3",เรื่องร้องเรียน!N:N,"สัมพันธวงศ์",เรื่องร้องเรียน!AN:AN,"สำราญราษฎร์",เรื่องร้องเรียน!CL:CL,"1")</f>
        <v>0</v>
      </c>
      <c r="I263" s="109">
        <f>COUNTIFS(เรื่องร้องเรียน!E:E,"4",เรื่องร้องเรียน!N:N,"สัมพันธวงศ์",เรื่องร้องเรียน!AN:AN,"สำราญราษฎร์")</f>
        <v>0</v>
      </c>
      <c r="J263" s="144">
        <f>COUNTIFS(เรื่องร้องเรียน!E:E,"4",เรื่องร้องเรียน!N:N,"สัมพันธวงศ์",เรื่องร้องเรียน!AN:AN,"สำราญราษฎร์",เรื่องร้องเรียน!CL:CL,"1")</f>
        <v>0</v>
      </c>
      <c r="K263" s="144"/>
      <c r="L263" s="144"/>
      <c r="M263" s="109">
        <f>SUM(C263,E263,G263,I263,K263)</f>
        <v>0</v>
      </c>
      <c r="N263" s="145">
        <f>SUM(D263,F263,H263,J263,L263)</f>
        <v>0</v>
      </c>
      <c r="O263" s="146">
        <f>COUNTIFS(เรื่องร้องเรียน!E:E,"1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P263" s="144">
        <f>COUNTIFS(เรื่องร้องเรียน!E:E,"2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Q263" s="144">
        <f>COUNTIFS(เรื่องร้องเรียน!E:E,"3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R263" s="144">
        <f>COUNTIFS(เรื่องร้องเรียน!E:E,"4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S263" s="144"/>
      <c r="T263" s="147">
        <f>SUM(O263:S263)</f>
        <v>0</v>
      </c>
      <c r="U263" s="183">
        <f>M263-N263-T263</f>
        <v>0</v>
      </c>
      <c r="W263" s="129">
        <f t="shared" si="85"/>
        <v>0</v>
      </c>
    </row>
    <row r="264" spans="1:23" ht="21.6" thickBot="1">
      <c r="A264" s="174"/>
      <c r="B264" s="172" t="s">
        <v>183</v>
      </c>
      <c r="C264" s="231">
        <f>COUNTIFS(เรื่องร้องเรียน!E:E,"1",เรื่องร้องเรียน!N:N,"สัมพันธวงศ์",เรื่องร้องเรียน!AN:AN,"พระราชวัง")</f>
        <v>0</v>
      </c>
      <c r="D264" s="124">
        <f>COUNTIFS(เรื่องร้องเรียน!E:E,"1",เรื่องร้องเรียน!N:N,"สัมพันธวงศ์",เรื่องร้องเรียน!AN:AN,"พระราชวัง",เรื่องร้องเรียน!CL:CL,"1")</f>
        <v>0</v>
      </c>
      <c r="E264" s="124">
        <f>COUNTIFS(เรื่องร้องเรียน!E:E,"2",เรื่องร้องเรียน!N:N,"สัมพันธวงศ์",เรื่องร้องเรียน!AN:AN,"พระราชวัง")</f>
        <v>0</v>
      </c>
      <c r="F264" s="124">
        <f>COUNTIFS(เรื่องร้องเรียน!E:E,"2",เรื่องร้องเรียน!N:N,"สัมพันธวงศ์",เรื่องร้องเรียน!AN:AN,"พระราชวัง",เรื่องร้องเรียน!CL:CL,"1")</f>
        <v>0</v>
      </c>
      <c r="G264" s="124">
        <f>COUNTIFS(เรื่องร้องเรียน!E:E,"3",เรื่องร้องเรียน!N:N,"สัมพันธวงศ์",เรื่องร้องเรียน!AN:AN,"พระราชวัง")</f>
        <v>0</v>
      </c>
      <c r="H264" s="124">
        <f>COUNTIFS(เรื่องร้องเรียน!E:E,"3",เรื่องร้องเรียน!N:N,"สัมพันธวงศ์",เรื่องร้องเรียน!AN:AN,"พระราชวัง",เรื่องร้องเรียน!CL:CL,"1")</f>
        <v>0</v>
      </c>
      <c r="I264" s="124">
        <f>COUNTIFS(เรื่องร้องเรียน!E:E,"4",เรื่องร้องเรียน!N:N,"สัมพันธวงศ์",เรื่องร้องเรียน!AN:AN,"พระราชวัง")</f>
        <v>0</v>
      </c>
      <c r="J264" s="157">
        <f>COUNTIFS(เรื่องร้องเรียน!E:E,"4",เรื่องร้องเรียน!N:N,"สัมพันธวงศ์",เรื่องร้องเรียน!AN:AN,"พระราชวัง",เรื่องร้องเรียน!CL:CL,"1")</f>
        <v>0</v>
      </c>
      <c r="K264" s="157"/>
      <c r="L264" s="157"/>
      <c r="M264" s="124">
        <f>SUM(C264,E264,G264,I264,K264)</f>
        <v>0</v>
      </c>
      <c r="N264" s="158">
        <f>SUM(D264,F264,H264,J264,L264)</f>
        <v>0</v>
      </c>
      <c r="O264" s="159">
        <f>COUNTIFS(เรื่องร้องเรียน!E:E,"1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P264" s="157">
        <f>COUNTIFS(เรื่องร้องเรียน!E:E,"2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Q264" s="157">
        <f>COUNTIFS(เรื่องร้องเรียน!E:E,"3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R264" s="157">
        <f>COUNTIFS(เรื่องร้องเรียน!E:E,"4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S264" s="157"/>
      <c r="T264" s="160">
        <f>SUM(O264:S264)</f>
        <v>0</v>
      </c>
      <c r="U264" s="184">
        <f>M264-N264-T264</f>
        <v>0</v>
      </c>
      <c r="W264" s="129">
        <f t="shared" si="85"/>
        <v>0</v>
      </c>
    </row>
    <row r="265" spans="1:23" ht="21.6" thickBot="1">
      <c r="A265" s="168" t="s">
        <v>78</v>
      </c>
      <c r="B265" s="166" t="s">
        <v>152</v>
      </c>
      <c r="C265" s="186">
        <f>SUM(C266:C269)</f>
        <v>0</v>
      </c>
      <c r="D265" s="187">
        <f t="shared" ref="D265:T265" si="107">SUM(D266:D269)</f>
        <v>0</v>
      </c>
      <c r="E265" s="187">
        <f t="shared" si="107"/>
        <v>0</v>
      </c>
      <c r="F265" s="187">
        <f t="shared" si="107"/>
        <v>0</v>
      </c>
      <c r="G265" s="187">
        <f t="shared" si="107"/>
        <v>0</v>
      </c>
      <c r="H265" s="187">
        <f t="shared" si="107"/>
        <v>0</v>
      </c>
      <c r="I265" s="187">
        <f t="shared" si="107"/>
        <v>0</v>
      </c>
      <c r="J265" s="187">
        <f t="shared" si="107"/>
        <v>0</v>
      </c>
      <c r="K265" s="187">
        <f t="shared" si="107"/>
        <v>0</v>
      </c>
      <c r="L265" s="187">
        <f t="shared" si="107"/>
        <v>0</v>
      </c>
      <c r="M265" s="187">
        <f t="shared" si="107"/>
        <v>0</v>
      </c>
      <c r="N265" s="188">
        <f t="shared" si="107"/>
        <v>0</v>
      </c>
      <c r="O265" s="186">
        <f t="shared" si="107"/>
        <v>0</v>
      </c>
      <c r="P265" s="187">
        <f t="shared" si="107"/>
        <v>0</v>
      </c>
      <c r="Q265" s="187">
        <f t="shared" si="107"/>
        <v>0</v>
      </c>
      <c r="R265" s="187">
        <f t="shared" si="107"/>
        <v>0</v>
      </c>
      <c r="S265" s="187">
        <f t="shared" si="107"/>
        <v>0</v>
      </c>
      <c r="T265" s="189">
        <f t="shared" si="107"/>
        <v>0</v>
      </c>
      <c r="U265" s="129">
        <f t="shared" si="95"/>
        <v>0</v>
      </c>
      <c r="W265" s="135">
        <f t="shared" si="85"/>
        <v>0</v>
      </c>
    </row>
    <row r="266" spans="1:23">
      <c r="A266" s="173"/>
      <c r="B266" s="170" t="s">
        <v>20</v>
      </c>
      <c r="C266" s="180"/>
      <c r="D266" s="178"/>
      <c r="E266" s="178"/>
      <c r="F266" s="178"/>
      <c r="G266" s="178"/>
      <c r="H266" s="178"/>
      <c r="I266" s="178"/>
      <c r="J266" s="178"/>
      <c r="K266" s="178">
        <f>COUNTIFS(เรื่องร้องเรียน!E:E,"5",เรื่องร้องเรียน!N:N,"สาทร")</f>
        <v>0</v>
      </c>
      <c r="L266" s="178">
        <f>COUNTIFS(เรื่องร้องเรียน!E:E,"5",เรื่องร้องเรียน!N:N,"สาทร",เรื่องร้องเรียน!CL:CL,"1")</f>
        <v>0</v>
      </c>
      <c r="M266" s="178">
        <f t="shared" ref="M266:N269" si="108">SUM(C266,E266,G266,I266,K266)</f>
        <v>0</v>
      </c>
      <c r="N266" s="179">
        <f t="shared" si="108"/>
        <v>0</v>
      </c>
      <c r="O266" s="180"/>
      <c r="P266" s="178"/>
      <c r="Q266" s="178"/>
      <c r="R266" s="178"/>
      <c r="S266" s="178">
        <f>COUNTIFS(เรื่องร้องเรียน!E:E,"5",เรื่องร้องเรียน!N:N,"สาทร",เรื่องร้องเรียน!AQ:AQ,"1",เรื่องร้องเรียน!CL:CL,"")</f>
        <v>0</v>
      </c>
      <c r="T266" s="181">
        <f t="shared" si="98"/>
        <v>0</v>
      </c>
      <c r="U266" s="182">
        <f t="shared" si="95"/>
        <v>0</v>
      </c>
      <c r="W266" s="129">
        <f t="shared" si="85"/>
        <v>0</v>
      </c>
    </row>
    <row r="267" spans="1:23">
      <c r="A267" s="148"/>
      <c r="B267" s="171" t="s">
        <v>142</v>
      </c>
      <c r="C267" s="246">
        <f>COUNTIFS(เรื่องร้องเรียน!E:E,"1",เรื่องร้องเรียน!N:N,"สาทร",เรื่องร้องเรียน!AN:AN,"ทุ่งมหาเมฆ")</f>
        <v>0</v>
      </c>
      <c r="D267" s="109">
        <f>COUNTIFS(เรื่องร้องเรียน!E:E,"1",เรื่องร้องเรียน!N:N,"สาทร",เรื่องร้องเรียน!AN:AN,"ทุ่งมหาเมฆ",เรื่องร้องเรียน!CL:CL,"1")</f>
        <v>0</v>
      </c>
      <c r="E267" s="109">
        <f>COUNTIFS(เรื่องร้องเรียน!E:E,"2",เรื่องร้องเรียน!N:N,"สาทร",เรื่องร้องเรียน!AN:AN,"ทุ่งมหาเมฆ")</f>
        <v>0</v>
      </c>
      <c r="F267" s="109">
        <f>COUNTIFS(เรื่องร้องเรียน!E:E,"2",เรื่องร้องเรียน!N:N,"สาทร",เรื่องร้องเรียน!AN:AN,"ทุ่งมหาเมฆ",เรื่องร้องเรียน!CL:CL,"1")</f>
        <v>0</v>
      </c>
      <c r="G267" s="109">
        <f>COUNTIFS(เรื่องร้องเรียน!E:E,"3",เรื่องร้องเรียน!N:N,"สาทร",เรื่องร้องเรียน!AN:AN,"ทุ่งมหาเมฆ")</f>
        <v>0</v>
      </c>
      <c r="H267" s="109">
        <f>COUNTIFS(เรื่องร้องเรียน!E:E,"3",เรื่องร้องเรียน!N:N,"สาทร",เรื่องร้องเรียน!AN:AN,"ทุ่งมหาเมฆ",เรื่องร้องเรียน!CL:CL,"1")</f>
        <v>0</v>
      </c>
      <c r="I267" s="109">
        <f>COUNTIFS(เรื่องร้องเรียน!E:E,"4",เรื่องร้องเรียน!N:N,"สาทร",เรื่องร้องเรียน!AN:AN,"ทุ่งมหาเมฆ")</f>
        <v>0</v>
      </c>
      <c r="J267" s="144">
        <f>COUNTIFS(เรื่องร้องเรียน!E:E,"4",เรื่องร้องเรียน!N:N,"สาทร",เรื่องร้องเรียน!AN:AN,"ทุ่งมหาเมฆ",เรื่องร้องเรียน!CL:CL,"1")</f>
        <v>0</v>
      </c>
      <c r="K267" s="144"/>
      <c r="L267" s="144"/>
      <c r="M267" s="109">
        <f t="shared" si="108"/>
        <v>0</v>
      </c>
      <c r="N267" s="145">
        <f t="shared" si="108"/>
        <v>0</v>
      </c>
      <c r="O267" s="146">
        <f>COUNTIFS(เรื่องร้องเรียน!E:E,"1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P267" s="144">
        <f>COUNTIFS(เรื่องร้องเรียน!E:E,"2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Q267" s="144">
        <f>COUNTIFS(เรื่องร้องเรียน!E:E,"3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R267" s="144">
        <f>COUNTIFS(เรื่องร้องเรียน!E:E,"4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S267" s="144"/>
      <c r="T267" s="147">
        <f t="shared" si="98"/>
        <v>0</v>
      </c>
      <c r="U267" s="183">
        <f t="shared" si="95"/>
        <v>0</v>
      </c>
      <c r="W267" s="129">
        <f t="shared" si="85"/>
        <v>0</v>
      </c>
    </row>
    <row r="268" spans="1:23">
      <c r="A268" s="148"/>
      <c r="B268" s="171" t="s">
        <v>80</v>
      </c>
      <c r="C268" s="246">
        <f>COUNTIFS(เรื่องร้องเรียน!E:E,"1",เรื่องร้องเรียน!N:N,"สาทร",เรื่องร้องเรียน!AN:AN,"ยานนาวา")</f>
        <v>0</v>
      </c>
      <c r="D268" s="109">
        <f>COUNTIFS(เรื่องร้องเรียน!E:E,"1",เรื่องร้องเรียน!N:N,"สาทร",เรื่องร้องเรียน!AN:AN,"ยานนาวา",เรื่องร้องเรียน!CL:CL,"1")</f>
        <v>0</v>
      </c>
      <c r="E268" s="109">
        <f>COUNTIFS(เรื่องร้องเรียน!E:E,"2",เรื่องร้องเรียน!N:N,"สาทร",เรื่องร้องเรียน!AN:AN,"ยานนาวา")</f>
        <v>0</v>
      </c>
      <c r="F268" s="109">
        <f>COUNTIFS(เรื่องร้องเรียน!E:E,"2",เรื่องร้องเรียน!N:N,"สาทร",เรื่องร้องเรียน!AN:AN,"ยานนาวา",เรื่องร้องเรียน!CL:CL,"1")</f>
        <v>0</v>
      </c>
      <c r="G268" s="109">
        <f>COUNTIFS(เรื่องร้องเรียน!E:E,"3",เรื่องร้องเรียน!N:N,"สาทร",เรื่องร้องเรียน!AN:AN,"ยานนาวา")</f>
        <v>0</v>
      </c>
      <c r="H268" s="109">
        <f>COUNTIFS(เรื่องร้องเรียน!E:E,"3",เรื่องร้องเรียน!N:N,"สาทร",เรื่องร้องเรียน!AN:AN,"ยานนาวา",เรื่องร้องเรียน!CL:CL,"1")</f>
        <v>0</v>
      </c>
      <c r="I268" s="109">
        <f>COUNTIFS(เรื่องร้องเรียน!E:E,"4",เรื่องร้องเรียน!N:N,"สาทร",เรื่องร้องเรียน!AN:AN,"ยานนาวา")</f>
        <v>0</v>
      </c>
      <c r="J268" s="144">
        <f>COUNTIFS(เรื่องร้องเรียน!E:E,"4",เรื่องร้องเรียน!N:N,"สาทร",เรื่องร้องเรียน!AN:AN,"ยานนาวา",เรื่องร้องเรียน!CL:CL,"1")</f>
        <v>0</v>
      </c>
      <c r="K268" s="144"/>
      <c r="L268" s="144"/>
      <c r="M268" s="109">
        <f t="shared" si="108"/>
        <v>0</v>
      </c>
      <c r="N268" s="145">
        <f t="shared" si="108"/>
        <v>0</v>
      </c>
      <c r="O268" s="146">
        <f>COUNTIFS(เรื่องร้องเรียน!E:E,"1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P268" s="144">
        <f>COUNTIFS(เรื่องร้องเรียน!E:E,"2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Q268" s="144">
        <f>COUNTIFS(เรื่องร้องเรียน!E:E,"3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R268" s="144">
        <f>COUNTIFS(เรื่องร้องเรียน!E:E,"4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S268" s="144"/>
      <c r="T268" s="147">
        <f t="shared" si="98"/>
        <v>0</v>
      </c>
      <c r="U268" s="183">
        <f t="shared" si="95"/>
        <v>0</v>
      </c>
      <c r="W268" s="129">
        <f t="shared" si="85"/>
        <v>0</v>
      </c>
    </row>
    <row r="269" spans="1:23" ht="21.6" thickBot="1">
      <c r="A269" s="174"/>
      <c r="B269" s="172" t="s">
        <v>104</v>
      </c>
      <c r="C269" s="231">
        <f>COUNTIFS(เรื่องร้องเรียน!E:E,"1",เรื่องร้องเรียน!N:N,"สาทร",เรื่องร้องเรียน!AN:AN,"วัดพระยาไกร")</f>
        <v>0</v>
      </c>
      <c r="D269" s="124">
        <f>COUNTIFS(เรื่องร้องเรียน!E:E,"1",เรื่องร้องเรียน!N:N,"สาทร",เรื่องร้องเรียน!AN:AN,"วัดพระยาไกร",เรื่องร้องเรียน!CL:CL,"1")</f>
        <v>0</v>
      </c>
      <c r="E269" s="124">
        <f>COUNTIFS(เรื่องร้องเรียน!E:E,"2",เรื่องร้องเรียน!N:N,"สาทร",เรื่องร้องเรียน!AN:AN,"วัดพระยาไกร")</f>
        <v>0</v>
      </c>
      <c r="F269" s="124">
        <f>COUNTIFS(เรื่องร้องเรียน!E:E,"2",เรื่องร้องเรียน!N:N,"สาทร",เรื่องร้องเรียน!AN:AN,"วัดพระยาไกร",เรื่องร้องเรียน!CL:CL,"1")</f>
        <v>0</v>
      </c>
      <c r="G269" s="124">
        <f>COUNTIFS(เรื่องร้องเรียน!E:E,"3",เรื่องร้องเรียน!N:N,"สาทร",เรื่องร้องเรียน!AN:AN,"วัดพระยาไกร")</f>
        <v>0</v>
      </c>
      <c r="H269" s="124">
        <f>COUNTIFS(เรื่องร้องเรียน!E:E,"3",เรื่องร้องเรียน!N:N,"สาทร",เรื่องร้องเรียน!AN:AN,"วัดพระยาไกร",เรื่องร้องเรียน!CL:CL,"1")</f>
        <v>0</v>
      </c>
      <c r="I269" s="124">
        <f>COUNTIFS(เรื่องร้องเรียน!E:E,"4",เรื่องร้องเรียน!N:N,"สาทร",เรื่องร้องเรียน!AN:AN,"วัดพระยาไกร")</f>
        <v>0</v>
      </c>
      <c r="J269" s="157">
        <f>COUNTIFS(เรื่องร้องเรียน!E:E,"4",เรื่องร้องเรียน!N:N,"สาทร",เรื่องร้องเรียน!AN:AN,"วัดพระยาไกร",เรื่องร้องเรียน!CL:CL,"1")</f>
        <v>0</v>
      </c>
      <c r="K269" s="157"/>
      <c r="L269" s="157"/>
      <c r="M269" s="124">
        <f t="shared" si="108"/>
        <v>0</v>
      </c>
      <c r="N269" s="158">
        <f t="shared" si="108"/>
        <v>0</v>
      </c>
      <c r="O269" s="159">
        <f>COUNTIFS(เรื่องร้องเรียน!E:E,"1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P269" s="157">
        <f>COUNTIFS(เรื่องร้องเรียน!E:E,"2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Q269" s="157">
        <f>COUNTIFS(เรื่องร้องเรียน!E:E,"3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R269" s="157">
        <f>COUNTIFS(เรื่องร้องเรียน!E:E,"4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S269" s="157"/>
      <c r="T269" s="160">
        <f t="shared" si="98"/>
        <v>0</v>
      </c>
      <c r="U269" s="184">
        <f t="shared" si="95"/>
        <v>0</v>
      </c>
      <c r="W269" s="129">
        <f t="shared" si="85"/>
        <v>0</v>
      </c>
    </row>
    <row r="270" spans="1:23" ht="21.6" thickBot="1">
      <c r="A270" s="168" t="s">
        <v>143</v>
      </c>
      <c r="B270" s="166" t="s">
        <v>152</v>
      </c>
      <c r="C270" s="132">
        <f>SUM(C271:C275)</f>
        <v>0</v>
      </c>
      <c r="D270" s="131">
        <f t="shared" ref="D270:T270" si="109">SUM(D271:D275)</f>
        <v>0</v>
      </c>
      <c r="E270" s="131">
        <f t="shared" si="109"/>
        <v>0</v>
      </c>
      <c r="F270" s="131">
        <f t="shared" si="109"/>
        <v>0</v>
      </c>
      <c r="G270" s="131">
        <f t="shared" si="109"/>
        <v>0</v>
      </c>
      <c r="H270" s="131">
        <f t="shared" si="109"/>
        <v>0</v>
      </c>
      <c r="I270" s="131">
        <f t="shared" si="109"/>
        <v>0</v>
      </c>
      <c r="J270" s="131">
        <f t="shared" si="109"/>
        <v>0</v>
      </c>
      <c r="K270" s="131">
        <f t="shared" si="109"/>
        <v>0</v>
      </c>
      <c r="L270" s="131">
        <f t="shared" si="109"/>
        <v>0</v>
      </c>
      <c r="M270" s="131">
        <f t="shared" si="109"/>
        <v>0</v>
      </c>
      <c r="N270" s="163">
        <f t="shared" si="109"/>
        <v>0</v>
      </c>
      <c r="O270" s="186">
        <f t="shared" si="109"/>
        <v>0</v>
      </c>
      <c r="P270" s="186">
        <f t="shared" si="109"/>
        <v>0</v>
      </c>
      <c r="Q270" s="186">
        <f t="shared" si="109"/>
        <v>0</v>
      </c>
      <c r="R270" s="186">
        <f t="shared" si="109"/>
        <v>0</v>
      </c>
      <c r="S270" s="186">
        <f t="shared" si="109"/>
        <v>0</v>
      </c>
      <c r="T270" s="133">
        <f t="shared" si="109"/>
        <v>0</v>
      </c>
      <c r="U270" s="134">
        <f t="shared" si="95"/>
        <v>0</v>
      </c>
      <c r="W270" s="135">
        <f t="shared" si="85"/>
        <v>0</v>
      </c>
    </row>
    <row r="271" spans="1:23">
      <c r="A271" s="173"/>
      <c r="B271" s="170" t="s">
        <v>20</v>
      </c>
      <c r="C271" s="180"/>
      <c r="D271" s="178"/>
      <c r="E271" s="178"/>
      <c r="F271" s="178"/>
      <c r="G271" s="178"/>
      <c r="H271" s="178"/>
      <c r="I271" s="178"/>
      <c r="J271" s="178"/>
      <c r="K271" s="178">
        <f>COUNTIFS(เรื่องร้องเรียน!E:E,"5",เรื่องร้องเรียน!N:N,"สายไหม")</f>
        <v>0</v>
      </c>
      <c r="L271" s="178">
        <f>COUNTIFS(เรื่องร้องเรียน!E:E,"5",เรื่องร้องเรียน!N:N,"สายไหม",เรื่องร้องเรียน!CL:CL,"1")</f>
        <v>0</v>
      </c>
      <c r="M271" s="178">
        <f t="shared" ref="M271:N274" si="110">SUM(C271,E271,G271,I271,K271)</f>
        <v>0</v>
      </c>
      <c r="N271" s="179">
        <f t="shared" si="110"/>
        <v>0</v>
      </c>
      <c r="O271" s="180"/>
      <c r="P271" s="178"/>
      <c r="Q271" s="178"/>
      <c r="R271" s="178"/>
      <c r="S271" s="178">
        <f>COUNTIFS(เรื่องร้องเรียน!E:E,"5",เรื่องร้องเรียน!N:N,"สายไหม",เรื่องร้องเรียน!AQ:AQ,"1",เรื่องร้องเรียน!CL:CL,"")</f>
        <v>0</v>
      </c>
      <c r="T271" s="181">
        <f t="shared" si="98"/>
        <v>0</v>
      </c>
      <c r="U271" s="182">
        <f t="shared" si="95"/>
        <v>0</v>
      </c>
      <c r="W271" s="129">
        <f t="shared" si="85"/>
        <v>0</v>
      </c>
    </row>
    <row r="272" spans="1:23">
      <c r="A272" s="148"/>
      <c r="B272" s="171" t="s">
        <v>77</v>
      </c>
      <c r="C272" s="246">
        <f>COUNTIFS(เรื่องร้องเรียน!E:E,"1",เรื่องร้องเรียน!N:N,"สายไหม",เรื่องร้องเรียน!AN:AN,"คันนายาว")</f>
        <v>0</v>
      </c>
      <c r="D272" s="109">
        <f>COUNTIFS(เรื่องร้องเรียน!E:E,"1",เรื่องร้องเรียน!N:N,"สายไหม",เรื่องร้องเรียน!AN:AN,"คันนายาว",เรื่องร้องเรียน!CL:CL,"1")</f>
        <v>0</v>
      </c>
      <c r="E272" s="109">
        <f>COUNTIFS(เรื่องร้องเรียน!E:E,"2",เรื่องร้องเรียน!N:N,"สายไหม",เรื่องร้องเรียน!AN:AN,"คันนายาว")</f>
        <v>0</v>
      </c>
      <c r="F272" s="109">
        <f>COUNTIFS(เรื่องร้องเรียน!E:E,"2",เรื่องร้องเรียน!N:N,"สายไหม",เรื่องร้องเรียน!AN:AN,"คันนายาว",เรื่องร้องเรียน!CL:CL,"1")</f>
        <v>0</v>
      </c>
      <c r="G272" s="109">
        <f>COUNTIFS(เรื่องร้องเรียน!E:E,"3",เรื่องร้องเรียน!N:N,"สายไหม",เรื่องร้องเรียน!AN:AN,"คันนายาว")</f>
        <v>0</v>
      </c>
      <c r="H272" s="109">
        <f>COUNTIFS(เรื่องร้องเรียน!E:E,"3",เรื่องร้องเรียน!N:N,"สายไหม",เรื่องร้องเรียน!AN:AN,"คันนายาว",เรื่องร้องเรียน!CL:CL,"1")</f>
        <v>0</v>
      </c>
      <c r="I272" s="109">
        <f>COUNTIFS(เรื่องร้องเรียน!E:E,"4",เรื่องร้องเรียน!N:N,"สายไหม",เรื่องร้องเรียน!AN:AN,"คันนายาว")</f>
        <v>0</v>
      </c>
      <c r="J272" s="144">
        <f>COUNTIFS(เรื่องร้องเรียน!E:E,"4",เรื่องร้องเรียน!N:N,"สายไหม",เรื่องร้องเรียน!AN:AN,"คันนายาว",เรื่องร้องเรียน!CL:CL,"1")</f>
        <v>0</v>
      </c>
      <c r="K272" s="144"/>
      <c r="L272" s="144"/>
      <c r="M272" s="109">
        <f t="shared" si="110"/>
        <v>0</v>
      </c>
      <c r="N272" s="145">
        <f t="shared" si="110"/>
        <v>0</v>
      </c>
      <c r="O272" s="146">
        <f>COUNTIFS(เรื่องร้องเรียน!E:E,"1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P272" s="144">
        <f>COUNTIFS(เรื่องร้องเรียน!E:E,"2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Q272" s="144">
        <f>COUNTIFS(เรื่องร้องเรียน!E:E,"3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R272" s="144">
        <f>COUNTIFS(เรื่องร้องเรียน!E:E,"4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S272" s="144"/>
      <c r="T272" s="147">
        <f t="shared" si="98"/>
        <v>0</v>
      </c>
      <c r="U272" s="183">
        <f t="shared" si="95"/>
        <v>0</v>
      </c>
      <c r="V272" s="10" t="s">
        <v>131</v>
      </c>
      <c r="W272" s="129">
        <f t="shared" ref="W272:W301" si="111">SUM(M272-N272)</f>
        <v>0</v>
      </c>
    </row>
    <row r="273" spans="1:23">
      <c r="A273" s="148"/>
      <c r="B273" s="171" t="s">
        <v>107</v>
      </c>
      <c r="C273" s="246">
        <f>COUNTIFS(เรื่องร้องเรียน!E:E,"1",เรื่องร้องเรียน!N:N,"สายไหม",เรื่องร้องเรียน!AN:AN,"บางเขน")</f>
        <v>0</v>
      </c>
      <c r="D273" s="109">
        <f>COUNTIFS(เรื่องร้องเรียน!E:E,"1",เรื่องร้องเรียน!N:N,"สายไหม",เรื่องร้องเรียน!AN:AN,"บางเขน",เรื่องร้องเรียน!CL:CL,"1")</f>
        <v>0</v>
      </c>
      <c r="E273" s="109">
        <f>COUNTIFS(เรื่องร้องเรียน!E:E,"2",เรื่องร้องเรียน!N:N,"สายไหม",เรื่องร้องเรียน!AN:AN,"บางเขน")</f>
        <v>0</v>
      </c>
      <c r="F273" s="109">
        <f>COUNTIFS(เรื่องร้องเรียน!E:E,"2",เรื่องร้องเรียน!N:N,"สายไหม",เรื่องร้องเรียน!AN:AN,"บางเขน",เรื่องร้องเรียน!CL:CL,"1")</f>
        <v>0</v>
      </c>
      <c r="G273" s="109">
        <f>COUNTIFS(เรื่องร้องเรียน!E:E,"3",เรื่องร้องเรียน!N:N,"สายไหม",เรื่องร้องเรียน!AN:AN,"บางเขน")</f>
        <v>0</v>
      </c>
      <c r="H273" s="109">
        <f>COUNTIFS(เรื่องร้องเรียน!E:E,"3",เรื่องร้องเรียน!N:N,"สายไหม",เรื่องร้องเรียน!AN:AN,"บางเขน",เรื่องร้องเรียน!CL:CL,"1")</f>
        <v>0</v>
      </c>
      <c r="I273" s="109">
        <f>COUNTIFS(เรื่องร้องเรียน!E:E,"4",เรื่องร้องเรียน!N:N,"สายไหม",เรื่องร้องเรียน!AN:AN,"บางเขน")</f>
        <v>0</v>
      </c>
      <c r="J273" s="144">
        <f>COUNTIFS(เรื่องร้องเรียน!E:E,"4",เรื่องร้องเรียน!N:N,"สายไหม",เรื่องร้องเรียน!AN:AN,"บางเขน",เรื่องร้องเรียน!CL:CL,"1")</f>
        <v>0</v>
      </c>
      <c r="K273" s="144"/>
      <c r="L273" s="144"/>
      <c r="M273" s="109">
        <f t="shared" si="110"/>
        <v>0</v>
      </c>
      <c r="N273" s="145">
        <f t="shared" si="110"/>
        <v>0</v>
      </c>
      <c r="O273" s="146">
        <f>COUNTIFS(เรื่องร้องเรียน!E:E,"1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P273" s="144">
        <f>COUNTIFS(เรื่องร้องเรียน!E:E,"2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Q273" s="144">
        <f>COUNTIFS(เรื่องร้องเรียน!E:E,"3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R273" s="144">
        <f>COUNTIFS(เรื่องร้องเรียน!E:E,"4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S273" s="144"/>
      <c r="T273" s="147">
        <f t="shared" si="98"/>
        <v>0</v>
      </c>
      <c r="U273" s="183">
        <f t="shared" si="95"/>
        <v>0</v>
      </c>
      <c r="W273" s="129">
        <f t="shared" si="111"/>
        <v>0</v>
      </c>
    </row>
    <row r="274" spans="1:23">
      <c r="A274" s="148"/>
      <c r="B274" s="171" t="s">
        <v>143</v>
      </c>
      <c r="C274" s="246">
        <f>COUNTIFS(เรื่องร้องเรียน!E:E,"1",เรื่องร้องเรียน!N:N,"สายไหม",เรื่องร้องเรียน!AN:AN,"สายไหม")</f>
        <v>0</v>
      </c>
      <c r="D274" s="109">
        <f>COUNTIFS(เรื่องร้องเรียน!E:E,"1",เรื่องร้องเรียน!N:N,"สายไหม",เรื่องร้องเรียน!AN:AN,"สายไหม",เรื่องร้องเรียน!CL:CL,"1")</f>
        <v>0</v>
      </c>
      <c r="E274" s="109">
        <f>COUNTIFS(เรื่องร้องเรียน!E:E,"2",เรื่องร้องเรียน!N:N,"สายไหม",เรื่องร้องเรียน!AN:AN,"สายไหม")</f>
        <v>0</v>
      </c>
      <c r="F274" s="109">
        <f>COUNTIFS(เรื่องร้องเรียน!E:E,"2",เรื่องร้องเรียน!N:N,"สายไหม",เรื่องร้องเรียน!AN:AN,"สายไหม",เรื่องร้องเรียน!CL:CL,"1")</f>
        <v>0</v>
      </c>
      <c r="G274" s="109">
        <f>COUNTIFS(เรื่องร้องเรียน!E:E,"3",เรื่องร้องเรียน!N:N,"สายไหม",เรื่องร้องเรียน!AN:AN,"สายไหม")</f>
        <v>0</v>
      </c>
      <c r="H274" s="109">
        <f>COUNTIFS(เรื่องร้องเรียน!E:E,"3",เรื่องร้องเรียน!N:N,"สายไหม",เรื่องร้องเรียน!AN:AN,"สายไหม",เรื่องร้องเรียน!CL:CL,"1")</f>
        <v>0</v>
      </c>
      <c r="I274" s="109">
        <f>COUNTIFS(เรื่องร้องเรียน!E:E,"4",เรื่องร้องเรียน!N:N,"สายไหม",เรื่องร้องเรียน!AN:AN,"สายไหม")</f>
        <v>0</v>
      </c>
      <c r="J274" s="144">
        <f>COUNTIFS(เรื่องร้องเรียน!E:E,"4",เรื่องร้องเรียน!N:N,"สายไหม",เรื่องร้องเรียน!AN:AN,"สายไหม",เรื่องร้องเรียน!CL:CL,"1")</f>
        <v>0</v>
      </c>
      <c r="K274" s="144"/>
      <c r="L274" s="144"/>
      <c r="M274" s="109">
        <f t="shared" si="110"/>
        <v>0</v>
      </c>
      <c r="N274" s="145">
        <f t="shared" si="110"/>
        <v>0</v>
      </c>
      <c r="O274" s="146">
        <f>COUNTIFS(เรื่องร้องเรียน!E:E,"1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P274" s="144">
        <f>COUNTIFS(เรื่องร้องเรียน!E:E,"2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Q274" s="144">
        <f>COUNTIFS(เรื่องร้องเรียน!E:E,"3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R274" s="144">
        <f>COUNTIFS(เรื่องร้องเรียน!E:E,"4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S274" s="144"/>
      <c r="T274" s="147">
        <f t="shared" si="98"/>
        <v>0</v>
      </c>
      <c r="U274" s="183">
        <f t="shared" si="95"/>
        <v>0</v>
      </c>
      <c r="W274" s="129">
        <f t="shared" si="111"/>
        <v>0</v>
      </c>
    </row>
    <row r="275" spans="1:23" ht="21.6" thickBot="1">
      <c r="A275" s="174"/>
      <c r="B275" s="172" t="s">
        <v>131</v>
      </c>
      <c r="C275" s="231">
        <f>COUNTIFS(เรื่องร้องเรียน!E:E,"1",เรื่องร้องเรียน!N:N,"สายไหม",เรื่องร้องเรียน!AN:AN,"นิมิตรใหม่")</f>
        <v>0</v>
      </c>
      <c r="D275" s="124">
        <f>COUNTIFS(เรื่องร้องเรียน!E:E,"1",เรื่องร้องเรียน!N:N,"สายไหม",เรื่องร้องเรียน!AN:AN,"นิมิตรใหม่",เรื่องร้องเรียน!CL:CL,"1")</f>
        <v>0</v>
      </c>
      <c r="E275" s="124">
        <f>COUNTIFS(เรื่องร้องเรียน!E:E,"2",เรื่องร้องเรียน!N:N,"สายไหม",เรื่องร้องเรียน!AN:AN,"นิมิตรใหม่")</f>
        <v>0</v>
      </c>
      <c r="F275" s="124">
        <f>COUNTIFS(เรื่องร้องเรียน!E:E,"2",เรื่องร้องเรียน!N:N,"สายไหม",เรื่องร้องเรียน!AN:AN,"นิมิตรใหม่",เรื่องร้องเรียน!CL:CL,"1")</f>
        <v>0</v>
      </c>
      <c r="G275" s="124">
        <f>COUNTIFS(เรื่องร้องเรียน!E:E,"3",เรื่องร้องเรียน!N:N,"สายไหม",เรื่องร้องเรียน!AN:AN,"นิมิตรใหม่")</f>
        <v>0</v>
      </c>
      <c r="H275" s="124">
        <f>COUNTIFS(เรื่องร้องเรียน!E:E,"3",เรื่องร้องเรียน!N:N,"สายไหม",เรื่องร้องเรียน!AN:AN,"นิมิตรใหม่",เรื่องร้องเรียน!CL:CL,"1")</f>
        <v>0</v>
      </c>
      <c r="I275" s="124">
        <f>COUNTIFS(เรื่องร้องเรียน!E:E,"4",เรื่องร้องเรียน!N:N,"สายไหม",เรื่องร้องเรียน!AN:AN,"นิมิตรใหม่")</f>
        <v>0</v>
      </c>
      <c r="J275" s="157">
        <f>COUNTIFS(เรื่องร้องเรียน!E:E,"4",เรื่องร้องเรียน!N:N,"สายไหม",เรื่องร้องเรียน!AN:AN,"นิมิตรใหม่",เรื่องร้องเรียน!CL:CL,"1")</f>
        <v>0</v>
      </c>
      <c r="K275" s="157"/>
      <c r="L275" s="157"/>
      <c r="M275" s="124">
        <f>SUM(C275,E275,G275,I275,K275)</f>
        <v>0</v>
      </c>
      <c r="N275" s="158">
        <f>SUM(D275,F275,H275,J275,L275)</f>
        <v>0</v>
      </c>
      <c r="O275" s="159">
        <f>COUNTIFS(เรื่องร้องเรียน!E:E,"1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P275" s="157">
        <f>COUNTIFS(เรื่องร้องเรียน!E:E,"2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Q275" s="157">
        <f>COUNTIFS(เรื่องร้องเรียน!E:E,"3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R275" s="157">
        <f>COUNTIFS(เรื่องร้องเรียน!E:E,"4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S275" s="157"/>
      <c r="T275" s="160">
        <f>SUM(O275:S275)</f>
        <v>0</v>
      </c>
      <c r="U275" s="184">
        <f>M275-N275-T275</f>
        <v>0</v>
      </c>
      <c r="W275" s="129">
        <f t="shared" si="111"/>
        <v>0</v>
      </c>
    </row>
    <row r="276" spans="1:23" ht="21.6" thickBot="1">
      <c r="A276" s="168" t="s">
        <v>93</v>
      </c>
      <c r="B276" s="166" t="s">
        <v>152</v>
      </c>
      <c r="C276" s="186">
        <f>SUM(C277:C279)</f>
        <v>0</v>
      </c>
      <c r="D276" s="187">
        <f t="shared" ref="D276:T276" si="112">SUM(D277:D279)</f>
        <v>0</v>
      </c>
      <c r="E276" s="187">
        <f t="shared" si="112"/>
        <v>0</v>
      </c>
      <c r="F276" s="187">
        <f t="shared" si="112"/>
        <v>0</v>
      </c>
      <c r="G276" s="187">
        <f t="shared" si="112"/>
        <v>0</v>
      </c>
      <c r="H276" s="187">
        <f t="shared" si="112"/>
        <v>0</v>
      </c>
      <c r="I276" s="187">
        <f t="shared" si="112"/>
        <v>0</v>
      </c>
      <c r="J276" s="187">
        <f t="shared" si="112"/>
        <v>0</v>
      </c>
      <c r="K276" s="187">
        <f t="shared" si="112"/>
        <v>0</v>
      </c>
      <c r="L276" s="187">
        <f t="shared" si="112"/>
        <v>0</v>
      </c>
      <c r="M276" s="187">
        <f t="shared" si="112"/>
        <v>0</v>
      </c>
      <c r="N276" s="188">
        <f t="shared" si="112"/>
        <v>0</v>
      </c>
      <c r="O276" s="186">
        <f t="shared" si="112"/>
        <v>0</v>
      </c>
      <c r="P276" s="187">
        <f t="shared" si="112"/>
        <v>0</v>
      </c>
      <c r="Q276" s="187">
        <f t="shared" si="112"/>
        <v>0</v>
      </c>
      <c r="R276" s="187">
        <f t="shared" si="112"/>
        <v>0</v>
      </c>
      <c r="S276" s="187">
        <f t="shared" si="112"/>
        <v>0</v>
      </c>
      <c r="T276" s="189">
        <f t="shared" si="112"/>
        <v>0</v>
      </c>
      <c r="U276" s="129">
        <f t="shared" si="95"/>
        <v>0</v>
      </c>
      <c r="W276" s="135">
        <f t="shared" si="111"/>
        <v>0</v>
      </c>
    </row>
    <row r="277" spans="1:23">
      <c r="A277" s="173"/>
      <c r="B277" s="170" t="s">
        <v>20</v>
      </c>
      <c r="C277" s="180"/>
      <c r="D277" s="178"/>
      <c r="E277" s="178"/>
      <c r="F277" s="178"/>
      <c r="G277" s="178"/>
      <c r="H277" s="178"/>
      <c r="I277" s="178"/>
      <c r="J277" s="178"/>
      <c r="K277" s="178">
        <f>COUNTIFS(เรื่องร้องเรียน!E:E,"5",เรื่องร้องเรียน!N:N,"หนองแขม")</f>
        <v>0</v>
      </c>
      <c r="L277" s="178">
        <f>COUNTIFS(เรื่องร้องเรียน!E:E,"5",เรื่องร้องเรียน!N:N,"หนองแขม",เรื่องร้องเรียน!CL:CL,"1")</f>
        <v>0</v>
      </c>
      <c r="M277" s="178">
        <f t="shared" ref="M277:N279" si="113">SUM(C277,E277,G277,I277,K277)</f>
        <v>0</v>
      </c>
      <c r="N277" s="179">
        <f t="shared" si="113"/>
        <v>0</v>
      </c>
      <c r="O277" s="180"/>
      <c r="P277" s="178"/>
      <c r="Q277" s="178"/>
      <c r="R277" s="178"/>
      <c r="S277" s="178">
        <f>COUNTIFS(เรื่องร้องเรียน!E:E,"5",เรื่องร้องเรียน!N:N,"หนองแขม",เรื่องร้องเรียน!AQ:AQ,"1",เรื่องร้องเรียน!CL:CL,"")</f>
        <v>0</v>
      </c>
      <c r="T277" s="181">
        <f t="shared" si="98"/>
        <v>0</v>
      </c>
      <c r="U277" s="182">
        <f t="shared" si="95"/>
        <v>0</v>
      </c>
      <c r="W277" s="129">
        <f t="shared" si="111"/>
        <v>0</v>
      </c>
    </row>
    <row r="278" spans="1:23">
      <c r="A278" s="148"/>
      <c r="B278" s="171" t="s">
        <v>93</v>
      </c>
      <c r="C278" s="246">
        <f>COUNTIFS(เรื่องร้องเรียน!E:E,"1",เรื่องร้องเรียน!N:N,"หนองแขม",เรื่องร้องเรียน!AN:AN,"หนองแขม")</f>
        <v>0</v>
      </c>
      <c r="D278" s="109">
        <f>COUNTIFS(เรื่องร้องเรียน!E:E,"1",เรื่องร้องเรียน!N:N,"หนองแขม",เรื่องร้องเรียน!AN:AN,"หนองแขม",เรื่องร้องเรียน!CL:CL,"1")</f>
        <v>0</v>
      </c>
      <c r="E278" s="109">
        <f>COUNTIFS(เรื่องร้องเรียน!E:E,"2",เรื่องร้องเรียน!N:N,"หนองแขม",เรื่องร้องเรียน!AN:AN,"หนองแขม")</f>
        <v>0</v>
      </c>
      <c r="F278" s="109">
        <f>COUNTIFS(เรื่องร้องเรียน!E:E,"2",เรื่องร้องเรียน!N:N,"หนองแขม",เรื่องร้องเรียน!AN:AN,"หนองแขม",เรื่องร้องเรียน!CL:CL,"1")</f>
        <v>0</v>
      </c>
      <c r="G278" s="109">
        <f>COUNTIFS(เรื่องร้องเรียน!E:E,"3",เรื่องร้องเรียน!N:N,"หนองแขม",เรื่องร้องเรียน!AN:AN,"หนองแขม")</f>
        <v>0</v>
      </c>
      <c r="H278" s="109">
        <f>COUNTIFS(เรื่องร้องเรียน!E:E,"3",เรื่องร้องเรียน!N:N,"หนองแขม",เรื่องร้องเรียน!AN:AN,"หนองแขม",เรื่องร้องเรียน!CL:CL,"1")</f>
        <v>0</v>
      </c>
      <c r="I278" s="109">
        <f>COUNTIFS(เรื่องร้องเรียน!E:E,"4",เรื่องร้องเรียน!N:N,"หนองแขม",เรื่องร้องเรียน!AN:AN,"หนองแขม")</f>
        <v>0</v>
      </c>
      <c r="J278" s="144">
        <f>COUNTIFS(เรื่องร้องเรียน!E:E,"4",เรื่องร้องเรียน!N:N,"หนองแขม",เรื่องร้องเรียน!AN:AN,"หนองแขม",เรื่องร้องเรียน!CL:CL,"1")</f>
        <v>0</v>
      </c>
      <c r="K278" s="144"/>
      <c r="L278" s="144"/>
      <c r="M278" s="109">
        <f t="shared" si="113"/>
        <v>0</v>
      </c>
      <c r="N278" s="145">
        <f t="shared" si="113"/>
        <v>0</v>
      </c>
      <c r="O278" s="146">
        <f>COUNTIFS(เรื่องร้องเรียน!E:E,"1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P278" s="144">
        <f>COUNTIFS(เรื่องร้องเรียน!E:E,"2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Q278" s="144">
        <f>COUNTIFS(เรื่องร้องเรียน!E:E,"3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R278" s="144">
        <f>COUNTIFS(เรื่องร้องเรียน!E:E,"4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S278" s="144"/>
      <c r="T278" s="147">
        <f t="shared" si="98"/>
        <v>0</v>
      </c>
      <c r="U278" s="183">
        <f t="shared" si="95"/>
        <v>0</v>
      </c>
      <c r="W278" s="129">
        <f t="shared" si="111"/>
        <v>0</v>
      </c>
    </row>
    <row r="279" spans="1:23" s="490" customFormat="1" ht="21.6" thickBot="1">
      <c r="A279" s="480"/>
      <c r="B279" s="481" t="s">
        <v>135</v>
      </c>
      <c r="C279" s="482">
        <f>COUNTIFS(เรื่องร้องเรียน!E:E,"1",เรื่องร้องเรียน!N:N,"หนองแขม",เรื่องร้องเรียน!AN:AN,"หนองค้างพลู")</f>
        <v>0</v>
      </c>
      <c r="D279" s="483">
        <f>COUNTIFS(เรื่องร้องเรียน!E:E,"1",เรื่องร้องเรียน!N:N,"หนองแขม",เรื่องร้องเรียน!AN:AN,"หนองค้างพลู",เรื่องร้องเรียน!CL:CL,"1")</f>
        <v>0</v>
      </c>
      <c r="E279" s="483">
        <f>COUNTIFS(เรื่องร้องเรียน!E:E,"2",เรื่องร้องเรียน!N:N,"หนองแขม",เรื่องร้องเรียน!AN:AN,"หนองค้างพลู")</f>
        <v>0</v>
      </c>
      <c r="F279" s="483">
        <f>COUNTIFS(เรื่องร้องเรียน!E:E,"2",เรื่องร้องเรียน!N:N,"หนองแขม",เรื่องร้องเรียน!AN:AN,"หนองค้างพลู",เรื่องร้องเรียน!CL:CL,"1")</f>
        <v>0</v>
      </c>
      <c r="G279" s="483">
        <f>COUNTIFS(เรื่องร้องเรียน!E:E,"3",เรื่องร้องเรียน!N:N,"หนองแขม",เรื่องร้องเรียน!AN:AN,"หนองค้างพลู")</f>
        <v>0</v>
      </c>
      <c r="H279" s="483">
        <f>COUNTIFS(เรื่องร้องเรียน!E:E,"3",เรื่องร้องเรียน!N:N,"หนองแขม",เรื่องร้องเรียน!AN:AN,"หนองค้างพลู",เรื่องร้องเรียน!CL:CL,"1")</f>
        <v>0</v>
      </c>
      <c r="I279" s="483">
        <f>COUNTIFS(เรื่องร้องเรียน!E:E,"4",เรื่องร้องเรียน!N:N,"หนองแขม",เรื่องร้องเรียน!AN:AN,"หนองค้างพลู")</f>
        <v>0</v>
      </c>
      <c r="J279" s="484">
        <f>COUNTIFS(เรื่องร้องเรียน!E:E,"4",เรื่องร้องเรียน!N:N,"หนองแขม",เรื่องร้องเรียน!AN:AN,"หนองค้างพลู",เรื่องร้องเรียน!CL:CL,"1")</f>
        <v>0</v>
      </c>
      <c r="K279" s="484"/>
      <c r="L279" s="484"/>
      <c r="M279" s="483">
        <f t="shared" si="113"/>
        <v>0</v>
      </c>
      <c r="N279" s="485">
        <f t="shared" si="113"/>
        <v>0</v>
      </c>
      <c r="O279" s="486">
        <f>COUNTIFS(เรื่องร้องเรียน!E:E,"1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P279" s="487">
        <f>COUNTIFS(เรื่องร้องเรียน!E:E,"2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Q279" s="487">
        <f>COUNTIFS(เรื่องร้องเรียน!E:E,"3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R279" s="487">
        <f>COUNTIFS(เรื่องร้องเรียน!E:E,"4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S279" s="487"/>
      <c r="T279" s="488">
        <f t="shared" si="98"/>
        <v>0</v>
      </c>
      <c r="U279" s="489">
        <f t="shared" si="95"/>
        <v>0</v>
      </c>
      <c r="W279" s="491">
        <f t="shared" si="111"/>
        <v>0</v>
      </c>
    </row>
    <row r="280" spans="1:23" ht="21.6" thickBot="1">
      <c r="A280" s="168" t="s">
        <v>141</v>
      </c>
      <c r="B280" s="166" t="s">
        <v>152</v>
      </c>
      <c r="C280" s="132">
        <f>SUM(C281:C287)</f>
        <v>0</v>
      </c>
      <c r="D280" s="131">
        <f t="shared" ref="D280:T280" si="114">SUM(D281:D287)</f>
        <v>0</v>
      </c>
      <c r="E280" s="131">
        <f t="shared" si="114"/>
        <v>0</v>
      </c>
      <c r="F280" s="131">
        <f t="shared" si="114"/>
        <v>0</v>
      </c>
      <c r="G280" s="131">
        <f t="shared" si="114"/>
        <v>0</v>
      </c>
      <c r="H280" s="131">
        <f t="shared" si="114"/>
        <v>0</v>
      </c>
      <c r="I280" s="131">
        <f t="shared" si="114"/>
        <v>0</v>
      </c>
      <c r="J280" s="131">
        <f t="shared" si="114"/>
        <v>0</v>
      </c>
      <c r="K280" s="131">
        <f t="shared" si="114"/>
        <v>0</v>
      </c>
      <c r="L280" s="131">
        <f t="shared" si="114"/>
        <v>0</v>
      </c>
      <c r="M280" s="131">
        <f t="shared" si="114"/>
        <v>0</v>
      </c>
      <c r="N280" s="163">
        <f t="shared" si="114"/>
        <v>0</v>
      </c>
      <c r="O280" s="186">
        <f t="shared" si="114"/>
        <v>0</v>
      </c>
      <c r="P280" s="186">
        <f t="shared" si="114"/>
        <v>0</v>
      </c>
      <c r="Q280" s="186">
        <f t="shared" si="114"/>
        <v>0</v>
      </c>
      <c r="R280" s="186">
        <f t="shared" si="114"/>
        <v>0</v>
      </c>
      <c r="S280" s="186">
        <f t="shared" si="114"/>
        <v>0</v>
      </c>
      <c r="T280" s="133">
        <f t="shared" si="114"/>
        <v>0</v>
      </c>
      <c r="U280" s="134">
        <f t="shared" si="95"/>
        <v>0</v>
      </c>
      <c r="W280" s="135">
        <f t="shared" si="111"/>
        <v>0</v>
      </c>
    </row>
    <row r="281" spans="1:23">
      <c r="A281" s="173"/>
      <c r="B281" s="170" t="s">
        <v>20</v>
      </c>
      <c r="C281" s="180"/>
      <c r="D281" s="178"/>
      <c r="E281" s="178"/>
      <c r="F281" s="178"/>
      <c r="G281" s="178"/>
      <c r="H281" s="178"/>
      <c r="I281" s="178"/>
      <c r="J281" s="178"/>
      <c r="K281" s="178">
        <f>COUNTIFS(เรื่องร้องเรียน!E:E,"5",เรื่องร้องเรียน!N:N,"หนองจอก")</f>
        <v>0</v>
      </c>
      <c r="L281" s="178">
        <f>COUNTIFS(เรื่องร้องเรียน!E:E,"5",เรื่องร้องเรียน!N:N,"หนองจอก",เรื่องร้องเรียน!CL:CL,"1")</f>
        <v>0</v>
      </c>
      <c r="M281" s="178">
        <f t="shared" ref="M281:N286" si="115">SUM(C281,E281,G281,I281,K281)</f>
        <v>0</v>
      </c>
      <c r="N281" s="179">
        <f t="shared" si="115"/>
        <v>0</v>
      </c>
      <c r="O281" s="180"/>
      <c r="P281" s="178"/>
      <c r="Q281" s="178"/>
      <c r="R281" s="178"/>
      <c r="S281" s="178">
        <f>COUNTIFS(เรื่องร้องเรียน!E:E,"5",เรื่องร้องเรียน!N:N,"หนองจอก",เรื่องร้องเรียน!AQ:AQ,"1",เรื่องร้องเรียน!CL:CL,"")</f>
        <v>0</v>
      </c>
      <c r="T281" s="181">
        <f t="shared" si="98"/>
        <v>0</v>
      </c>
      <c r="U281" s="182">
        <f t="shared" si="95"/>
        <v>0</v>
      </c>
      <c r="W281" s="129">
        <f t="shared" si="111"/>
        <v>0</v>
      </c>
    </row>
    <row r="282" spans="1:23">
      <c r="A282" s="148"/>
      <c r="B282" s="171" t="s">
        <v>174</v>
      </c>
      <c r="C282" s="246">
        <f>COUNTIFS(เรื่องร้องเรียน!E:E,"1",เรื่องร้องเรียน!N:N,"หนองจอก",เรื่องร้องเรียน!AN:AN,"ประชาสำราญ")</f>
        <v>0</v>
      </c>
      <c r="D282" s="109">
        <f>COUNTIFS(เรื่องร้องเรียน!E:E,"1",เรื่องร้องเรียน!N:N,"หนองจอก",เรื่องร้องเรียน!AN:AN,"ประชาสำราญ",เรื่องร้องเรียน!CL:CL,"1")</f>
        <v>0</v>
      </c>
      <c r="E282" s="109">
        <f>COUNTIFS(เรื่องร้องเรียน!E:E,"2",เรื่องร้องเรียน!N:N,"หนองจอก",เรื่องร้องเรียน!AN:AN,"ประชาสำราญ")</f>
        <v>0</v>
      </c>
      <c r="F282" s="109">
        <f>COUNTIFS(เรื่องร้องเรียน!E:E,"2",เรื่องร้องเรียน!N:N,"หนองจอก",เรื่องร้องเรียน!AN:AN,"ประชาสำราญ",เรื่องร้องเรียน!CL:CL,"1")</f>
        <v>0</v>
      </c>
      <c r="G282" s="109">
        <f>COUNTIFS(เรื่องร้องเรียน!E:E,"3",เรื่องร้องเรียน!N:N,"หนองจอก",เรื่องร้องเรียน!AN:AN,"ประชาสำราญ")</f>
        <v>0</v>
      </c>
      <c r="H282" s="109">
        <f>COUNTIFS(เรื่องร้องเรียน!E:E,"3",เรื่องร้องเรียน!N:N,"หนองจอก",เรื่องร้องเรียน!AN:AN,"ประชาสำราญ",เรื่องร้องเรียน!CL:CL,"1")</f>
        <v>0</v>
      </c>
      <c r="I282" s="109">
        <f>COUNTIFS(เรื่องร้องเรียน!E:E,"4",เรื่องร้องเรียน!N:N,"หนองจอก",เรื่องร้องเรียน!AN:AN,"ประชาสำราญ")</f>
        <v>0</v>
      </c>
      <c r="J282" s="144">
        <f>COUNTIFS(เรื่องร้องเรียน!E:E,"4",เรื่องร้องเรียน!N:N,"หนองจอก",เรื่องร้องเรียน!AN:AN,"ประชาสำราญ",เรื่องร้องเรียน!CL:CL,"1")</f>
        <v>0</v>
      </c>
      <c r="K282" s="144"/>
      <c r="L282" s="144"/>
      <c r="M282" s="109">
        <f t="shared" si="115"/>
        <v>0</v>
      </c>
      <c r="N282" s="145">
        <f t="shared" si="115"/>
        <v>0</v>
      </c>
      <c r="O282" s="146">
        <f>COUNTIFS(เรื่องร้องเรียน!E:E,"1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P282" s="144">
        <f>COUNTIFS(เรื่องร้องเรียน!E:E,"2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Q282" s="144">
        <f>COUNTIFS(เรื่องร้องเรียน!E:E,"3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R282" s="144">
        <f>COUNTIFS(เรื่องร้องเรียน!E:E,"4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S282" s="144"/>
      <c r="T282" s="147">
        <f t="shared" si="98"/>
        <v>0</v>
      </c>
      <c r="U282" s="183">
        <f t="shared" si="95"/>
        <v>0</v>
      </c>
      <c r="V282" s="10" t="s">
        <v>116</v>
      </c>
      <c r="W282" s="129">
        <f t="shared" si="111"/>
        <v>0</v>
      </c>
    </row>
    <row r="283" spans="1:23">
      <c r="A283" s="148"/>
      <c r="B283" s="171" t="s">
        <v>176</v>
      </c>
      <c r="C283" s="246">
        <f>COUNTIFS(เรื่องร้องเรียน!E:E,"1",เรื่องร้องเรียน!N:N,"หนองจอก",เรื่องร้องเรียน!AN:AN,"ลำผักชี")</f>
        <v>0</v>
      </c>
      <c r="D283" s="109">
        <f>COUNTIFS(เรื่องร้องเรียน!E:E,"1",เรื่องร้องเรียน!N:N,"หนองจอก",เรื่องร้องเรียน!AN:AN,"ลำผักชี",เรื่องร้องเรียน!CL:CL,"1")</f>
        <v>0</v>
      </c>
      <c r="E283" s="109">
        <f>COUNTIFS(เรื่องร้องเรียน!E:E,"2",เรื่องร้องเรียน!N:N,"หนองจอก",เรื่องร้องเรียน!AN:AN,"ลำผักชี")</f>
        <v>0</v>
      </c>
      <c r="F283" s="109">
        <f>COUNTIFS(เรื่องร้องเรียน!E:E,"2",เรื่องร้องเรียน!N:N,"หนองจอก",เรื่องร้องเรียน!AN:AN,"ลำผักชี",เรื่องร้องเรียน!CL:CL,"1")</f>
        <v>0</v>
      </c>
      <c r="G283" s="109">
        <f>COUNTIFS(เรื่องร้องเรียน!E:E,"3",เรื่องร้องเรียน!N:N,"หนองจอก",เรื่องร้องเรียน!AN:AN,"ลำผักชี")</f>
        <v>0</v>
      </c>
      <c r="H283" s="109">
        <f>COUNTIFS(เรื่องร้องเรียน!E:E,"3",เรื่องร้องเรียน!N:N,"หนองจอก",เรื่องร้องเรียน!AN:AN,"ลำผักชี",เรื่องร้องเรียน!CL:CL,"1")</f>
        <v>0</v>
      </c>
      <c r="I283" s="109">
        <f>COUNTIFS(เรื่องร้องเรียน!E:E,"4",เรื่องร้องเรียน!N:N,"หนองจอก",เรื่องร้องเรียน!AN:AN,"ลำผักชี")</f>
        <v>0</v>
      </c>
      <c r="J283" s="144">
        <f>COUNTIFS(เรื่องร้องเรียน!E:E,"4",เรื่องร้องเรียน!N:N,"หนองจอก",เรื่องร้องเรียน!AN:AN,"ลำผักชี",เรื่องร้องเรียน!CL:CL,"1")</f>
        <v>0</v>
      </c>
      <c r="K283" s="144"/>
      <c r="L283" s="144"/>
      <c r="M283" s="109">
        <f t="shared" si="115"/>
        <v>0</v>
      </c>
      <c r="N283" s="145">
        <f t="shared" si="115"/>
        <v>0</v>
      </c>
      <c r="O283" s="146">
        <f>COUNTIFS(เรื่องร้องเรียน!E:E,"1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P283" s="144">
        <f>COUNTIFS(เรื่องร้องเรียน!E:E,"2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Q283" s="144">
        <f>COUNTIFS(เรื่องร้องเรียน!E:E,"3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R283" s="144">
        <f>COUNTIFS(เรื่องร้องเรียน!E:E,"4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S283" s="144"/>
      <c r="T283" s="147">
        <f t="shared" si="98"/>
        <v>0</v>
      </c>
      <c r="U283" s="183">
        <f t="shared" si="95"/>
        <v>0</v>
      </c>
      <c r="W283" s="129">
        <f t="shared" si="111"/>
        <v>0</v>
      </c>
    </row>
    <row r="284" spans="1:23">
      <c r="A284" s="148"/>
      <c r="B284" s="171" t="s">
        <v>177</v>
      </c>
      <c r="C284" s="246">
        <f>COUNTIFS(เรื่องร้องเรียน!E:E,"1",เรื่องร้องเรียน!N:N,"หนองจอก",เรื่องร้องเรียน!AN:AN,"ลำหิน")</f>
        <v>0</v>
      </c>
      <c r="D284" s="109">
        <f>COUNTIFS(เรื่องร้องเรียน!E:E,"1",เรื่องร้องเรียน!N:N,"หนองจอก",เรื่องร้องเรียน!AN:AN,"ลำหิน",เรื่องร้องเรียน!CL:CL,"1")</f>
        <v>0</v>
      </c>
      <c r="E284" s="109">
        <f>COUNTIFS(เรื่องร้องเรียน!E:E,"2",เรื่องร้องเรียน!N:N,"หนองจอก",เรื่องร้องเรียน!AN:AN,"ลำหิน")</f>
        <v>0</v>
      </c>
      <c r="F284" s="109">
        <f>COUNTIFS(เรื่องร้องเรียน!E:E,"2",เรื่องร้องเรียน!N:N,"หนองจอก",เรื่องร้องเรียน!AN:AN,"ลำหิน",เรื่องร้องเรียน!CL:CL,"1")</f>
        <v>0</v>
      </c>
      <c r="G284" s="109">
        <f>COUNTIFS(เรื่องร้องเรียน!E:E,"3",เรื่องร้องเรียน!N:N,"หนองจอก",เรื่องร้องเรียน!AN:AN,"ลำหิน")</f>
        <v>0</v>
      </c>
      <c r="H284" s="109">
        <f>COUNTIFS(เรื่องร้องเรียน!E:E,"3",เรื่องร้องเรียน!N:N,"หนองจอก",เรื่องร้องเรียน!AN:AN,"ลำหิน",เรื่องร้องเรียน!CL:CL,"1")</f>
        <v>0</v>
      </c>
      <c r="I284" s="109">
        <f>COUNTIFS(เรื่องร้องเรียน!E:E,"4",เรื่องร้องเรียน!N:N,"หนองจอก",เรื่องร้องเรียน!AN:AN,"ลำหิน")</f>
        <v>0</v>
      </c>
      <c r="J284" s="144">
        <f>COUNTIFS(เรื่องร้องเรียน!E:E,"4",เรื่องร้องเรียน!N:N,"หนองจอก",เรื่องร้องเรียน!AN:AN,"ลำหิน",เรื่องร้องเรียน!CL:CL,"1")</f>
        <v>0</v>
      </c>
      <c r="K284" s="144"/>
      <c r="L284" s="144"/>
      <c r="M284" s="109">
        <f t="shared" si="115"/>
        <v>0</v>
      </c>
      <c r="N284" s="145">
        <f t="shared" si="115"/>
        <v>0</v>
      </c>
      <c r="O284" s="146">
        <f>COUNTIFS(เรื่องร้องเรียน!E:E,"1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P284" s="144">
        <f>COUNTIFS(เรื่องร้องเรียน!E:E,"2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Q284" s="144">
        <f>COUNTIFS(เรื่องร้องเรียน!E:E,"3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R284" s="144">
        <f>COUNTIFS(เรื่องร้องเรียน!E:E,"4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S284" s="144"/>
      <c r="T284" s="147">
        <f t="shared" si="98"/>
        <v>0</v>
      </c>
      <c r="U284" s="183">
        <f t="shared" si="95"/>
        <v>0</v>
      </c>
      <c r="W284" s="129">
        <f t="shared" si="111"/>
        <v>0</v>
      </c>
    </row>
    <row r="285" spans="1:23">
      <c r="A285" s="148"/>
      <c r="B285" s="171" t="s">
        <v>178</v>
      </c>
      <c r="C285" s="246">
        <f>COUNTIFS(เรื่องร้องเรียน!E:E,"1",เรื่องร้องเรียน!N:N,"หนองจอก",เรื่องร้องเรียน!AN:AN,"สุวินทวงศ์")</f>
        <v>0</v>
      </c>
      <c r="D285" s="109">
        <f>COUNTIFS(เรื่องร้องเรียน!E:E,"1",เรื่องร้องเรียน!N:N,"หนองจอก",เรื่องร้องเรียน!AN:AN,"สุวินทวงศ์",เรื่องร้องเรียน!CL:CL,"1")</f>
        <v>0</v>
      </c>
      <c r="E285" s="109">
        <f>COUNTIFS(เรื่องร้องเรียน!E:E,"2",เรื่องร้องเรียน!N:N,"หนองจอก",เรื่องร้องเรียน!AN:AN,"สุวินทวงศ์")</f>
        <v>0</v>
      </c>
      <c r="F285" s="109">
        <f>COUNTIFS(เรื่องร้องเรียน!E:E,"2",เรื่องร้องเรียน!N:N,"หนองจอก",เรื่องร้องเรียน!AN:AN,"สุวินทวงศ์",เรื่องร้องเรียน!CL:CL,"1")</f>
        <v>0</v>
      </c>
      <c r="G285" s="109">
        <f>COUNTIFS(เรื่องร้องเรียน!E:E,"3",เรื่องร้องเรียน!N:N,"หนองจอก",เรื่องร้องเรียน!AN:AN,"สุวินทวงศ์")</f>
        <v>0</v>
      </c>
      <c r="H285" s="109">
        <f>COUNTIFS(เรื่องร้องเรียน!E:E,"3",เรื่องร้องเรียน!N:N,"หนองจอก",เรื่องร้องเรียน!AN:AN,"สุวินทวงศ์",เรื่องร้องเรียน!CL:CL,"1")</f>
        <v>0</v>
      </c>
      <c r="I285" s="109">
        <f>COUNTIFS(เรื่องร้องเรียน!E:E,"4",เรื่องร้องเรียน!N:N,"หนองจอก",เรื่องร้องเรียน!AN:AN,"สุวินทวงศ์")</f>
        <v>0</v>
      </c>
      <c r="J285" s="144">
        <f>COUNTIFS(เรื่องร้องเรียน!E:E,"4",เรื่องร้องเรียน!N:N,"หนองจอก",เรื่องร้องเรียน!AN:AN,"สุวินทวงศ์",เรื่องร้องเรียน!CL:CL,"1")</f>
        <v>0</v>
      </c>
      <c r="K285" s="144"/>
      <c r="L285" s="144"/>
      <c r="M285" s="109">
        <f t="shared" si="115"/>
        <v>0</v>
      </c>
      <c r="N285" s="145">
        <f t="shared" si="115"/>
        <v>0</v>
      </c>
      <c r="O285" s="146">
        <f>COUNTIFS(เรื่องร้องเรียน!E:E,"1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P285" s="144">
        <f>COUNTIFS(เรื่องร้องเรียน!E:E,"2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Q285" s="144">
        <f>COUNTIFS(เรื่องร้องเรียน!E:E,"3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R285" s="144">
        <f>COUNTIFS(เรื่องร้องเรียน!E:E,"4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S285" s="144"/>
      <c r="T285" s="147">
        <f t="shared" si="98"/>
        <v>0</v>
      </c>
      <c r="U285" s="183">
        <f t="shared" si="95"/>
        <v>0</v>
      </c>
      <c r="W285" s="129">
        <f t="shared" si="111"/>
        <v>0</v>
      </c>
    </row>
    <row r="286" spans="1:23">
      <c r="A286" s="148"/>
      <c r="B286" s="171" t="s">
        <v>141</v>
      </c>
      <c r="C286" s="246">
        <f>COUNTIFS(เรื่องร้องเรียน!E:E,"1",เรื่องร้องเรียน!N:N,"หนองจอก",เรื่องร้องเรียน!AN:AN,"หนองจอก")</f>
        <v>0</v>
      </c>
      <c r="D286" s="109">
        <f>COUNTIFS(เรื่องร้องเรียน!E:E,"1",เรื่องร้องเรียน!N:N,"หนองจอก",เรื่องร้องเรียน!AN:AN,"หนองจอก",เรื่องร้องเรียน!CL:CL,"1")</f>
        <v>0</v>
      </c>
      <c r="E286" s="109">
        <f>COUNTIFS(เรื่องร้องเรียน!E:E,"2",เรื่องร้องเรียน!N:N,"หนองจอก",เรื่องร้องเรียน!AN:AN,"หนองจอก")</f>
        <v>0</v>
      </c>
      <c r="F286" s="109">
        <f>COUNTIFS(เรื่องร้องเรียน!E:E,"2",เรื่องร้องเรียน!N:N,"หนองจอก",เรื่องร้องเรียน!AN:AN,"หนองจอก",เรื่องร้องเรียน!CL:CL,"1")</f>
        <v>0</v>
      </c>
      <c r="G286" s="109">
        <f>COUNTIFS(เรื่องร้องเรียน!E:E,"3",เรื่องร้องเรียน!N:N,"หนองจอก",เรื่องร้องเรียน!AN:AN,"หนองจอก")</f>
        <v>0</v>
      </c>
      <c r="H286" s="109">
        <f>COUNTIFS(เรื่องร้องเรียน!E:E,"3",เรื่องร้องเรียน!N:N,"หนองจอก",เรื่องร้องเรียน!AN:AN,"หนองจอก",เรื่องร้องเรียน!CL:CL,"1")</f>
        <v>0</v>
      </c>
      <c r="I286" s="109">
        <f>COUNTIFS(เรื่องร้องเรียน!E:E,"4",เรื่องร้องเรียน!N:N,"หนองจอก",เรื่องร้องเรียน!AN:AN,"หนองจอก")</f>
        <v>0</v>
      </c>
      <c r="J286" s="144">
        <f>COUNTIFS(เรื่องร้องเรียน!E:E,"4",เรื่องร้องเรียน!N:N,"หนองจอก",เรื่องร้องเรียน!AN:AN,"หนองจอก",เรื่องร้องเรียน!CL:CL,"1")</f>
        <v>0</v>
      </c>
      <c r="K286" s="144"/>
      <c r="L286" s="144"/>
      <c r="M286" s="109">
        <f t="shared" si="115"/>
        <v>0</v>
      </c>
      <c r="N286" s="145">
        <f t="shared" si="115"/>
        <v>0</v>
      </c>
      <c r="O286" s="146">
        <f>COUNTIFS(เรื่องร้องเรียน!E:E,"1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P286" s="144">
        <f>COUNTIFS(เรื่องร้องเรียน!E:E,"2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Q286" s="144">
        <f>COUNTIFS(เรื่องร้องเรียน!E:E,"3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R286" s="144">
        <f>COUNTIFS(เรื่องร้องเรียน!E:E,"4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S286" s="144"/>
      <c r="T286" s="147">
        <f t="shared" si="98"/>
        <v>0</v>
      </c>
      <c r="U286" s="183">
        <f t="shared" si="95"/>
        <v>0</v>
      </c>
      <c r="W286" s="129">
        <f t="shared" si="111"/>
        <v>0</v>
      </c>
    </row>
    <row r="287" spans="1:23" ht="21.6" thickBot="1">
      <c r="A287" s="174"/>
      <c r="B287" s="172" t="s">
        <v>116</v>
      </c>
      <c r="C287" s="231">
        <f>COUNTIFS(เรื่องร้องเรียน!E:E,"1",เรื่องร้องเรียน!N:N,"หนองจอก",เรื่องร้องเรียน!AN:AN,"มีนบุรี")</f>
        <v>0</v>
      </c>
      <c r="D287" s="124">
        <f>COUNTIFS(เรื่องร้องเรียน!E:E,"1",เรื่องร้องเรียน!N:N,"หนองจอก",เรื่องร้องเรียน!AN:AN,"มีนบุรี",เรื่องร้องเรียน!CL:CL,"1")</f>
        <v>0</v>
      </c>
      <c r="E287" s="124">
        <f>COUNTIFS(เรื่องร้องเรียน!E:E,"2",เรื่องร้องเรียน!N:N,"หนองจอก",เรื่องร้องเรียน!AN:AN,"มีนบุรี")</f>
        <v>0</v>
      </c>
      <c r="F287" s="124">
        <f>COUNTIFS(เรื่องร้องเรียน!E:E,"2",เรื่องร้องเรียน!N:N,"หนองจอก",เรื่องร้องเรียน!AN:AN,"มีนบุรี",เรื่องร้องเรียน!CL:CL,"1")</f>
        <v>0</v>
      </c>
      <c r="G287" s="124">
        <f>COUNTIFS(เรื่องร้องเรียน!E:E,"3",เรื่องร้องเรียน!N:N,"หนองจอก",เรื่องร้องเรียน!AN:AN,"มีนบุรี")</f>
        <v>0</v>
      </c>
      <c r="H287" s="124">
        <f>COUNTIFS(เรื่องร้องเรียน!E:E,"3",เรื่องร้องเรียน!N:N,"หนองจอก",เรื่องร้องเรียน!AN:AN,"มีนบุรี",เรื่องร้องเรียน!CL:CL,"1")</f>
        <v>0</v>
      </c>
      <c r="I287" s="124">
        <f>COUNTIFS(เรื่องร้องเรียน!E:E,"4",เรื่องร้องเรียน!N:N,"หนองจอก",เรื่องร้องเรียน!AN:AN,"มีนบุรี")</f>
        <v>0</v>
      </c>
      <c r="J287" s="157">
        <f>COUNTIFS(เรื่องร้องเรียน!E:E,"4",เรื่องร้องเรียน!N:N,"หนองจอก",เรื่องร้องเรียน!AN:AN,"มีนบุรี",เรื่องร้องเรียน!CL:CL,"1")</f>
        <v>0</v>
      </c>
      <c r="K287" s="157"/>
      <c r="L287" s="157"/>
      <c r="M287" s="124">
        <f>SUM(C287,E287,G287,I287,K287)</f>
        <v>0</v>
      </c>
      <c r="N287" s="158">
        <f>SUM(D287,F287,H287,J287,L287)</f>
        <v>0</v>
      </c>
      <c r="O287" s="159">
        <f>COUNTIFS(เรื่องร้องเรียน!E:E,"1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P287" s="157">
        <f>COUNTIFS(เรื่องร้องเรียน!E:E,"2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Q287" s="157">
        <f>COUNTIFS(เรื่องร้องเรียน!E:E,"3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R287" s="157">
        <f>COUNTIFS(เรื่องร้องเรียน!E:E,"4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S287" s="157"/>
      <c r="T287" s="160">
        <f>SUM(O287:S287)</f>
        <v>0</v>
      </c>
      <c r="U287" s="184">
        <f>M287-N287-T287</f>
        <v>0</v>
      </c>
      <c r="W287" s="129">
        <f t="shared" si="111"/>
        <v>0</v>
      </c>
    </row>
    <row r="288" spans="1:23" ht="21.6" thickBot="1">
      <c r="A288" s="168" t="s">
        <v>118</v>
      </c>
      <c r="B288" s="166" t="s">
        <v>152</v>
      </c>
      <c r="C288" s="95">
        <f t="shared" ref="C288:T288" si="116">SUM(C289:C292)</f>
        <v>0</v>
      </c>
      <c r="D288" s="92">
        <f t="shared" si="116"/>
        <v>0</v>
      </c>
      <c r="E288" s="92">
        <f t="shared" si="116"/>
        <v>0</v>
      </c>
      <c r="F288" s="92">
        <f t="shared" si="116"/>
        <v>0</v>
      </c>
      <c r="G288" s="92">
        <f t="shared" si="116"/>
        <v>0</v>
      </c>
      <c r="H288" s="92">
        <f t="shared" si="116"/>
        <v>0</v>
      </c>
      <c r="I288" s="92">
        <f t="shared" si="116"/>
        <v>0</v>
      </c>
      <c r="J288" s="92">
        <f t="shared" si="116"/>
        <v>0</v>
      </c>
      <c r="K288" s="92">
        <f t="shared" si="116"/>
        <v>0</v>
      </c>
      <c r="L288" s="92">
        <f t="shared" si="116"/>
        <v>0</v>
      </c>
      <c r="M288" s="92">
        <f t="shared" si="116"/>
        <v>0</v>
      </c>
      <c r="N288" s="94">
        <f t="shared" si="116"/>
        <v>0</v>
      </c>
      <c r="O288" s="116">
        <f t="shared" si="116"/>
        <v>0</v>
      </c>
      <c r="P288" s="116">
        <f t="shared" si="116"/>
        <v>0</v>
      </c>
      <c r="Q288" s="116">
        <f t="shared" si="116"/>
        <v>0</v>
      </c>
      <c r="R288" s="116">
        <f t="shared" si="116"/>
        <v>0</v>
      </c>
      <c r="S288" s="116">
        <f t="shared" si="116"/>
        <v>0</v>
      </c>
      <c r="T288" s="176">
        <f t="shared" si="116"/>
        <v>0</v>
      </c>
      <c r="U288" s="134">
        <f t="shared" si="95"/>
        <v>0</v>
      </c>
      <c r="W288" s="135">
        <f t="shared" si="111"/>
        <v>0</v>
      </c>
    </row>
    <row r="289" spans="1:23">
      <c r="A289" s="173"/>
      <c r="B289" s="170" t="s">
        <v>20</v>
      </c>
      <c r="C289" s="180"/>
      <c r="D289" s="178"/>
      <c r="E289" s="178"/>
      <c r="F289" s="178"/>
      <c r="G289" s="178"/>
      <c r="H289" s="178"/>
      <c r="I289" s="178"/>
      <c r="J289" s="178"/>
      <c r="K289" s="178">
        <f>COUNTIFS(เรื่องร้องเรียน!E:E,"5",เรื่องร้องเรียน!N:N,"หลักสี่")</f>
        <v>0</v>
      </c>
      <c r="L289" s="178">
        <f>COUNTIFS(เรื่องร้องเรียน!E:E,"5",เรื่องร้องเรียน!N:N,"หลักสี่",เรื่องร้องเรียน!CL:CL,"1")</f>
        <v>0</v>
      </c>
      <c r="M289" s="178">
        <f t="shared" ref="M289:N291" si="117">SUM(C289,E289,G289,I289,K289)</f>
        <v>0</v>
      </c>
      <c r="N289" s="179">
        <f t="shared" si="117"/>
        <v>0</v>
      </c>
      <c r="O289" s="180"/>
      <c r="P289" s="178"/>
      <c r="Q289" s="178"/>
      <c r="R289" s="178"/>
      <c r="S289" s="178">
        <f>COUNTIFS(เรื่องร้องเรียน!E:E,"5",เรื่องร้องเรียน!N:N,"หลักสี่",เรื่องร้องเรียน!AQ:AQ,"1",เรื่องร้องเรียน!CL:CL,"")</f>
        <v>0</v>
      </c>
      <c r="T289" s="181">
        <f t="shared" si="98"/>
        <v>0</v>
      </c>
      <c r="U289" s="182">
        <f t="shared" si="95"/>
        <v>0</v>
      </c>
      <c r="V289" s="10" t="s">
        <v>95</v>
      </c>
      <c r="W289" s="129">
        <f t="shared" si="111"/>
        <v>0</v>
      </c>
    </row>
    <row r="290" spans="1:23">
      <c r="A290" s="148"/>
      <c r="B290" s="171" t="s">
        <v>117</v>
      </c>
      <c r="C290" s="246">
        <f>COUNTIFS(เรื่องร้องเรียน!E:E,"1",เรื่องร้องเรียน!N:N,"หลักสี่",เรื่องร้องเรียน!AN:AN,"ทุ่งสองห้อง")</f>
        <v>0</v>
      </c>
      <c r="D290" s="109">
        <f>COUNTIFS(เรื่องร้องเรียน!E:E,"1",เรื่องร้องเรียน!N:N,"หลักสี่",เรื่องร้องเรียน!AN:AN,"ทุ่งสองห้อง",เรื่องร้องเรียน!CL:CL,"1")</f>
        <v>0</v>
      </c>
      <c r="E290" s="109">
        <f>COUNTIFS(เรื่องร้องเรียน!E:E,"2",เรื่องร้องเรียน!N:N,"หลักสี่",เรื่องร้องเรียน!AN:AN,"ทุ่งสองห้อง")</f>
        <v>0</v>
      </c>
      <c r="F290" s="109">
        <f>COUNTIFS(เรื่องร้องเรียน!E:E,"2",เรื่องร้องเรียน!N:N,"หลักสี่",เรื่องร้องเรียน!AN:AN,"ทุ่งสองห้อง",เรื่องร้องเรียน!CL:CL,"1")</f>
        <v>0</v>
      </c>
      <c r="G290" s="109">
        <f>COUNTIFS(เรื่องร้องเรียน!E:E,"3",เรื่องร้องเรียน!N:N,"หลักสี่",เรื่องร้องเรียน!AN:AN,"ทุ่งสองห้อง")</f>
        <v>0</v>
      </c>
      <c r="H290" s="109">
        <f>COUNTIFS(เรื่องร้องเรียน!E:E,"3",เรื่องร้องเรียน!N:N,"หลักสี่",เรื่องร้องเรียน!AN:AN,"ทุ่งสองห้อง",เรื่องร้องเรียน!CL:CL,"1")</f>
        <v>0</v>
      </c>
      <c r="I290" s="109">
        <f>COUNTIFS(เรื่องร้องเรียน!E:E,"4",เรื่องร้องเรียน!N:N,"หลักสี่",เรื่องร้องเรียน!AN:AN,"ทุ่งสองห้อง")</f>
        <v>0</v>
      </c>
      <c r="J290" s="144">
        <f>COUNTIFS(เรื่องร้องเรียน!E:E,"4",เรื่องร้องเรียน!N:N,"หลักสี่",เรื่องร้องเรียน!AN:AN,"ทุ่งสองห้อง",เรื่องร้องเรียน!CL:CL,"1")</f>
        <v>0</v>
      </c>
      <c r="K290" s="144"/>
      <c r="L290" s="144"/>
      <c r="M290" s="109">
        <f t="shared" si="117"/>
        <v>0</v>
      </c>
      <c r="N290" s="145">
        <f t="shared" si="117"/>
        <v>0</v>
      </c>
      <c r="O290" s="146">
        <f>COUNTIFS(เรื่องร้องเรียน!E:E,"1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P290" s="144">
        <f>COUNTIFS(เรื่องร้องเรียน!E:E,"2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Q290" s="144">
        <f>COUNTIFS(เรื่องร้องเรียน!E:E,"3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R290" s="144">
        <f>COUNTIFS(เรื่องร้องเรียน!E:E,"4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S290" s="144"/>
      <c r="T290" s="147">
        <f t="shared" si="98"/>
        <v>0</v>
      </c>
      <c r="U290" s="183">
        <f t="shared" si="95"/>
        <v>0</v>
      </c>
      <c r="V290" s="10" t="s">
        <v>173</v>
      </c>
      <c r="W290" s="129">
        <f t="shared" si="111"/>
        <v>0</v>
      </c>
    </row>
    <row r="291" spans="1:23">
      <c r="A291" s="148"/>
      <c r="B291" s="171" t="s">
        <v>95</v>
      </c>
      <c r="C291" s="246">
        <f>COUNTIFS(เรื่องร้องเรียน!E:E,"1",เรื่องร้องเรียน!N:N,"หลักสี่",เรื่องร้องเรียน!AN:AN,"ดอนเมือง")</f>
        <v>0</v>
      </c>
      <c r="D291" s="109">
        <f>COUNTIFS(เรื่องร้องเรียน!E:E,"1",เรื่องร้องเรียน!N:N,"หลักสี่",เรื่องร้องเรียน!AN:AN,"ดอนเมือง",เรื่องร้องเรียน!CL:CL,"1")</f>
        <v>0</v>
      </c>
      <c r="E291" s="109">
        <f>COUNTIFS(เรื่องร้องเรียน!E:E,"2",เรื่องร้องเรียน!N:N,"หลักสี่",เรื่องร้องเรียน!AN:AN,"ดอนเมือง")</f>
        <v>0</v>
      </c>
      <c r="F291" s="109">
        <f>COUNTIFS(เรื่องร้องเรียน!E:E,"2",เรื่องร้องเรียน!N:N,"หลักสี่",เรื่องร้องเรียน!AN:AN,"ดอนเมือง",เรื่องร้องเรียน!CL:CL,"1")</f>
        <v>0</v>
      </c>
      <c r="G291" s="109">
        <f>COUNTIFS(เรื่องร้องเรียน!E:E,"3",เรื่องร้องเรียน!N:N,"หลักสี่",เรื่องร้องเรียน!AN:AN,"ดอนเมือง")</f>
        <v>0</v>
      </c>
      <c r="H291" s="109">
        <f>COUNTIFS(เรื่องร้องเรียน!E:E,"3",เรื่องร้องเรียน!N:N,"หลักสี่",เรื่องร้องเรียน!AN:AN,"ดอนเมือง",เรื่องร้องเรียน!CL:CL,"1")</f>
        <v>0</v>
      </c>
      <c r="I291" s="109">
        <f>COUNTIFS(เรื่องร้องเรียน!E:E,"4",เรื่องร้องเรียน!N:N,"หลักสี่",เรื่องร้องเรียน!AN:AN,"ดอนเมือง")</f>
        <v>0</v>
      </c>
      <c r="J291" s="144">
        <f>COUNTIFS(เรื่องร้องเรียน!E:E,"4",เรื่องร้องเรียน!N:N,"หลักสี่",เรื่องร้องเรียน!AN:AN,"ดอนเมือง",เรื่องร้องเรียน!CL:CL,"1")</f>
        <v>0</v>
      </c>
      <c r="K291" s="144"/>
      <c r="L291" s="144"/>
      <c r="M291" s="109">
        <f t="shared" si="117"/>
        <v>0</v>
      </c>
      <c r="N291" s="145">
        <f t="shared" si="117"/>
        <v>0</v>
      </c>
      <c r="O291" s="146">
        <f>COUNTIFS(เรื่องร้องเรียน!E:E,"1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P291" s="144">
        <f>COUNTIFS(เรื่องร้องเรียน!E:E,"2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Q291" s="144">
        <f>COUNTIFS(เรื่องร้องเรียน!E:E,"3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R291" s="144">
        <f>COUNTIFS(เรื่องร้องเรียน!E:E,"4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S291" s="144"/>
      <c r="T291" s="147">
        <f>SUM(O291:S291)</f>
        <v>0</v>
      </c>
      <c r="U291" s="183">
        <f>M291-N291-T291</f>
        <v>0</v>
      </c>
      <c r="W291" s="129">
        <f t="shared" si="111"/>
        <v>0</v>
      </c>
    </row>
    <row r="292" spans="1:23" ht="21.6" thickBot="1">
      <c r="A292" s="174"/>
      <c r="B292" s="172" t="s">
        <v>173</v>
      </c>
      <c r="C292" s="231">
        <f>COUNTIFS(เรื่องร้องเรียน!E:E,"1",เรื่องร้องเรียน!N:N,"หลักสี่",เรื่องร้องเรียน!AN:AN,"ประชาชื่น")</f>
        <v>0</v>
      </c>
      <c r="D292" s="124">
        <f>COUNTIFS(เรื่องร้องเรียน!E:E,"1",เรื่องร้องเรียน!N:N,"หลักสี่",เรื่องร้องเรียน!AN:AN,"ประชาชื่น",เรื่องร้องเรียน!CL:CL,"1")</f>
        <v>0</v>
      </c>
      <c r="E292" s="124">
        <f>COUNTIFS(เรื่องร้องเรียน!E:E,"2",เรื่องร้องเรียน!N:N,"หลักสี่",เรื่องร้องเรียน!AN:AN,"ประชาชื่น")</f>
        <v>0</v>
      </c>
      <c r="F292" s="124">
        <f>COUNTIFS(เรื่องร้องเรียน!E:E,"2",เรื่องร้องเรียน!N:N,"หลักสี่",เรื่องร้องเรียน!AN:AN,"ประชาชื่น",เรื่องร้องเรียน!CL:CL,"1")</f>
        <v>0</v>
      </c>
      <c r="G292" s="124">
        <f>COUNTIFS(เรื่องร้องเรียน!E:E,"3",เรื่องร้องเรียน!N:N,"หลักสี่",เรื่องร้องเรียน!AN:AN,"ประชาชื่น")</f>
        <v>0</v>
      </c>
      <c r="H292" s="124">
        <f>COUNTIFS(เรื่องร้องเรียน!E:E,"3",เรื่องร้องเรียน!N:N,"หลักสี่",เรื่องร้องเรียน!AN:AN,"ประชาชื่น",เรื่องร้องเรียน!CL:CL,"1")</f>
        <v>0</v>
      </c>
      <c r="I292" s="124">
        <f>COUNTIFS(เรื่องร้องเรียน!E:E,"4",เรื่องร้องเรียน!N:N,"หลักสี่",เรื่องร้องเรียน!AN:AN,"ประชาชื่น")</f>
        <v>0</v>
      </c>
      <c r="J292" s="157">
        <f>COUNTIFS(เรื่องร้องเรียน!E:E,"4",เรื่องร้องเรียน!N:N,"หลักสี่",เรื่องร้องเรียน!AN:AN,"ประชาชื่น",เรื่องร้องเรียน!CL:CL,"1")</f>
        <v>0</v>
      </c>
      <c r="K292" s="157"/>
      <c r="L292" s="157"/>
      <c r="M292" s="124">
        <f>SUM(C292,E292,G292,I292,K292)</f>
        <v>0</v>
      </c>
      <c r="N292" s="158">
        <f>SUM(D292,F292,H292,J292,L292)</f>
        <v>0</v>
      </c>
      <c r="O292" s="159">
        <f>COUNTIFS(เรื่องร้องเรียน!E:E,"1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P292" s="157">
        <f>COUNTIFS(เรื่องร้องเรียน!E:E,"2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Q292" s="157">
        <f>COUNTIFS(เรื่องร้องเรียน!E:E,"3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R292" s="157">
        <f>COUNTIFS(เรื่องร้องเรียน!E:E,"4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S292" s="157"/>
      <c r="T292" s="160">
        <f>SUM(O292:S292)</f>
        <v>0</v>
      </c>
      <c r="U292" s="184">
        <f>M292-N292-T292</f>
        <v>0</v>
      </c>
      <c r="W292" s="129">
        <f t="shared" si="111"/>
        <v>0</v>
      </c>
    </row>
    <row r="293" spans="1:23" ht="21.6" thickBot="1">
      <c r="A293" s="168" t="s">
        <v>140</v>
      </c>
      <c r="B293" s="166" t="s">
        <v>152</v>
      </c>
      <c r="C293" s="164">
        <f t="shared" ref="C293:T293" si="118">SUM(C294:C301)</f>
        <v>0</v>
      </c>
      <c r="D293" s="197">
        <f t="shared" si="118"/>
        <v>0</v>
      </c>
      <c r="E293" s="197">
        <f t="shared" si="118"/>
        <v>0</v>
      </c>
      <c r="F293" s="197">
        <f t="shared" si="118"/>
        <v>0</v>
      </c>
      <c r="G293" s="197">
        <f t="shared" si="118"/>
        <v>0</v>
      </c>
      <c r="H293" s="197">
        <f t="shared" si="118"/>
        <v>0</v>
      </c>
      <c r="I293" s="197">
        <f t="shared" si="118"/>
        <v>0</v>
      </c>
      <c r="J293" s="197">
        <f t="shared" si="118"/>
        <v>0</v>
      </c>
      <c r="K293" s="197">
        <f t="shared" si="118"/>
        <v>0</v>
      </c>
      <c r="L293" s="197">
        <f t="shared" si="118"/>
        <v>0</v>
      </c>
      <c r="M293" s="197">
        <f t="shared" si="118"/>
        <v>0</v>
      </c>
      <c r="N293" s="199">
        <f t="shared" si="118"/>
        <v>0</v>
      </c>
      <c r="O293" s="186">
        <f t="shared" si="118"/>
        <v>0</v>
      </c>
      <c r="P293" s="186">
        <f t="shared" si="118"/>
        <v>0</v>
      </c>
      <c r="Q293" s="186">
        <f t="shared" si="118"/>
        <v>0</v>
      </c>
      <c r="R293" s="186">
        <f t="shared" si="118"/>
        <v>0</v>
      </c>
      <c r="S293" s="186">
        <f t="shared" si="118"/>
        <v>0</v>
      </c>
      <c r="T293" s="198">
        <f t="shared" si="118"/>
        <v>0</v>
      </c>
      <c r="U293" s="128">
        <f t="shared" si="95"/>
        <v>0</v>
      </c>
      <c r="W293" s="135">
        <f t="shared" si="111"/>
        <v>0</v>
      </c>
    </row>
    <row r="294" spans="1:23">
      <c r="A294" s="173"/>
      <c r="B294" s="170" t="s">
        <v>20</v>
      </c>
      <c r="C294" s="180"/>
      <c r="D294" s="178"/>
      <c r="E294" s="178"/>
      <c r="F294" s="178"/>
      <c r="G294" s="178"/>
      <c r="H294" s="178"/>
      <c r="I294" s="178"/>
      <c r="J294" s="178"/>
      <c r="K294" s="178">
        <f>COUNTIFS(เรื่องร้องเรียน!E:E,"5",เรื่องร้องเรียน!N:N,"ห้วยขวาง")</f>
        <v>0</v>
      </c>
      <c r="L294" s="178">
        <f>COUNTIFS(เรื่องร้องเรียน!E:E,"5",เรื่องร้องเรียน!N:N,"ห้วยขวาง",เรื่องร้องเรียน!CL:CL,"1")</f>
        <v>0</v>
      </c>
      <c r="M294" s="178">
        <f t="shared" ref="M294:N299" si="119">SUM(C294,E294,G294,I294,K294)</f>
        <v>0</v>
      </c>
      <c r="N294" s="179">
        <f t="shared" si="119"/>
        <v>0</v>
      </c>
      <c r="O294" s="180"/>
      <c r="P294" s="178"/>
      <c r="Q294" s="178"/>
      <c r="R294" s="178"/>
      <c r="S294" s="178">
        <f>COUNTIFS(เรื่องร้องเรียน!E:E,"5",เรื่องร้องเรียน!N:N,"ห้วยขวาง",เรื่องร้องเรียน!AQ:AQ,"1",เรื่องร้องเรียน!CL:CL,"")</f>
        <v>0</v>
      </c>
      <c r="T294" s="181">
        <f t="shared" si="98"/>
        <v>0</v>
      </c>
      <c r="U294" s="182">
        <f t="shared" si="95"/>
        <v>0</v>
      </c>
      <c r="W294" s="129">
        <f t="shared" si="111"/>
        <v>0</v>
      </c>
    </row>
    <row r="295" spans="1:23">
      <c r="A295" s="148"/>
      <c r="B295" s="171" t="s">
        <v>100</v>
      </c>
      <c r="C295" s="246">
        <f>COUNTIFS(เรื่องร้องเรียน!E:E,"1",เรื่องร้องเรียน!N:N,"ห้วยขวาง",เรื่องร้องเรียน!AN:AN,"พหลโยธิน")</f>
        <v>0</v>
      </c>
      <c r="D295" s="109">
        <f>COUNTIFS(เรื่องร้องเรียน!E:E,"1",เรื่องร้องเรียน!N:N,"ห้วยขวาง",เรื่องร้องเรียน!AN:AN,"พหลโยธิน",เรื่องร้องเรียน!CL:CL,"1")</f>
        <v>0</v>
      </c>
      <c r="E295" s="109">
        <f>COUNTIFS(เรื่องร้องเรียน!E:E,"2",เรื่องร้องเรียน!N:N,"ห้วยขวาง",เรื่องร้องเรียน!AN:AN,"พหลโยธิน")</f>
        <v>0</v>
      </c>
      <c r="F295" s="109">
        <f>COUNTIFS(เรื่องร้องเรียน!E:E,"2",เรื่องร้องเรียน!N:N,"ห้วยขวาง",เรื่องร้องเรียน!AN:AN,"พหลโยธิน",เรื่องร้องเรียน!CL:CL,"1")</f>
        <v>0</v>
      </c>
      <c r="G295" s="109">
        <f>COUNTIFS(เรื่องร้องเรียน!E:E,"3",เรื่องร้องเรียน!N:N,"ห้วยขวาง",เรื่องร้องเรียน!AN:AN,"พหลโยธิน")</f>
        <v>0</v>
      </c>
      <c r="H295" s="109">
        <f>COUNTIFS(เรื่องร้องเรียน!E:E,"3",เรื่องร้องเรียน!N:N,"ห้วยขวาง",เรื่องร้องเรียน!AN:AN,"พหลโยธิน",เรื่องร้องเรียน!CL:CL,"1")</f>
        <v>0</v>
      </c>
      <c r="I295" s="109">
        <f>COUNTIFS(เรื่องร้องเรียน!E:E,"4",เรื่องร้องเรียน!N:N,"ห้วยขวาง",เรื่องร้องเรียน!AN:AN,"พหลโยธิน")</f>
        <v>0</v>
      </c>
      <c r="J295" s="144">
        <f>COUNTIFS(เรื่องร้องเรียน!E:E,"4",เรื่องร้องเรียน!N:N,"ห้วยขวาง",เรื่องร้องเรียน!AN:AN,"พหลโยธิน",เรื่องร้องเรียน!CL:CL,"1")</f>
        <v>0</v>
      </c>
      <c r="K295" s="144"/>
      <c r="L295" s="144"/>
      <c r="M295" s="109">
        <f t="shared" si="119"/>
        <v>0</v>
      </c>
      <c r="N295" s="145">
        <f t="shared" si="119"/>
        <v>0</v>
      </c>
      <c r="O295" s="146">
        <f>COUNTIFS(เรื่องร้องเรียน!E:E,"1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P295" s="144">
        <f>COUNTIFS(เรื่องร้องเรียน!E:E,"2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Q295" s="144">
        <f>COUNTIFS(เรื่องร้องเรียน!E:E,"3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R295" s="144">
        <f>COUNTIFS(เรื่องร้องเรียน!E:E,"4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S295" s="144"/>
      <c r="T295" s="147">
        <f t="shared" si="98"/>
        <v>0</v>
      </c>
      <c r="U295" s="183">
        <f t="shared" si="95"/>
        <v>0</v>
      </c>
      <c r="V295" s="10" t="s">
        <v>132</v>
      </c>
      <c r="W295" s="129">
        <f t="shared" si="111"/>
        <v>0</v>
      </c>
    </row>
    <row r="296" spans="1:23">
      <c r="A296" s="148"/>
      <c r="B296" s="171" t="s">
        <v>170</v>
      </c>
      <c r="C296" s="246">
        <f>COUNTIFS(เรื่องร้องเรียน!E:E,"1",เรื่องร้องเรียน!N:N,"ห้วยขวาง",เรื่องร้องเรียน!AN:AN,"มักกะสัน")</f>
        <v>0</v>
      </c>
      <c r="D296" s="109">
        <f>COUNTIFS(เรื่องร้องเรียน!E:E,"1",เรื่องร้องเรียน!N:N,"ห้วยขวาง",เรื่องร้องเรียน!AN:AN,"มักกะสัน",เรื่องร้องเรียน!CL:CL,"1")</f>
        <v>0</v>
      </c>
      <c r="E296" s="109">
        <f>COUNTIFS(เรื่องร้องเรียน!E:E,"2",เรื่องร้องเรียน!N:N,"ห้วยขวาง",เรื่องร้องเรียน!AN:AN,"มักกะสัน")</f>
        <v>0</v>
      </c>
      <c r="F296" s="109">
        <f>COUNTIFS(เรื่องร้องเรียน!E:E,"2",เรื่องร้องเรียน!N:N,"ห้วยขวาง",เรื่องร้องเรียน!AN:AN,"มักกะสัน",เรื่องร้องเรียน!CL:CL,"1")</f>
        <v>0</v>
      </c>
      <c r="G296" s="109">
        <f>COUNTIFS(เรื่องร้องเรียน!E:E,"3",เรื่องร้องเรียน!N:N,"ห้วยขวาง",เรื่องร้องเรียน!AN:AN,"มักกะสัน")</f>
        <v>0</v>
      </c>
      <c r="H296" s="109">
        <f>COUNTIFS(เรื่องร้องเรียน!E:E,"3",เรื่องร้องเรียน!N:N,"ห้วยขวาง",เรื่องร้องเรียน!AN:AN,"มักกะสัน",เรื่องร้องเรียน!CL:CL,"1")</f>
        <v>0</v>
      </c>
      <c r="I296" s="109">
        <f>COUNTIFS(เรื่องร้องเรียน!E:E,"4",เรื่องร้องเรียน!N:N,"ห้วยขวาง",เรื่องร้องเรียน!AN:AN,"มักกะสัน")</f>
        <v>0</v>
      </c>
      <c r="J296" s="144">
        <f>COUNTIFS(เรื่องร้องเรียน!E:E,"4",เรื่องร้องเรียน!N:N,"ห้วยขวาง",เรื่องร้องเรียน!AN:AN,"มักกะสัน",เรื่องร้องเรียน!CL:CL,"1")</f>
        <v>0</v>
      </c>
      <c r="K296" s="144"/>
      <c r="L296" s="144"/>
      <c r="M296" s="109">
        <f t="shared" si="119"/>
        <v>0</v>
      </c>
      <c r="N296" s="145">
        <f t="shared" si="119"/>
        <v>0</v>
      </c>
      <c r="O296" s="146">
        <f>COUNTIFS(เรื่องร้องเรียน!E:E,"1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P296" s="144">
        <f>COUNTIFS(เรื่องร้องเรียน!E:E,"2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Q296" s="144">
        <f>COUNTIFS(เรื่องร้องเรียน!E:E,"3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R296" s="144">
        <f>COUNTIFS(เรื่องร้องเรียน!E:E,"4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S296" s="144"/>
      <c r="T296" s="147">
        <f t="shared" si="98"/>
        <v>0</v>
      </c>
      <c r="U296" s="183">
        <f t="shared" si="95"/>
        <v>0</v>
      </c>
      <c r="V296" s="10" t="s">
        <v>86</v>
      </c>
      <c r="W296" s="129">
        <f t="shared" si="111"/>
        <v>0</v>
      </c>
    </row>
    <row r="297" spans="1:23">
      <c r="A297" s="148"/>
      <c r="B297" s="171" t="s">
        <v>179</v>
      </c>
      <c r="C297" s="246">
        <f>COUNTIFS(เรื่องร้องเรียน!E:E,"1",เรื่องร้องเรียน!N:N,"ห้วยขวาง",เรื่องร้องเรียน!AN:AN,"วังทองหลาง")</f>
        <v>0</v>
      </c>
      <c r="D297" s="109">
        <f>COUNTIFS(เรื่องร้องเรียน!E:E,"1",เรื่องร้องเรียน!N:N,"ห้วยขวาง",เรื่องร้องเรียน!AN:AN,"วังทองหลาง",เรื่องร้องเรียน!CL:CL,"1")</f>
        <v>0</v>
      </c>
      <c r="E297" s="109">
        <f>COUNTIFS(เรื่องร้องเรียน!E:E,"2",เรื่องร้องเรียน!N:N,"ห้วยขวาง",เรื่องร้องเรียน!AN:AN,"วังทองหลาง")</f>
        <v>0</v>
      </c>
      <c r="F297" s="109">
        <f>COUNTIFS(เรื่องร้องเรียน!E:E,"2",เรื่องร้องเรียน!N:N,"ห้วยขวาง",เรื่องร้องเรียน!AN:AN,"วังทองหลาง",เรื่องร้องเรียน!CL:CL,"1")</f>
        <v>0</v>
      </c>
      <c r="G297" s="109">
        <f>COUNTIFS(เรื่องร้องเรียน!E:E,"3",เรื่องร้องเรียน!N:N,"ห้วยขวาง",เรื่องร้องเรียน!AN:AN,"วังทองหลาง")</f>
        <v>0</v>
      </c>
      <c r="H297" s="109">
        <f>COUNTIFS(เรื่องร้องเรียน!E:E,"3",เรื่องร้องเรียน!N:N,"ห้วยขวาง",เรื่องร้องเรียน!AN:AN,"วังทองหลาง",เรื่องร้องเรียน!CL:CL,"1")</f>
        <v>0</v>
      </c>
      <c r="I297" s="109">
        <f>COUNTIFS(เรื่องร้องเรียน!E:E,"4",เรื่องร้องเรียน!N:N,"ห้วยขวาง",เรื่องร้องเรียน!AN:AN,"วังทองหลาง")</f>
        <v>0</v>
      </c>
      <c r="J297" s="144">
        <f>COUNTIFS(เรื่องร้องเรียน!E:E,"4",เรื่องร้องเรียน!N:N,"ห้วยขวาง",เรื่องร้องเรียน!AN:AN,"วังทองหลาง",เรื่องร้องเรียน!CL:CL,"1")</f>
        <v>0</v>
      </c>
      <c r="K297" s="144"/>
      <c r="L297" s="144"/>
      <c r="M297" s="109">
        <f t="shared" si="119"/>
        <v>0</v>
      </c>
      <c r="N297" s="145">
        <f t="shared" si="119"/>
        <v>0</v>
      </c>
      <c r="O297" s="146">
        <f>COUNTIFS(เรื่องร้องเรียน!E:E,"1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P297" s="144">
        <f>COUNTIFS(เรื่องร้องเรียน!E:E,"2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Q297" s="144">
        <f>COUNTIFS(เรื่องร้องเรียน!E:E,"3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R297" s="144">
        <f>COUNTIFS(เรื่องร้องเรียน!E:E,"4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S297" s="144"/>
      <c r="T297" s="147">
        <f t="shared" si="98"/>
        <v>0</v>
      </c>
      <c r="U297" s="183">
        <f t="shared" si="95"/>
        <v>0</v>
      </c>
      <c r="W297" s="129">
        <f t="shared" si="111"/>
        <v>0</v>
      </c>
    </row>
    <row r="298" spans="1:23">
      <c r="A298" s="148"/>
      <c r="B298" s="171" t="s">
        <v>88</v>
      </c>
      <c r="C298" s="246">
        <f>COUNTIFS(เรื่องร้องเรียน!E:E,"1",เรื่องร้องเรียน!N:N,"ห้วยขวาง",เรื่องร้องเรียน!AN:AN,"สุทธิสาร")</f>
        <v>0</v>
      </c>
      <c r="D298" s="109">
        <f>COUNTIFS(เรื่องร้องเรียน!E:E,"1",เรื่องร้องเรียน!N:N,"ห้วยขวาง",เรื่องร้องเรียน!AN:AN,"สุทธิสาร",เรื่องร้องเรียน!CL:CL,"1")</f>
        <v>0</v>
      </c>
      <c r="E298" s="109">
        <f>COUNTIFS(เรื่องร้องเรียน!E:E,"2",เรื่องร้องเรียน!N:N,"ห้วยขวาง",เรื่องร้องเรียน!AN:AN,"สุทธิสาร")</f>
        <v>0</v>
      </c>
      <c r="F298" s="109">
        <f>COUNTIFS(เรื่องร้องเรียน!E:E,"2",เรื่องร้องเรียน!N:N,"ห้วยขวาง",เรื่องร้องเรียน!AN:AN,"สุทธิสาร",เรื่องร้องเรียน!CL:CL,"1")</f>
        <v>0</v>
      </c>
      <c r="G298" s="109">
        <f>COUNTIFS(เรื่องร้องเรียน!E:E,"3",เรื่องร้องเรียน!N:N,"ห้วยขวาง",เรื่องร้องเรียน!AN:AN,"สุทธิสาร")</f>
        <v>0</v>
      </c>
      <c r="H298" s="109">
        <f>COUNTIFS(เรื่องร้องเรียน!E:E,"3",เรื่องร้องเรียน!N:N,"ห้วยขวาง",เรื่องร้องเรียน!AN:AN,"สุทธิสาร",เรื่องร้องเรียน!CL:CL,"1")</f>
        <v>0</v>
      </c>
      <c r="I298" s="109">
        <f>COUNTIFS(เรื่องร้องเรียน!E:E,"4",เรื่องร้องเรียน!N:N,"ห้วยขวาง",เรื่องร้องเรียน!AN:AN,"สุทธิสาร")</f>
        <v>0</v>
      </c>
      <c r="J298" s="144">
        <f>COUNTIFS(เรื่องร้องเรียน!E:E,"4",เรื่องร้องเรียน!N:N,"ห้วยขวาง",เรื่องร้องเรียน!AN:AN,"สุทธิสาร",เรื่องร้องเรียน!CL:CL,"1")</f>
        <v>0</v>
      </c>
      <c r="K298" s="144"/>
      <c r="L298" s="144"/>
      <c r="M298" s="109">
        <f t="shared" si="119"/>
        <v>0</v>
      </c>
      <c r="N298" s="145">
        <f t="shared" si="119"/>
        <v>0</v>
      </c>
      <c r="O298" s="146">
        <f>COUNTIFS(เรื่องร้องเรียน!E:E,"1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P298" s="144">
        <f>COUNTIFS(เรื่องร้องเรียน!E:E,"2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Q298" s="144">
        <f>COUNTIFS(เรื่องร้องเรียน!E:E,"3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R298" s="144">
        <f>COUNTIFS(เรื่องร้องเรียน!E:E,"4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S298" s="144"/>
      <c r="T298" s="147">
        <f t="shared" si="98"/>
        <v>0</v>
      </c>
      <c r="U298" s="183">
        <f t="shared" si="95"/>
        <v>0</v>
      </c>
      <c r="W298" s="129">
        <f t="shared" si="111"/>
        <v>0</v>
      </c>
    </row>
    <row r="299" spans="1:23">
      <c r="A299" s="148"/>
      <c r="B299" s="171" t="s">
        <v>140</v>
      </c>
      <c r="C299" s="246">
        <f>COUNTIFS(เรื่องร้องเรียน!E:E,"1",เรื่องร้องเรียน!N:N,"ห้วยขวาง",เรื่องร้องเรียน!AN:AN,"ห้วยขวาง")</f>
        <v>0</v>
      </c>
      <c r="D299" s="109">
        <f>COUNTIFS(เรื่องร้องเรียน!E:E,"1",เรื่องร้องเรียน!N:N,"ห้วยขวาง",เรื่องร้องเรียน!AN:AN,"ห้วยขวาง",เรื่องร้องเรียน!CL:CL,"1")</f>
        <v>0</v>
      </c>
      <c r="E299" s="109">
        <f>COUNTIFS(เรื่องร้องเรียน!E:E,"2",เรื่องร้องเรียน!N:N,"ห้วยขวาง",เรื่องร้องเรียน!AN:AN,"ห้วยขวาง")</f>
        <v>0</v>
      </c>
      <c r="F299" s="109">
        <f>COUNTIFS(เรื่องร้องเรียน!E:E,"2",เรื่องร้องเรียน!N:N,"ห้วยขวาง",เรื่องร้องเรียน!AN:AN,"ห้วยขวาง",เรื่องร้องเรียน!CL:CL,"1")</f>
        <v>0</v>
      </c>
      <c r="G299" s="109">
        <f>COUNTIFS(เรื่องร้องเรียน!E:E,"3",เรื่องร้องเรียน!N:N,"ห้วยขวาง",เรื่องร้องเรียน!AN:AN,"ห้วยขวาง")</f>
        <v>0</v>
      </c>
      <c r="H299" s="109">
        <f>COUNTIFS(เรื่องร้องเรียน!E:E,"3",เรื่องร้องเรียน!N:N,"ห้วยขวาง",เรื่องร้องเรียน!AN:AN,"ห้วยขวาง",เรื่องร้องเรียน!CL:CL,"1")</f>
        <v>0</v>
      </c>
      <c r="I299" s="109">
        <f>COUNTIFS(เรื่องร้องเรียน!E:E,"4",เรื่องร้องเรียน!N:N,"ห้วยขวาง",เรื่องร้องเรียน!AN:AN,"ห้วยขวาง")</f>
        <v>0</v>
      </c>
      <c r="J299" s="144">
        <f>COUNTIFS(เรื่องร้องเรียน!E:E,"4",เรื่องร้องเรียน!N:N,"ห้วยขวาง",เรื่องร้องเรียน!AN:AN,"ห้วยขวาง",เรื่องร้องเรียน!CL:CL,"1")</f>
        <v>0</v>
      </c>
      <c r="K299" s="144"/>
      <c r="L299" s="144"/>
      <c r="M299" s="109">
        <f t="shared" si="119"/>
        <v>0</v>
      </c>
      <c r="N299" s="145">
        <f t="shared" si="119"/>
        <v>0</v>
      </c>
      <c r="O299" s="146">
        <f>COUNTIFS(เรื่องร้องเรียน!E:E,"1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P299" s="144">
        <f>COUNTIFS(เรื่องร้องเรียน!E:E,"2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Q299" s="144">
        <f>COUNTIFS(เรื่องร้องเรียน!E:E,"3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R299" s="144">
        <f>COUNTIFS(เรื่องร้องเรียน!E:E,"4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S299" s="144"/>
      <c r="T299" s="147">
        <f t="shared" si="98"/>
        <v>0</v>
      </c>
      <c r="U299" s="183">
        <f t="shared" si="95"/>
        <v>0</v>
      </c>
      <c r="W299" s="129">
        <f t="shared" si="111"/>
        <v>0</v>
      </c>
    </row>
    <row r="300" spans="1:23">
      <c r="A300" s="150"/>
      <c r="B300" s="177" t="s">
        <v>132</v>
      </c>
      <c r="C300" s="123">
        <f>COUNTIFS(เรื่องร้องเรียน!E:E,"1",เรื่องร้องเรียน!N:N,"ห้วยขวาง",เรื่องร้องเรียน!AN:AN,"โชคชัย")</f>
        <v>0</v>
      </c>
      <c r="D300" s="117">
        <f>COUNTIFS(เรื่องร้องเรียน!E:E,"1",เรื่องร้องเรียน!N:N,"ห้วยขวาง",เรื่องร้องเรียน!AN:AN,"โชคชัย",เรื่องร้องเรียน!CL:CL,"1")</f>
        <v>0</v>
      </c>
      <c r="E300" s="117">
        <f>COUNTIFS(เรื่องร้องเรียน!E:E,"2",เรื่องร้องเรียน!N:N,"ห้วยขวาง",เรื่องร้องเรียน!AN:AN,"โชคชัย")</f>
        <v>0</v>
      </c>
      <c r="F300" s="117">
        <f>COUNTIFS(เรื่องร้องเรียน!E:E,"2",เรื่องร้องเรียน!N:N,"ห้วยขวาง",เรื่องร้องเรียน!AN:AN,"โชคชัย",เรื่องร้องเรียน!CL:CL,"1")</f>
        <v>0</v>
      </c>
      <c r="G300" s="117">
        <f>COUNTIFS(เรื่องร้องเรียน!E:E,"3",เรื่องร้องเรียน!N:N,"ห้วยขวาง",เรื่องร้องเรียน!AN:AN,"โชคชัย")</f>
        <v>0</v>
      </c>
      <c r="H300" s="117">
        <f>COUNTIFS(เรื่องร้องเรียน!E:E,"3",เรื่องร้องเรียน!N:N,"ห้วยขวาง",เรื่องร้องเรียน!AN:AN,"โชคชัย",เรื่องร้องเรียน!CL:CL,"1")</f>
        <v>0</v>
      </c>
      <c r="I300" s="117">
        <f>COUNTIFS(เรื่องร้องเรียน!E:E,"4",เรื่องร้องเรียน!N:N,"ห้วยขวาง",เรื่องร้องเรียน!AN:AN,"โชคชัย")</f>
        <v>0</v>
      </c>
      <c r="J300" s="152">
        <f>COUNTIFS(เรื่องร้องเรียน!E:E,"4",เรื่องร้องเรียน!N:N,"ห้วยขวาง",เรื่องร้องเรียน!AN:AN,"โชคชัย",เรื่องร้องเรียน!CL:CL,"1")</f>
        <v>0</v>
      </c>
      <c r="K300" s="152"/>
      <c r="L300" s="152"/>
      <c r="M300" s="117">
        <f>SUM(C300,E300,G300,I300,K300)</f>
        <v>0</v>
      </c>
      <c r="N300" s="122">
        <f>SUM(D300,F300,H300,J300,L300)</f>
        <v>0</v>
      </c>
      <c r="O300" s="153">
        <f>COUNTIFS(เรื่องร้องเรียน!E:E,"1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P300" s="152">
        <f>COUNTIFS(เรื่องร้องเรียน!E:E,"2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Q300" s="152">
        <f>COUNTIFS(เรื่องร้องเรียน!E:E,"3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R300" s="152">
        <f>COUNTIFS(เรื่องร้องเรียน!E:E,"4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S300" s="152"/>
      <c r="T300" s="154">
        <f>SUM(O300:S300)</f>
        <v>0</v>
      </c>
      <c r="U300" s="190">
        <f>M300-N300-T300</f>
        <v>0</v>
      </c>
      <c r="W300" s="129">
        <f t="shared" si="111"/>
        <v>0</v>
      </c>
    </row>
    <row r="301" spans="1:23" ht="21.6" thickBot="1">
      <c r="A301" s="174"/>
      <c r="B301" s="172" t="s">
        <v>86</v>
      </c>
      <c r="C301" s="231">
        <f>COUNTIFS(เรื่องร้องเรียน!E:E,"1",เรื่องร้องเรียน!N:N,"ห้วยขวาง",เรื่องร้องเรียน!AN:AN,"ดินแดง")</f>
        <v>0</v>
      </c>
      <c r="D301" s="124">
        <f>COUNTIFS(เรื่องร้องเรียน!E:E,"1",เรื่องร้องเรียน!N:N,"ห้วยขวาง",เรื่องร้องเรียน!AN:AN,"ดินแดง",เรื่องร้องเรียน!CL:CL,"1")</f>
        <v>0</v>
      </c>
      <c r="E301" s="124">
        <f>COUNTIFS(เรื่องร้องเรียน!E:E,"2",เรื่องร้องเรียน!N:N,"ห้วยขวาง",เรื่องร้องเรียน!AN:AN,"ดินแดง")</f>
        <v>0</v>
      </c>
      <c r="F301" s="124">
        <f>COUNTIFS(เรื่องร้องเรียน!E:E,"2",เรื่องร้องเรียน!N:N,"ห้วยขวาง",เรื่องร้องเรียน!AN:AN,"ดินแดง",เรื่องร้องเรียน!CL:CL,"1")</f>
        <v>0</v>
      </c>
      <c r="G301" s="124">
        <f>COUNTIFS(เรื่องร้องเรียน!E:E,"3",เรื่องร้องเรียน!N:N,"ห้วยขวาง",เรื่องร้องเรียน!AN:AN,"ดินแดง")</f>
        <v>0</v>
      </c>
      <c r="H301" s="124">
        <f>COUNTIFS(เรื่องร้องเรียน!E:E,"3",เรื่องร้องเรียน!N:N,"ห้วยขวาง",เรื่องร้องเรียน!AN:AN,"ดินแดง",เรื่องร้องเรียน!CL:CL,"1")</f>
        <v>0</v>
      </c>
      <c r="I301" s="124">
        <f>COUNTIFS(เรื่องร้องเรียน!E:E,"4",เรื่องร้องเรียน!N:N,"ห้วยขวาง",เรื่องร้องเรียน!AN:AN,"ดินแดง")</f>
        <v>0</v>
      </c>
      <c r="J301" s="157">
        <f>COUNTIFS(เรื่องร้องเรียน!E:E,"4",เรื่องร้องเรียน!N:N,"ห้วยขวาง",เรื่องร้องเรียน!AN:AN,"ดินแดง",เรื่องร้องเรียน!CL:CL,"1")</f>
        <v>0</v>
      </c>
      <c r="K301" s="157"/>
      <c r="L301" s="157"/>
      <c r="M301" s="124">
        <f>SUM(C301,E301,G301,I301,K301)</f>
        <v>0</v>
      </c>
      <c r="N301" s="158">
        <f>SUM(D301,F301,H301,J301,L301)</f>
        <v>0</v>
      </c>
      <c r="O301" s="159">
        <f>COUNTIFS(เรื่องร้องเรียน!E:E,"1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P301" s="157">
        <f>COUNTIFS(เรื่องร้องเรียน!E:E,"2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Q301" s="157">
        <f>COUNTIFS(เรื่องร้องเรียน!E:E,"3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R301" s="157">
        <f>COUNTIFS(เรื่องร้องเรียน!E:E,"4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S301" s="157"/>
      <c r="T301" s="160">
        <f>SUM(O301:S301)</f>
        <v>0</v>
      </c>
      <c r="U301" s="184">
        <f>M301-N301-T301</f>
        <v>0</v>
      </c>
      <c r="W301" s="129">
        <f t="shared" si="111"/>
        <v>0</v>
      </c>
    </row>
    <row r="1478" spans="27:27">
      <c r="AA1478" s="41" t="s">
        <v>102</v>
      </c>
    </row>
  </sheetData>
  <mergeCells count="20">
    <mergeCell ref="A1:T1"/>
    <mergeCell ref="A2:T2"/>
    <mergeCell ref="A3:A5"/>
    <mergeCell ref="B3:B5"/>
    <mergeCell ref="C3:N3"/>
    <mergeCell ref="O3:T3"/>
    <mergeCell ref="Q4:Q5"/>
    <mergeCell ref="R4:R5"/>
    <mergeCell ref="S4:S5"/>
    <mergeCell ref="T4:T5"/>
    <mergeCell ref="U3:U5"/>
    <mergeCell ref="W3:W5"/>
    <mergeCell ref="C4:D4"/>
    <mergeCell ref="E4:F4"/>
    <mergeCell ref="G4:H4"/>
    <mergeCell ref="I4:J4"/>
    <mergeCell ref="K4:L4"/>
    <mergeCell ref="M4:N4"/>
    <mergeCell ref="O4:O5"/>
    <mergeCell ref="P4:P5"/>
  </mergeCells>
  <pageMargins left="0.15748031496062992" right="0.19685039370078741" top="0.74803149606299213" bottom="0.82677165354330717" header="0.31496062992125984" footer="0.47244094488188981"/>
  <pageSetup paperSize="9" scale="80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5FF75"/>
  </sheetPr>
  <dimension ref="A1:AA1430"/>
  <sheetViews>
    <sheetView zoomScale="90" zoomScaleNormal="90" workbookViewId="0">
      <pane ySplit="7" topLeftCell="A59" activePane="bottomLeft" state="frozen"/>
      <selection pane="bottomLeft" activeCell="B34" sqref="B34"/>
    </sheetView>
  </sheetViews>
  <sheetFormatPr defaultColWidth="9" defaultRowHeight="21"/>
  <cols>
    <col min="1" max="1" width="5.109375" style="126" customWidth="1"/>
    <col min="2" max="2" width="16" style="10" customWidth="1"/>
    <col min="3" max="3" width="4.6640625" style="10" customWidth="1"/>
    <col min="4" max="4" width="5.33203125" style="10" customWidth="1"/>
    <col min="5" max="6" width="4.6640625" style="10" customWidth="1"/>
    <col min="7" max="7" width="6.21875" style="10" customWidth="1"/>
    <col min="8" max="12" width="4.6640625" style="10" customWidth="1"/>
    <col min="13" max="13" width="6.109375" style="10" customWidth="1"/>
    <col min="14" max="14" width="4.6640625" style="10" customWidth="1"/>
    <col min="15" max="20" width="6.33203125" style="10" customWidth="1"/>
    <col min="21" max="16384" width="9" style="10"/>
  </cols>
  <sheetData>
    <row r="1" spans="1:21" s="71" customFormat="1">
      <c r="A1" s="729" t="s">
        <v>258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</row>
    <row r="2" spans="1:21" s="71" customFormat="1" ht="21.6" thickBot="1">
      <c r="A2" s="744" t="s">
        <v>159</v>
      </c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</row>
    <row r="3" spans="1:21">
      <c r="A3" s="745" t="s">
        <v>6</v>
      </c>
      <c r="B3" s="747" t="s">
        <v>5</v>
      </c>
      <c r="C3" s="750" t="s">
        <v>145</v>
      </c>
      <c r="D3" s="751"/>
      <c r="E3" s="751"/>
      <c r="F3" s="751"/>
      <c r="G3" s="751"/>
      <c r="H3" s="751"/>
      <c r="I3" s="751"/>
      <c r="J3" s="751"/>
      <c r="K3" s="751"/>
      <c r="L3" s="751"/>
      <c r="M3" s="751"/>
      <c r="N3" s="752"/>
      <c r="O3" s="753" t="s">
        <v>160</v>
      </c>
      <c r="P3" s="754"/>
      <c r="Q3" s="754"/>
      <c r="R3" s="754"/>
      <c r="S3" s="755"/>
      <c r="T3" s="755"/>
      <c r="U3" s="717" t="s">
        <v>161</v>
      </c>
    </row>
    <row r="4" spans="1:21">
      <c r="A4" s="731"/>
      <c r="B4" s="748"/>
      <c r="C4" s="741" t="s">
        <v>162</v>
      </c>
      <c r="D4" s="742"/>
      <c r="E4" s="742" t="s">
        <v>163</v>
      </c>
      <c r="F4" s="742"/>
      <c r="G4" s="742" t="s">
        <v>164</v>
      </c>
      <c r="H4" s="742"/>
      <c r="I4" s="742" t="s">
        <v>165</v>
      </c>
      <c r="J4" s="742"/>
      <c r="K4" s="742" t="s">
        <v>166</v>
      </c>
      <c r="L4" s="742"/>
      <c r="M4" s="742" t="s">
        <v>152</v>
      </c>
      <c r="N4" s="743"/>
      <c r="O4" s="725" t="s">
        <v>162</v>
      </c>
      <c r="P4" s="727" t="s">
        <v>163</v>
      </c>
      <c r="Q4" s="727" t="s">
        <v>164</v>
      </c>
      <c r="R4" s="727" t="s">
        <v>165</v>
      </c>
      <c r="S4" s="727" t="s">
        <v>166</v>
      </c>
      <c r="T4" s="727" t="s">
        <v>152</v>
      </c>
      <c r="U4" s="718"/>
    </row>
    <row r="5" spans="1:21" ht="21.6" thickBot="1">
      <c r="A5" s="746"/>
      <c r="B5" s="749"/>
      <c r="C5" s="382" t="s">
        <v>147</v>
      </c>
      <c r="D5" s="381" t="s">
        <v>11</v>
      </c>
      <c r="E5" s="381" t="s">
        <v>147</v>
      </c>
      <c r="F5" s="381" t="s">
        <v>11</v>
      </c>
      <c r="G5" s="381" t="s">
        <v>147</v>
      </c>
      <c r="H5" s="381" t="s">
        <v>11</v>
      </c>
      <c r="I5" s="381" t="s">
        <v>147</v>
      </c>
      <c r="J5" s="381" t="s">
        <v>11</v>
      </c>
      <c r="K5" s="381" t="s">
        <v>147</v>
      </c>
      <c r="L5" s="381" t="s">
        <v>11</v>
      </c>
      <c r="M5" s="381" t="s">
        <v>147</v>
      </c>
      <c r="N5" s="379" t="s">
        <v>11</v>
      </c>
      <c r="O5" s="726"/>
      <c r="P5" s="728"/>
      <c r="Q5" s="728"/>
      <c r="R5" s="728"/>
      <c r="S5" s="728"/>
      <c r="T5" s="728"/>
      <c r="U5" s="719"/>
    </row>
    <row r="6" spans="1:21" s="71" customFormat="1" ht="21.6" thickBot="1">
      <c r="A6" s="72" t="s">
        <v>152</v>
      </c>
      <c r="B6" s="73"/>
      <c r="C6" s="74">
        <f>SUM(C8,C18,C30,C42,C51,C61,C70,C82,C94)</f>
        <v>0</v>
      </c>
      <c r="D6" s="75">
        <f t="shared" ref="D6:J6" si="0">SUM(D8,D18,D30,D42,D51,D61,D70,D82,D94)</f>
        <v>0</v>
      </c>
      <c r="E6" s="75">
        <f t="shared" si="0"/>
        <v>0</v>
      </c>
      <c r="F6" s="75">
        <f t="shared" si="0"/>
        <v>0</v>
      </c>
      <c r="G6" s="75">
        <f t="shared" si="0"/>
        <v>0</v>
      </c>
      <c r="H6" s="75">
        <f t="shared" si="0"/>
        <v>0</v>
      </c>
      <c r="I6" s="75">
        <f t="shared" si="0"/>
        <v>0</v>
      </c>
      <c r="J6" s="75">
        <f t="shared" si="0"/>
        <v>0</v>
      </c>
      <c r="K6" s="75">
        <f>SUM(K7,K8,K18,K30,K42,K51,K61,K70,K82,K94)</f>
        <v>0</v>
      </c>
      <c r="L6" s="75">
        <f>SUM(L7,L8,L18,L30,L42,L51,L61,L70,L82,L94)</f>
        <v>0</v>
      </c>
      <c r="M6" s="75">
        <f>SUM(M7,M8,M18,M30,M42,M51,M61,M70,M82,M94)</f>
        <v>0</v>
      </c>
      <c r="N6" s="76">
        <f>SUM(N7,N8,N18,N30,N42,N51,N61,N70,N82,N94)</f>
        <v>0</v>
      </c>
      <c r="O6" s="77">
        <f>SUM(O8,O18,O30,O42,O51,O61,O70,O82,O94)</f>
        <v>0</v>
      </c>
      <c r="P6" s="75">
        <f>SUM(P8,P18,P30,P42,P51,P61,P70,P82,P94)</f>
        <v>0</v>
      </c>
      <c r="Q6" s="75">
        <f>SUM(Q8,Q18,Q30,Q42,Q51,Q61,Q70,Q82,Q94)</f>
        <v>0</v>
      </c>
      <c r="R6" s="75">
        <f>SUM(R8,R18,R30,R42,R51,R61,R70,R82,R94)</f>
        <v>0</v>
      </c>
      <c r="S6" s="75">
        <f>SUM(S7,S8,S18,S30,S42,S51,S61,S70,S82,S94)</f>
        <v>0</v>
      </c>
      <c r="T6" s="78">
        <f>SUM(T7,T8,T18,T30,T42,T51,T61,T70,T82,T94)</f>
        <v>0</v>
      </c>
      <c r="U6" s="79">
        <f>M6-N6-T6</f>
        <v>0</v>
      </c>
    </row>
    <row r="7" spans="1:21" s="71" customFormat="1" ht="21.6" thickBot="1">
      <c r="A7" s="80" t="s">
        <v>20</v>
      </c>
      <c r="B7" s="81"/>
      <c r="C7" s="82"/>
      <c r="D7" s="83"/>
      <c r="E7" s="83"/>
      <c r="F7" s="83"/>
      <c r="G7" s="83"/>
      <c r="H7" s="83"/>
      <c r="I7" s="83"/>
      <c r="J7" s="83"/>
      <c r="K7" s="84">
        <f>COUNTIFS(เรื่องร้องเรียน!E:E,"5",เรื่องร้องเรียน!AO:AO,"&gt;=1")</f>
        <v>0</v>
      </c>
      <c r="L7" s="84">
        <f>COUNTIFS(เรื่องร้องเรียน!E:E,"5",เรื่องร้องเรียน!AO:AO,"&gt;=1",เรื่องร้องเรียน!CL:CL,"1")</f>
        <v>0</v>
      </c>
      <c r="M7" s="84">
        <f>SUM(C7,E7,G7,I7,K7)</f>
        <v>0</v>
      </c>
      <c r="N7" s="85">
        <f>SUM(D7,F7,H7,J7,L7)</f>
        <v>0</v>
      </c>
      <c r="O7" s="86"/>
      <c r="P7" s="83"/>
      <c r="Q7" s="83"/>
      <c r="R7" s="83"/>
      <c r="S7" s="84">
        <f>COUNTIFS(เรื่องร้องเรียน!E:E,"5",เรื่องร้องเรียน!AO:AO,"&gt;=1",เรื่องร้องเรียน!AQ:AQ,"1",เรื่องร้องเรียน!CL:CL,"")</f>
        <v>0</v>
      </c>
      <c r="T7" s="87">
        <f>SUM(O7:S7)</f>
        <v>0</v>
      </c>
      <c r="U7" s="88">
        <f t="shared" ref="U7:U70" si="1">M7-N7-T7</f>
        <v>0</v>
      </c>
    </row>
    <row r="8" spans="1:21" ht="21.6" thickBot="1">
      <c r="A8" s="89">
        <v>1</v>
      </c>
      <c r="B8" s="90"/>
      <c r="C8" s="91">
        <f>SUM(C9:C17)</f>
        <v>0</v>
      </c>
      <c r="D8" s="92">
        <f t="shared" ref="D8:R8" si="2">SUM(D9:D17)</f>
        <v>0</v>
      </c>
      <c r="E8" s="92">
        <f t="shared" si="2"/>
        <v>0</v>
      </c>
      <c r="F8" s="92">
        <f t="shared" si="2"/>
        <v>0</v>
      </c>
      <c r="G8" s="92">
        <f t="shared" si="2"/>
        <v>0</v>
      </c>
      <c r="H8" s="92">
        <f t="shared" si="2"/>
        <v>0</v>
      </c>
      <c r="I8" s="92">
        <f t="shared" si="2"/>
        <v>0</v>
      </c>
      <c r="J8" s="92">
        <f t="shared" si="2"/>
        <v>0</v>
      </c>
      <c r="K8" s="93"/>
      <c r="L8" s="93"/>
      <c r="M8" s="92">
        <f t="shared" ref="M8:N71" si="3">SUM(C8,E8,G8,I8,K8)</f>
        <v>0</v>
      </c>
      <c r="N8" s="94">
        <f t="shared" si="3"/>
        <v>0</v>
      </c>
      <c r="O8" s="95">
        <f t="shared" si="2"/>
        <v>0</v>
      </c>
      <c r="P8" s="92">
        <f t="shared" si="2"/>
        <v>0</v>
      </c>
      <c r="Q8" s="92">
        <f t="shared" si="2"/>
        <v>0</v>
      </c>
      <c r="R8" s="92">
        <f t="shared" si="2"/>
        <v>0</v>
      </c>
      <c r="S8" s="93"/>
      <c r="T8" s="96">
        <f t="shared" ref="T8:T71" si="4">SUM(O8:S8)</f>
        <v>0</v>
      </c>
      <c r="U8" s="97">
        <f t="shared" si="1"/>
        <v>0</v>
      </c>
    </row>
    <row r="9" spans="1:21">
      <c r="A9" s="98"/>
      <c r="B9" s="99" t="s">
        <v>167</v>
      </c>
      <c r="C9" s="100">
        <f>COUNTIFS(เรื่องร้องเรียน!E:E,"1",เรื่องร้องเรียน!AO:AO,"1",เรื่องร้องเรียน!AN:AN,"ชนะสงคราม")</f>
        <v>0</v>
      </c>
      <c r="D9" s="101">
        <f>COUNTIFS(เรื่องร้องเรียน!E:E,"1",เรื่องร้องเรียน!AO:AO,"1",เรื่องร้องเรียน!AN:AN,"ชนะสงคราม",เรื่องร้องเรียน!CL:CL,"1")</f>
        <v>0</v>
      </c>
      <c r="E9" s="101">
        <f>COUNTIFS(เรื่องร้องเรียน!E:E,"2",เรื่องร้องเรียน!AO:AO,"1",เรื่องร้องเรียน!AN:AN,"ชนะสงคราม")</f>
        <v>0</v>
      </c>
      <c r="F9" s="101">
        <f>COUNTIFS(เรื่องร้องเรียน!E:E,"2",เรื่องร้องเรียน!AO:AO,"1",เรื่องร้องเรียน!AN:AN,"ชนะสงคราม",เรื่องร้องเรียน!CL:CL,"1")</f>
        <v>0</v>
      </c>
      <c r="G9" s="101">
        <f>COUNTIFS(เรื่องร้องเรียน!E:E,"3",เรื่องร้องเรียน!AO:AO,"1",เรื่องร้องเรียน!AN:AN,"ชนะสงคราม")</f>
        <v>0</v>
      </c>
      <c r="H9" s="101">
        <f>COUNTIFS(เรื่องร้องเรียน!E:E,"3",เรื่องร้องเรียน!AO:AO,"1",เรื่องร้องเรียน!AN:AN,"ชนะสงคราม",เรื่องร้องเรียน!CL:CL,"1")</f>
        <v>0</v>
      </c>
      <c r="I9" s="101">
        <f>COUNTIFS(เรื่องร้องเรียน!E:E,"4",เรื่องร้องเรียน!AO:AO,"1",เรื่องร้องเรียน!AN:AN,"ชนะสงคราม")</f>
        <v>0</v>
      </c>
      <c r="J9" s="101">
        <f>COUNTIFS(เรื่องร้องเรียน!E:E,"4",เรื่องร้องเรียน!AO:AO,"1",เรื่องร้องเรียน!AN:AN,"ชนะสงคราม",เรื่องร้องเรียน!CL:CL,"1")</f>
        <v>0</v>
      </c>
      <c r="K9" s="102"/>
      <c r="L9" s="102"/>
      <c r="M9" s="101">
        <f t="shared" si="3"/>
        <v>0</v>
      </c>
      <c r="N9" s="103">
        <f t="shared" si="3"/>
        <v>0</v>
      </c>
      <c r="O9" s="104">
        <f>COUNTIFS(เรื่องร้องเรียน!E:E,"1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P9" s="101">
        <f>COUNTIFS(เรื่องร้องเรียน!E:E,"2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Q9" s="101">
        <f>COUNTIFS(เรื่องร้องเรียน!E:E,"3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R9" s="101">
        <f>COUNTIFS(เรื่องร้องเรียน!E:E,"4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S9" s="102"/>
      <c r="T9" s="105">
        <f t="shared" si="4"/>
        <v>0</v>
      </c>
      <c r="U9" s="106">
        <f t="shared" si="1"/>
        <v>0</v>
      </c>
    </row>
    <row r="10" spans="1:21">
      <c r="A10" s="107"/>
      <c r="B10" s="108" t="s">
        <v>86</v>
      </c>
      <c r="C10" s="100">
        <f>COUNTIFS(เรื่องร้องเรียน!E:E,"1",เรื่องร้องเรียน!AO:AO,"1",เรื่องร้องเรียน!AN:AN,"ดินแดง")</f>
        <v>0</v>
      </c>
      <c r="D10" s="101">
        <f>COUNTIFS(เรื่องร้องเรียน!E:E,"1",เรื่องร้องเรียน!AO:AO,"1",เรื่องร้องเรียน!AN:AN,"ดินแดง",เรื่องร้องเรียน!CL:CL,"1")</f>
        <v>0</v>
      </c>
      <c r="E10" s="101">
        <f>COUNTIFS(เรื่องร้องเรียน!E:E,"2",เรื่องร้องเรียน!AO:AO,"1",เรื่องร้องเรียน!AN:AN,"ดินแดง")</f>
        <v>0</v>
      </c>
      <c r="F10" s="101">
        <f>COUNTIFS(เรื่องร้องเรียน!E:E,"2",เรื่องร้องเรียน!AO:AO,"1",เรื่องร้องเรียน!AN:AN,"ดินแดง",เรื่องร้องเรียน!CL:CL,"1")</f>
        <v>0</v>
      </c>
      <c r="G10" s="101">
        <f>COUNTIFS(เรื่องร้องเรียน!E:E,"3",เรื่องร้องเรียน!AO:AO,"1",เรื่องร้องเรียน!AN:AN,"ดินแดง")</f>
        <v>0</v>
      </c>
      <c r="H10" s="101">
        <f>COUNTIFS(เรื่องร้องเรียน!E:E,"3",เรื่องร้องเรียน!AO:AO,"1",เรื่องร้องเรียน!AN:AN,"ดินแดง",เรื่องร้องเรียน!CL:CL,"1")</f>
        <v>0</v>
      </c>
      <c r="I10" s="101">
        <f>COUNTIFS(เรื่องร้องเรียน!E:E,"4",เรื่องร้องเรียน!AO:AO,"1",เรื่องร้องเรียน!AN:AN,"ดินแดง")</f>
        <v>0</v>
      </c>
      <c r="J10" s="101">
        <f>COUNTIFS(เรื่องร้องเรียน!E:E,"4",เรื่องร้องเรียน!AO:AO,"1",เรื่องร้องเรียน!AN:AN,"ดินแดง",เรื่องร้องเรียน!CL:CL,"1")</f>
        <v>0</v>
      </c>
      <c r="K10" s="102"/>
      <c r="L10" s="102"/>
      <c r="M10" s="101">
        <f t="shared" si="3"/>
        <v>0</v>
      </c>
      <c r="N10" s="103">
        <f t="shared" si="3"/>
        <v>0</v>
      </c>
      <c r="O10" s="104">
        <f>COUNTIFS(เรื่องร้องเรียน!E:E,"1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P10" s="101">
        <f>COUNTIFS(เรื่องร้องเรียน!E:E,"2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Q10" s="101">
        <f>COUNTIFS(เรื่องร้องเรียน!E:E,"3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R10" s="101">
        <f>COUNTIFS(เรื่องร้องเรียน!E:E,"4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S10" s="102"/>
      <c r="T10" s="109">
        <f t="shared" si="4"/>
        <v>0</v>
      </c>
      <c r="U10" s="110">
        <f t="shared" si="1"/>
        <v>0</v>
      </c>
    </row>
    <row r="11" spans="1:21">
      <c r="A11" s="107"/>
      <c r="B11" s="108" t="s">
        <v>168</v>
      </c>
      <c r="C11" s="100">
        <f>COUNTIFS(เรื่องร้องเรียน!E:E,"1",เรื่องร้องเรียน!AO:AO,"1",เรื่องร้องเรียน!AN:AN,"ดุสิต")</f>
        <v>0</v>
      </c>
      <c r="D11" s="101">
        <f>COUNTIFS(เรื่องร้องเรียน!E:E,"1",เรื่องร้องเรียน!AO:AO,"1",เรื่องร้องเรียน!AN:AN,"ดุสิต",เรื่องร้องเรียน!CL:CL,"1")</f>
        <v>0</v>
      </c>
      <c r="E11" s="101">
        <f>COUNTIFS(เรื่องร้องเรียน!E:E,"2",เรื่องร้องเรียน!AO:AO,"1",เรื่องร้องเรียน!AN:AN,"ดุสิต")</f>
        <v>0</v>
      </c>
      <c r="F11" s="101">
        <f>COUNTIFS(เรื่องร้องเรียน!E:E,"2",เรื่องร้องเรียน!AO:AO,"1",เรื่องร้องเรียน!AN:AN,"ดุสิต",เรื่องร้องเรียน!CL:CL,"1")</f>
        <v>0</v>
      </c>
      <c r="G11" s="101">
        <f>COUNTIFS(เรื่องร้องเรียน!E:E,"3",เรื่องร้องเรียน!AO:AO,"1",เรื่องร้องเรียน!AN:AN,"ดุสิต")</f>
        <v>0</v>
      </c>
      <c r="H11" s="101">
        <f>COUNTIFS(เรื่องร้องเรียน!E:E,"3",เรื่องร้องเรียน!AO:AO,"1",เรื่องร้องเรียน!AN:AN,"ดุสิต",เรื่องร้องเรียน!CL:CL,"1")</f>
        <v>0</v>
      </c>
      <c r="I11" s="101">
        <f>COUNTIFS(เรื่องร้องเรียน!E:E,"4",เรื่องร้องเรียน!AO:AO,"1",เรื่องร้องเรียน!AN:AN,"ดุสิต")</f>
        <v>0</v>
      </c>
      <c r="J11" s="101">
        <f>COUNTIFS(เรื่องร้องเรียน!E:E,"4",เรื่องร้องเรียน!AO:AO,"1",เรื่องร้องเรียน!AN:AN,"ดุสิต",เรื่องร้องเรียน!CL:CL,"1")</f>
        <v>0</v>
      </c>
      <c r="K11" s="102"/>
      <c r="L11" s="102"/>
      <c r="M11" s="101">
        <f t="shared" si="3"/>
        <v>0</v>
      </c>
      <c r="N11" s="103">
        <f t="shared" si="3"/>
        <v>0</v>
      </c>
      <c r="O11" s="104">
        <f>COUNTIFS(เรื่องร้องเรียน!E:E,"1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P11" s="101">
        <f>COUNTIFS(เรื่องร้องเรียน!E:E,"2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Q11" s="101">
        <f>COUNTIFS(เรื่องร้องเรียน!E:E,"3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R11" s="101">
        <f>COUNTIFS(เรื่องร้องเรียน!E:E,"4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S11" s="102"/>
      <c r="T11" s="109">
        <f t="shared" si="4"/>
        <v>0</v>
      </c>
      <c r="U11" s="110">
        <f t="shared" si="1"/>
        <v>0</v>
      </c>
    </row>
    <row r="12" spans="1:21">
      <c r="A12" s="107"/>
      <c r="B12" s="108" t="s">
        <v>169</v>
      </c>
      <c r="C12" s="100">
        <f>COUNTIFS(เรื่องร้องเรียน!E:E,"1",เรื่องร้องเรียน!AO:AO,"1",เรื่องร้องเรียน!AN:AN,"นางเลิ้ง")</f>
        <v>0</v>
      </c>
      <c r="D12" s="101">
        <f>COUNTIFS(เรื่องร้องเรียน!E:E,"1",เรื่องร้องเรียน!AO:AO,"1",เรื่องร้องเรียน!AN:AN,"นางเลิ้ง",เรื่องร้องเรียน!CL:CL,"1")</f>
        <v>0</v>
      </c>
      <c r="E12" s="101">
        <f>COUNTIFS(เรื่องร้องเรียน!E:E,"2",เรื่องร้องเรียน!AO:AO,"1",เรื่องร้องเรียน!AN:AN,"นางเลิ้ง")</f>
        <v>0</v>
      </c>
      <c r="F12" s="101">
        <f>COUNTIFS(เรื่องร้องเรียน!E:E,"2",เรื่องร้องเรียน!AO:AO,"1",เรื่องร้องเรียน!AN:AN,"นางเลิ้ง",เรื่องร้องเรียน!CL:CL,"1")</f>
        <v>0</v>
      </c>
      <c r="G12" s="101">
        <f>COUNTIFS(เรื่องร้องเรียน!E:E,"3",เรื่องร้องเรียน!AO:AO,"1",เรื่องร้องเรียน!AN:AN,"นางเลิ้ง")</f>
        <v>0</v>
      </c>
      <c r="H12" s="101">
        <f>COUNTIFS(เรื่องร้องเรียน!E:E,"3",เรื่องร้องเรียน!AO:AO,"1",เรื่องร้องเรียน!AN:AN,"นางเลิ้ง",เรื่องร้องเรียน!CL:CL,"1")</f>
        <v>0</v>
      </c>
      <c r="I12" s="101">
        <f>COUNTIFS(เรื่องร้องเรียน!E:E,"4",เรื่องร้องเรียน!AO:AO,"1",เรื่องร้องเรียน!AN:AN,"นางเลิ้ง")</f>
        <v>0</v>
      </c>
      <c r="J12" s="101">
        <f>COUNTIFS(เรื่องร้องเรียน!E:E,"4",เรื่องร้องเรียน!AO:AO,"1",เรื่องร้องเรียน!AN:AN,"นางเลิ้ง",เรื่องร้องเรียน!CL:CL,"1")</f>
        <v>0</v>
      </c>
      <c r="K12" s="102"/>
      <c r="L12" s="102"/>
      <c r="M12" s="101">
        <f t="shared" si="3"/>
        <v>0</v>
      </c>
      <c r="N12" s="103">
        <f t="shared" si="3"/>
        <v>0</v>
      </c>
      <c r="O12" s="104">
        <f>COUNTIFS(เรื่องร้องเรียน!E:E,"1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P12" s="101">
        <f>COUNTIFS(เรื่องร้องเรียน!E:E,"2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Q12" s="101">
        <f>COUNTIFS(เรื่องร้องเรียน!E:E,"3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R12" s="101">
        <f>COUNTIFS(เรื่องร้องเรียน!E:E,"4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S12" s="102"/>
      <c r="T12" s="109">
        <f t="shared" si="4"/>
        <v>0</v>
      </c>
      <c r="U12" s="110">
        <f t="shared" si="1"/>
        <v>0</v>
      </c>
    </row>
    <row r="13" spans="1:21">
      <c r="A13" s="107"/>
      <c r="B13" s="108" t="s">
        <v>89</v>
      </c>
      <c r="C13" s="100">
        <f>COUNTIFS(เรื่องร้องเรียน!E:E,"1",เรื่องร้องเรียน!AO:AO,"1",เรื่องร้องเรียน!AN:AN,"พญาไท")</f>
        <v>0</v>
      </c>
      <c r="D13" s="101">
        <f>COUNTIFS(เรื่องร้องเรียน!E:E,"1",เรื่องร้องเรียน!AO:AO,"1",เรื่องร้องเรียน!AN:AN,"พญาไท",เรื่องร้องเรียน!CL:CL,"1")</f>
        <v>0</v>
      </c>
      <c r="E13" s="101">
        <f>COUNTIFS(เรื่องร้องเรียน!E:E,"2",เรื่องร้องเรียน!AO:AO,"1",เรื่องร้องเรียน!AN:AN,"พญาไท")</f>
        <v>0</v>
      </c>
      <c r="F13" s="101">
        <f>COUNTIFS(เรื่องร้องเรียน!E:E,"2",เรื่องร้องเรียน!AO:AO,"1",เรื่องร้องเรียน!AN:AN,"พญาไท",เรื่องร้องเรียน!CL:CL,"1")</f>
        <v>0</v>
      </c>
      <c r="G13" s="101">
        <f>COUNTIFS(เรื่องร้องเรียน!E:E,"3",เรื่องร้องเรียน!AO:AO,"1",เรื่องร้องเรียน!AN:AN,"พญาไท")</f>
        <v>0</v>
      </c>
      <c r="H13" s="101">
        <f>COUNTIFS(เรื่องร้องเรียน!E:E,"3",เรื่องร้องเรียน!AO:AO,"1",เรื่องร้องเรียน!AN:AN,"พญาไท",เรื่องร้องเรียน!CL:CL,"1")</f>
        <v>0</v>
      </c>
      <c r="I13" s="101">
        <f>COUNTIFS(เรื่องร้องเรียน!E:E,"4",เรื่องร้องเรียน!AO:AO,"1",เรื่องร้องเรียน!AN:AN,"พญาไท")</f>
        <v>0</v>
      </c>
      <c r="J13" s="101">
        <f>COUNTIFS(เรื่องร้องเรียน!E:E,"4",เรื่องร้องเรียน!AO:AO,"1",เรื่องร้องเรียน!AN:AN,"พญาไท",เรื่องร้องเรียน!CL:CL,"1")</f>
        <v>0</v>
      </c>
      <c r="K13" s="102"/>
      <c r="L13" s="102"/>
      <c r="M13" s="101">
        <f t="shared" si="3"/>
        <v>0</v>
      </c>
      <c r="N13" s="103">
        <f t="shared" si="3"/>
        <v>0</v>
      </c>
      <c r="O13" s="104">
        <f>COUNTIFS(เรื่องร้องเรียน!E:E,"1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P13" s="101">
        <f>COUNTIFS(เรื่องร้องเรียน!E:E,"2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Q13" s="101">
        <f>COUNTIFS(เรื่องร้องเรียน!E:E,"3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R13" s="101">
        <f>COUNTIFS(เรื่องร้องเรียน!E:E,"4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S13" s="102"/>
      <c r="T13" s="109">
        <f t="shared" si="4"/>
        <v>0</v>
      </c>
      <c r="U13" s="110">
        <f t="shared" si="1"/>
        <v>0</v>
      </c>
    </row>
    <row r="14" spans="1:21">
      <c r="A14" s="107"/>
      <c r="B14" s="108" t="s">
        <v>170</v>
      </c>
      <c r="C14" s="100">
        <f>COUNTIFS(เรื่องร้องเรียน!E:E,"1",เรื่องร้องเรียน!AO:AO,"1",เรื่องร้องเรียน!AN:AN,"มักกะสัน")</f>
        <v>0</v>
      </c>
      <c r="D14" s="101">
        <f>COUNTIFS(เรื่องร้องเรียน!E:E,"1",เรื่องร้องเรียน!AO:AO,"1",เรื่องร้องเรียน!AN:AN,"มักกะสัน",เรื่องร้องเรียน!CL:CL,"1")</f>
        <v>0</v>
      </c>
      <c r="E14" s="101">
        <f>COUNTIFS(เรื่องร้องเรียน!E:E,"2",เรื่องร้องเรียน!AO:AO,"1",เรื่องร้องเรียน!AN:AN,"มักกะสัน")</f>
        <v>0</v>
      </c>
      <c r="F14" s="101">
        <f>COUNTIFS(เรื่องร้องเรียน!E:E,"2",เรื่องร้องเรียน!AO:AO,"1",เรื่องร้องเรียน!AN:AN,"มักกะสัน",เรื่องร้องเรียน!CL:CL,"1")</f>
        <v>0</v>
      </c>
      <c r="G14" s="101">
        <f>COUNTIFS(เรื่องร้องเรียน!E:E,"3",เรื่องร้องเรียน!AO:AO,"1",เรื่องร้องเรียน!AN:AN,"มักกะสัน")</f>
        <v>0</v>
      </c>
      <c r="H14" s="101">
        <f>COUNTIFS(เรื่องร้องเรียน!E:E,"3",เรื่องร้องเรียน!AO:AO,"1",เรื่องร้องเรียน!AN:AN,"มักกะสัน",เรื่องร้องเรียน!CL:CL,"1")</f>
        <v>0</v>
      </c>
      <c r="I14" s="101">
        <f>COUNTIFS(เรื่องร้องเรียน!E:E,"4",เรื่องร้องเรียน!AO:AO,"1",เรื่องร้องเรียน!AN:AN,"มักกะสัน")</f>
        <v>0</v>
      </c>
      <c r="J14" s="101">
        <f>COUNTIFS(เรื่องร้องเรียน!E:E,"4",เรื่องร้องเรียน!AO:AO,"1",เรื่องร้องเรียน!AN:AN,"มักกะสัน",เรื่องร้องเรียน!CL:CL,"1")</f>
        <v>0</v>
      </c>
      <c r="K14" s="102"/>
      <c r="L14" s="102"/>
      <c r="M14" s="101">
        <f t="shared" si="3"/>
        <v>0</v>
      </c>
      <c r="N14" s="103">
        <f t="shared" si="3"/>
        <v>0</v>
      </c>
      <c r="O14" s="104">
        <f>COUNTIFS(เรื่องร้องเรียน!E:E,"1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P14" s="101">
        <f>COUNTIFS(เรื่องร้องเรียน!E:E,"2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Q14" s="101">
        <f>COUNTIFS(เรื่องร้องเรียน!E:E,"3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R14" s="101">
        <f>COUNTIFS(เรื่องร้องเรียน!E:E,"4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S14" s="102"/>
      <c r="T14" s="109">
        <f t="shared" si="4"/>
        <v>0</v>
      </c>
      <c r="U14" s="110">
        <f t="shared" si="1"/>
        <v>0</v>
      </c>
    </row>
    <row r="15" spans="1:21">
      <c r="A15" s="107"/>
      <c r="B15" s="108" t="s">
        <v>171</v>
      </c>
      <c r="C15" s="100">
        <f>COUNTIFS(เรื่องร้องเรียน!E:E,"1",เรื่องร้องเรียน!AO:AO,"1",เรื่องร้องเรียน!AN:AN,"สามเสน")</f>
        <v>0</v>
      </c>
      <c r="D15" s="101">
        <f>COUNTIFS(เรื่องร้องเรียน!E:E,"1",เรื่องร้องเรียน!AO:AO,"1",เรื่องร้องเรียน!AN:AN,"สามเสน",เรื่องร้องเรียน!CL:CL,"1")</f>
        <v>0</v>
      </c>
      <c r="E15" s="101">
        <f>COUNTIFS(เรื่องร้องเรียน!E:E,"2",เรื่องร้องเรียน!AO:AO,"1",เรื่องร้องเรียน!AN:AN,"สามเสน")</f>
        <v>0</v>
      </c>
      <c r="F15" s="101">
        <f>COUNTIFS(เรื่องร้องเรียน!E:E,"2",เรื่องร้องเรียน!AO:AO,"1",เรื่องร้องเรียน!AN:AN,"สามเสน",เรื่องร้องเรียน!CL:CL,"1")</f>
        <v>0</v>
      </c>
      <c r="G15" s="101">
        <f>COUNTIFS(เรื่องร้องเรียน!E:E,"3",เรื่องร้องเรียน!AO:AO,"1",เรื่องร้องเรียน!AN:AN,"สามเสน")</f>
        <v>0</v>
      </c>
      <c r="H15" s="101">
        <f>COUNTIFS(เรื่องร้องเรียน!E:E,"3",เรื่องร้องเรียน!AO:AO,"1",เรื่องร้องเรียน!AN:AN,"สามเสน",เรื่องร้องเรียน!CL:CL,"1")</f>
        <v>0</v>
      </c>
      <c r="I15" s="101">
        <f>COUNTIFS(เรื่องร้องเรียน!E:E,"4",เรื่องร้องเรียน!AO:AO,"1",เรื่องร้องเรียน!AN:AN,"สามเสน")</f>
        <v>0</v>
      </c>
      <c r="J15" s="101">
        <f>COUNTIFS(เรื่องร้องเรียน!E:E,"4",เรื่องร้องเรียน!AO:AO,"1",เรื่องร้องเรียน!AN:AN,"สามเสน",เรื่องร้องเรียน!CL:CL,"1")</f>
        <v>0</v>
      </c>
      <c r="K15" s="102"/>
      <c r="L15" s="102"/>
      <c r="M15" s="101">
        <f t="shared" si="3"/>
        <v>0</v>
      </c>
      <c r="N15" s="103">
        <f t="shared" si="3"/>
        <v>0</v>
      </c>
      <c r="O15" s="104">
        <f>COUNTIFS(เรื่องร้องเรียน!E:E,"1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P15" s="101">
        <f>COUNTIFS(เรื่องร้องเรียน!E:E,"2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Q15" s="101">
        <f>COUNTIFS(เรื่องร้องเรียน!E:E,"3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R15" s="101">
        <f>COUNTIFS(เรื่องร้องเรียน!E:E,"4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S15" s="102"/>
      <c r="T15" s="109">
        <f t="shared" si="4"/>
        <v>0</v>
      </c>
      <c r="U15" s="110">
        <f t="shared" si="1"/>
        <v>0</v>
      </c>
    </row>
    <row r="16" spans="1:21">
      <c r="A16" s="107"/>
      <c r="B16" s="108" t="s">
        <v>140</v>
      </c>
      <c r="C16" s="100">
        <f>COUNTIFS(เรื่องร้องเรียน!E:E,"1",เรื่องร้องเรียน!AO:AO,"1",เรื่องร้องเรียน!AN:AN,"ห้วยขวาง")</f>
        <v>0</v>
      </c>
      <c r="D16" s="101">
        <f>COUNTIFS(เรื่องร้องเรียน!E:E,"1",เรื่องร้องเรียน!AO:AO,"1",เรื่องร้องเรียน!AN:AN,"ห้วยขวาง",เรื่องร้องเรียน!CL:CL,"1")</f>
        <v>0</v>
      </c>
      <c r="E16" s="101">
        <f>COUNTIFS(เรื่องร้องเรียน!E:E,"2",เรื่องร้องเรียน!AO:AO,"1",เรื่องร้องเรียน!AN:AN,"ห้วยขวาง")</f>
        <v>0</v>
      </c>
      <c r="F16" s="101">
        <f>COUNTIFS(เรื่องร้องเรียน!E:E,"2",เรื่องร้องเรียน!AO:AO,"1",เรื่องร้องเรียน!AN:AN,"ห้วยขวาง",เรื่องร้องเรียน!CL:CL,"1")</f>
        <v>0</v>
      </c>
      <c r="G16" s="101">
        <f>COUNTIFS(เรื่องร้องเรียน!E:E,"3",เรื่องร้องเรียน!AO:AO,"1",เรื่องร้องเรียน!AN:AN,"ห้วยขวาง")</f>
        <v>0</v>
      </c>
      <c r="H16" s="101">
        <f>COUNTIFS(เรื่องร้องเรียน!E:E,"3",เรื่องร้องเรียน!AO:AO,"1",เรื่องร้องเรียน!AN:AN,"ห้วยขวาง",เรื่องร้องเรียน!CL:CL,"1")</f>
        <v>0</v>
      </c>
      <c r="I16" s="101">
        <f>COUNTIFS(เรื่องร้องเรียน!E:E,"4",เรื่องร้องเรียน!AO:AO,"1",เรื่องร้องเรียน!AN:AN,"ห้วยขวาง")</f>
        <v>0</v>
      </c>
      <c r="J16" s="101">
        <f>COUNTIFS(เรื่องร้องเรียน!E:E,"4",เรื่องร้องเรียน!AO:AO,"1",เรื่องร้องเรียน!AN:AN,"ห้วยขวาง",เรื่องร้องเรียน!CL:CL,"1")</f>
        <v>0</v>
      </c>
      <c r="K16" s="102"/>
      <c r="L16" s="102"/>
      <c r="M16" s="101">
        <f t="shared" si="3"/>
        <v>0</v>
      </c>
      <c r="N16" s="103">
        <f t="shared" si="3"/>
        <v>0</v>
      </c>
      <c r="O16" s="104">
        <f>COUNTIFS(เรื่องร้องเรียน!E:E,"1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P16" s="101">
        <f>COUNTIFS(เรื่องร้องเรียน!E:E,"2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Q16" s="101">
        <f>COUNTIFS(เรื่องร้องเรียน!E:E,"3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R16" s="101">
        <f>COUNTIFS(เรื่องร้องเรียน!E:E,"4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S16" s="102"/>
      <c r="T16" s="109">
        <f t="shared" si="4"/>
        <v>0</v>
      </c>
      <c r="U16" s="110">
        <f t="shared" si="1"/>
        <v>0</v>
      </c>
    </row>
    <row r="17" spans="1:21" ht="19.5" customHeight="1" thickBot="1">
      <c r="A17" s="111"/>
      <c r="B17" s="112" t="s">
        <v>172</v>
      </c>
      <c r="C17" s="113">
        <f>COUNTIFS(เรื่องร้องเรียน!E:E,"1",เรื่องร้องเรียน!AO:AO,"1",เรื่องร้องเรียน!AN:AN,"บางโพ")</f>
        <v>0</v>
      </c>
      <c r="D17" s="114">
        <f>COUNTIFS(เรื่องร้องเรียน!E:E,"1",เรื่องร้องเรียน!AO:AO,"1",เรื่องร้องเรียน!AN:AN,"บางโพ",เรื่องร้องเรียน!CL:CL,"1")</f>
        <v>0</v>
      </c>
      <c r="E17" s="114">
        <f>COUNTIFS(เรื่องร้องเรียน!E:E,"2",เรื่องร้องเรียน!AO:AO,"1",เรื่องร้องเรียน!AN:AN,"บางโพ")</f>
        <v>0</v>
      </c>
      <c r="F17" s="114">
        <f>COUNTIFS(เรื่องร้องเรียน!E:E,"2",เรื่องร้องเรียน!AO:AO,"1",เรื่องร้องเรียน!AN:AN,"บางโพ",เรื่องร้องเรียน!CL:CL,"1")</f>
        <v>0</v>
      </c>
      <c r="G17" s="114">
        <f>COUNTIFS(เรื่องร้องเรียน!E:E,"3",เรื่องร้องเรียน!AO:AO,"1",เรื่องร้องเรียน!AN:AN,"บางโพ")</f>
        <v>0</v>
      </c>
      <c r="H17" s="114">
        <f>COUNTIFS(เรื่องร้องเรียน!E:E,"3",เรื่องร้องเรียน!AO:AO,"1",เรื่องร้องเรียน!AN:AN,"บางโพ",เรื่องร้องเรียน!CL:CL,"1")</f>
        <v>0</v>
      </c>
      <c r="I17" s="101">
        <f>COUNTIFS(เรื่องร้องเรียน!E:E,"4",เรื่องร้องเรียน!AO:AO,"1",เรื่องร้องเรียน!AN:AN,"บางโพ")</f>
        <v>0</v>
      </c>
      <c r="J17" s="114">
        <f>COUNTIFS(เรื่องร้องเรียน!E:E,"4",เรื่องร้องเรียน!AO:AO,"1",เรื่องร้องเรียน!AN:AN,"บางโพ",เรื่องร้องเรียน!CL:CL,"1")</f>
        <v>0</v>
      </c>
      <c r="K17" s="115"/>
      <c r="L17" s="115"/>
      <c r="M17" s="101">
        <f t="shared" si="3"/>
        <v>0</v>
      </c>
      <c r="N17" s="103">
        <f t="shared" si="3"/>
        <v>0</v>
      </c>
      <c r="O17" s="116">
        <f>COUNTIFS(เรื่องร้องเรียน!E:E,"1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P17" s="114">
        <f>COUNTIFS(เรื่องร้องเรียน!E:E,"2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Q17" s="114">
        <f>COUNTIFS(เรื่องร้องเรียน!E:E,"3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R17" s="114">
        <f>COUNTIFS(เรื่องร้องเรียน!E:E,"4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S17" s="115"/>
      <c r="T17" s="117">
        <f t="shared" si="4"/>
        <v>0</v>
      </c>
      <c r="U17" s="118">
        <f t="shared" si="1"/>
        <v>0</v>
      </c>
    </row>
    <row r="18" spans="1:21" ht="21.6" thickBot="1">
      <c r="A18" s="89">
        <v>2</v>
      </c>
      <c r="B18" s="90"/>
      <c r="C18" s="91">
        <f>SUM(C19:C29)</f>
        <v>0</v>
      </c>
      <c r="D18" s="92">
        <f t="shared" ref="D18:R18" si="5">SUM(D19:D29)</f>
        <v>0</v>
      </c>
      <c r="E18" s="92">
        <f t="shared" si="5"/>
        <v>0</v>
      </c>
      <c r="F18" s="92">
        <f t="shared" si="5"/>
        <v>0</v>
      </c>
      <c r="G18" s="92">
        <f t="shared" si="5"/>
        <v>0</v>
      </c>
      <c r="H18" s="92">
        <f t="shared" si="5"/>
        <v>0</v>
      </c>
      <c r="I18" s="92">
        <f t="shared" si="5"/>
        <v>0</v>
      </c>
      <c r="J18" s="92">
        <f t="shared" si="5"/>
        <v>0</v>
      </c>
      <c r="K18" s="93"/>
      <c r="L18" s="93"/>
      <c r="M18" s="92">
        <f t="shared" si="3"/>
        <v>0</v>
      </c>
      <c r="N18" s="94">
        <f t="shared" si="3"/>
        <v>0</v>
      </c>
      <c r="O18" s="95">
        <f t="shared" si="5"/>
        <v>0</v>
      </c>
      <c r="P18" s="92">
        <f t="shared" si="5"/>
        <v>0</v>
      </c>
      <c r="Q18" s="92">
        <f t="shared" si="5"/>
        <v>0</v>
      </c>
      <c r="R18" s="92">
        <f t="shared" si="5"/>
        <v>0</v>
      </c>
      <c r="S18" s="93"/>
      <c r="T18" s="92">
        <f t="shared" si="4"/>
        <v>0</v>
      </c>
      <c r="U18" s="88">
        <f t="shared" si="1"/>
        <v>0</v>
      </c>
    </row>
    <row r="19" spans="1:21">
      <c r="A19" s="98"/>
      <c r="B19" s="99" t="s">
        <v>77</v>
      </c>
      <c r="C19" s="100">
        <f>COUNTIFS(เรื่องร้องเรียน!E:E,"1",เรื่องร้องเรียน!AO:AO,"2",เรื่องร้องเรียน!AN:AN,"คันนายาว")</f>
        <v>0</v>
      </c>
      <c r="D19" s="101">
        <f>COUNTIFS(เรื่องร้องเรียน!E:E,"1",เรื่องร้องเรียน!AO:AO,"2",เรื่องร้องเรียน!AN:AN,"คันนายาว",เรื่องร้องเรียน!CL:CL,"1")</f>
        <v>0</v>
      </c>
      <c r="E19" s="101">
        <f>COUNTIFS(เรื่องร้องเรียน!E:E,"2",เรื่องร้องเรียน!AO:AO,"2",เรื่องร้องเรียน!AN:AN,"คันนายาว")</f>
        <v>0</v>
      </c>
      <c r="F19" s="101">
        <f>COUNTIFS(เรื่องร้องเรียน!E:E,"2",เรื่องร้องเรียน!AO:AO,"2",เรื่องร้องเรียน!AN:AN,"คันนายาว",เรื่องร้องเรียน!CL:CL,"1")</f>
        <v>0</v>
      </c>
      <c r="G19" s="101">
        <f>COUNTIFS(เรื่องร้องเรียน!E:E,"3",เรื่องร้องเรียน!AO:AO,"2",เรื่องร้องเรียน!AN:AN,"คันนายาว")</f>
        <v>0</v>
      </c>
      <c r="H19" s="101">
        <f>COUNTIFS(เรื่องร้องเรียน!E:E,"3",เรื่องร้องเรียน!AO:AO,"2",เรื่องร้องเรียน!AN:AN,"คันนายาว",เรื่องร้องเรียน!CL:CL,"1")</f>
        <v>0</v>
      </c>
      <c r="I19" s="101">
        <f>COUNTIFS(เรื่องร้องเรียน!E:E,"4",เรื่องร้องเรียน!AO:AO,"2",เรื่องร้องเรียน!AN:AN,"คันนายาว")</f>
        <v>0</v>
      </c>
      <c r="J19" s="101">
        <f>COUNTIFS(เรื่องร้องเรียน!E:E,"4",เรื่องร้องเรียน!AO:AO,"2",เรื่องร้องเรียน!AN:AN,"คันนายาว",เรื่องร้องเรียน!CL:CL,"1")</f>
        <v>0</v>
      </c>
      <c r="K19" s="102"/>
      <c r="L19" s="102"/>
      <c r="M19" s="101">
        <f t="shared" si="3"/>
        <v>0</v>
      </c>
      <c r="N19" s="103">
        <f t="shared" si="3"/>
        <v>0</v>
      </c>
      <c r="O19" s="104">
        <f>COUNTIFS(เรื่องร้องเรียน!E:E,"1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P19" s="101">
        <f>COUNTIFS(เรื่องร้องเรียน!E:E,"2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Q19" s="101">
        <f>COUNTIFS(เรื่องร้องเรียน!E:E,"3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R19" s="101">
        <f>COUNTIFS(เรื่องร้องเรียน!E:E,"4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S19" s="102"/>
      <c r="T19" s="101">
        <f t="shared" si="4"/>
        <v>0</v>
      </c>
      <c r="U19" s="119">
        <f t="shared" si="1"/>
        <v>0</v>
      </c>
    </row>
    <row r="20" spans="1:21">
      <c r="A20" s="107"/>
      <c r="B20" s="108" t="s">
        <v>69</v>
      </c>
      <c r="C20" s="100">
        <f>COUNTIFS(เรื่องร้องเรียน!E:E,"1",เรื่องร้องเรียน!AO:AO,"2",เรื่องร้องเรียน!AN:AN,"โคกคราม")</f>
        <v>0</v>
      </c>
      <c r="D20" s="101">
        <f>COUNTIFS(เรื่องร้องเรียน!E:E,"1",เรื่องร้องเรียน!AO:AO,"2",เรื่องร้องเรียน!AN:AN,"โคกคราม",เรื่องร้องเรียน!CL:CL,"1")</f>
        <v>0</v>
      </c>
      <c r="E20" s="101">
        <f>COUNTIFS(เรื่องร้องเรียน!E:E,"2",เรื่องร้องเรียน!AO:AO,"2",เรื่องร้องเรียน!AN:AN,"โคกคราม")</f>
        <v>0</v>
      </c>
      <c r="F20" s="101">
        <f>COUNTIFS(เรื่องร้องเรียน!E:E,"2",เรื่องร้องเรียน!AO:AO,"2",เรื่องร้องเรียน!AN:AN,"โคกคราม",เรื่องร้องเรียน!CL:CL,"1")</f>
        <v>0</v>
      </c>
      <c r="G20" s="101">
        <f>COUNTIFS(เรื่องร้องเรียน!E:E,"3",เรื่องร้องเรียน!AO:AO,"2",เรื่องร้องเรียน!AN:AN,"โคกคราม")</f>
        <v>0</v>
      </c>
      <c r="H20" s="101">
        <f>COUNTIFS(เรื่องร้องเรียน!E:E,"3",เรื่องร้องเรียน!AO:AO,"2",เรื่องร้องเรียน!AN:AN,"โคกคราม",เรื่องร้องเรียน!CL:CL,"1")</f>
        <v>0</v>
      </c>
      <c r="I20" s="101">
        <f>COUNTIFS(เรื่องร้องเรียน!E:E,"4",เรื่องร้องเรียน!AO:AO,"2",เรื่องร้องเรียน!AN:AN,"โคกคราม")</f>
        <v>0</v>
      </c>
      <c r="J20" s="101">
        <f>COUNTIFS(เรื่องร้องเรียน!E:E,"4",เรื่องร้องเรียน!AO:AO,"2",เรื่องร้องเรียน!AN:AN,"โคกคราม",เรื่องร้องเรียน!CL:CL,"1")</f>
        <v>0</v>
      </c>
      <c r="K20" s="102"/>
      <c r="L20" s="102"/>
      <c r="M20" s="101">
        <f t="shared" si="3"/>
        <v>0</v>
      </c>
      <c r="N20" s="103">
        <f t="shared" si="3"/>
        <v>0</v>
      </c>
      <c r="O20" s="104">
        <f>COUNTIFS(เรื่องร้องเรียน!E:E,"1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P20" s="101">
        <f>COUNTIFS(เรื่องร้องเรียน!E:E,"2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Q20" s="101">
        <f>COUNTIFS(เรื่องร้องเรียน!E:E,"3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R20" s="101">
        <f>COUNTIFS(เรื่องร้องเรียน!E:E,"4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S20" s="102"/>
      <c r="T20" s="109">
        <f t="shared" si="4"/>
        <v>0</v>
      </c>
      <c r="U20" s="110">
        <f t="shared" si="1"/>
        <v>0</v>
      </c>
    </row>
    <row r="21" spans="1:21">
      <c r="A21" s="107"/>
      <c r="B21" s="108" t="s">
        <v>95</v>
      </c>
      <c r="C21" s="100">
        <f>COUNTIFS(เรื่องร้องเรียน!E:E,"1",เรื่องร้องเรียน!AO:AO,"2",เรื่องร้องเรียน!AN:AN,"ดอนเมือง")</f>
        <v>0</v>
      </c>
      <c r="D21" s="101">
        <f>COUNTIFS(เรื่องร้องเรียน!E:E,"1",เรื่องร้องเรียน!AO:AO,"2",เรื่องร้องเรียน!AN:AN,"ดอนเมือง",เรื่องร้องเรียน!CL:CL,"1")</f>
        <v>0</v>
      </c>
      <c r="E21" s="101">
        <f>COUNTIFS(เรื่องร้องเรียน!E:E,"2",เรื่องร้องเรียน!AO:AO,"2",เรื่องร้องเรียน!AN:AN,"ดอนเมือง")</f>
        <v>0</v>
      </c>
      <c r="F21" s="101">
        <f>COUNTIFS(เรื่องร้องเรียน!E:E,"2",เรื่องร้องเรียน!AO:AO,"2",เรื่องร้องเรียน!AN:AN,"ดอนเมือง",เรื่องร้องเรียน!CL:CL,"1")</f>
        <v>0</v>
      </c>
      <c r="G21" s="101">
        <f>COUNTIFS(เรื่องร้องเรียน!E:E,"3",เรื่องร้องเรียน!AO:AO,"2",เรื่องร้องเรียน!AN:AN,"ดอนเมือง")</f>
        <v>0</v>
      </c>
      <c r="H21" s="101">
        <f>COUNTIFS(เรื่องร้องเรียน!E:E,"3",เรื่องร้องเรียน!AO:AO,"2",เรื่องร้องเรียน!AN:AN,"ดอนเมือง",เรื่องร้องเรียน!CL:CL,"1")</f>
        <v>0</v>
      </c>
      <c r="I21" s="101">
        <f>COUNTIFS(เรื่องร้องเรียน!E:E,"4",เรื่องร้องเรียน!AO:AO,"2",เรื่องร้องเรียน!AN:AN,"ดอนเมือง")</f>
        <v>0</v>
      </c>
      <c r="J21" s="101">
        <f>COUNTIFS(เรื่องร้องเรียน!E:E,"4",เรื่องร้องเรียน!AO:AO,"2",เรื่องร้องเรียน!AN:AN,"ดอนเมือง",เรื่องร้องเรียน!CL:CL,"1")</f>
        <v>0</v>
      </c>
      <c r="K21" s="102"/>
      <c r="L21" s="102"/>
      <c r="M21" s="101">
        <f t="shared" si="3"/>
        <v>0</v>
      </c>
      <c r="N21" s="103">
        <f t="shared" si="3"/>
        <v>0</v>
      </c>
      <c r="O21" s="104">
        <f>COUNTIFS(เรื่องร้องเรียน!E:E,"1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P21" s="101">
        <f>COUNTIFS(เรื่องร้องเรียน!E:E,"2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Q21" s="101">
        <f>COUNTIFS(เรื่องร้องเรียน!E:E,"3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R21" s="101">
        <f>COUNTIFS(เรื่องร้องเรียน!E:E,"4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S21" s="102"/>
      <c r="T21" s="109">
        <f t="shared" si="4"/>
        <v>0</v>
      </c>
      <c r="U21" s="110">
        <f t="shared" si="1"/>
        <v>0</v>
      </c>
    </row>
    <row r="22" spans="1:21">
      <c r="A22" s="107"/>
      <c r="B22" s="108" t="s">
        <v>134</v>
      </c>
      <c r="C22" s="100">
        <f>COUNTIFS(เรื่องร้องเรียน!E:E,"1",เรื่องร้องเรียน!AO:AO,"2",เรื่องร้องเรียน!AN:AN,"เตาปูน")</f>
        <v>0</v>
      </c>
      <c r="D22" s="101">
        <f>COUNTIFS(เรื่องร้องเรียน!E:E,"1",เรื่องร้องเรียน!AO:AO,"2",เรื่องร้องเรียน!AN:AN,"เตาปูน",เรื่องร้องเรียน!CL:CL,"1")</f>
        <v>0</v>
      </c>
      <c r="E22" s="101">
        <f>COUNTIFS(เรื่องร้องเรียน!E:E,"2",เรื่องร้องเรียน!AO:AO,"2",เรื่องร้องเรียน!AN:AN,"เตาปูน")</f>
        <v>0</v>
      </c>
      <c r="F22" s="101">
        <f>COUNTIFS(เรื่องร้องเรียน!E:E,"2",เรื่องร้องเรียน!AO:AO,"2",เรื่องร้องเรียน!AN:AN,"เตาปูน",เรื่องร้องเรียน!CL:CL,"1")</f>
        <v>0</v>
      </c>
      <c r="G22" s="101">
        <f>COUNTIFS(เรื่องร้องเรียน!E:E,"3",เรื่องร้องเรียน!AO:AO,"2",เรื่องร้องเรียน!AN:AN,"เตาปูน")</f>
        <v>0</v>
      </c>
      <c r="H22" s="101">
        <f>COUNTIFS(เรื่องร้องเรียน!E:E,"3",เรื่องร้องเรียน!AO:AO,"2",เรื่องร้องเรียน!AN:AN,"เตาปูน",เรื่องร้องเรียน!CL:CL,"1")</f>
        <v>0</v>
      </c>
      <c r="I22" s="101">
        <f>COUNTIFS(เรื่องร้องเรียน!E:E,"4",เรื่องร้องเรียน!AO:AO,"2",เรื่องร้องเรียน!AN:AN,"เตาปูน")</f>
        <v>0</v>
      </c>
      <c r="J22" s="101">
        <f>COUNTIFS(เรื่องร้องเรียน!E:E,"4",เรื่องร้องเรียน!AO:AO,"2",เรื่องร้องเรียน!AN:AN,"เตาปูน",เรื่องร้องเรียน!CL:CL,"1")</f>
        <v>0</v>
      </c>
      <c r="K22" s="102"/>
      <c r="L22" s="102"/>
      <c r="M22" s="101">
        <f t="shared" si="3"/>
        <v>0</v>
      </c>
      <c r="N22" s="103">
        <f t="shared" si="3"/>
        <v>0</v>
      </c>
      <c r="O22" s="104">
        <f>COUNTIFS(เรื่องร้องเรียน!E:E,"1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P22" s="101">
        <f>COUNTIFS(เรื่องร้องเรียน!E:E,"2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Q22" s="101">
        <f>COUNTIFS(เรื่องร้องเรียน!E:E,"3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R22" s="101">
        <f>COUNTIFS(เรื่องร้องเรียน!E:E,"4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S22" s="102"/>
      <c r="T22" s="109">
        <f t="shared" si="4"/>
        <v>0</v>
      </c>
      <c r="U22" s="110">
        <f t="shared" si="1"/>
        <v>0</v>
      </c>
    </row>
    <row r="23" spans="1:21">
      <c r="A23" s="107"/>
      <c r="B23" s="108" t="s">
        <v>117</v>
      </c>
      <c r="C23" s="100">
        <f>COUNTIFS(เรื่องร้องเรียน!E:E,"1",เรื่องร้องเรียน!AO:AO,"2",เรื่องร้องเรียน!AN:AN,"ทุ่งสองห้อง")</f>
        <v>0</v>
      </c>
      <c r="D23" s="101">
        <f>COUNTIFS(เรื่องร้องเรียน!E:E,"1",เรื่องร้องเรียน!AO:AO,"2",เรื่องร้องเรียน!AN:AN,"ทุ่งสองห้อง",เรื่องร้องเรียน!CL:CL,"1")</f>
        <v>0</v>
      </c>
      <c r="E23" s="101">
        <f>COUNTIFS(เรื่องร้องเรียน!E:E,"2",เรื่องร้องเรียน!AO:AO,"2",เรื่องร้องเรียน!AN:AN,"ทุ่งสองห้อง")</f>
        <v>0</v>
      </c>
      <c r="F23" s="101">
        <f>COUNTIFS(เรื่องร้องเรียน!E:E,"2",เรื่องร้องเรียน!AO:AO,"2",เรื่องร้องเรียน!AN:AN,"ทุ่งสองห้อง",เรื่องร้องเรียน!CL:CL,"1")</f>
        <v>0</v>
      </c>
      <c r="G23" s="101">
        <f>COUNTIFS(เรื่องร้องเรียน!E:E,"3",เรื่องร้องเรียน!AO:AO,"2",เรื่องร้องเรียน!AN:AN,"ทุ่งสองห้อง")</f>
        <v>0</v>
      </c>
      <c r="H23" s="101">
        <f>COUNTIFS(เรื่องร้องเรียน!E:E,"3",เรื่องร้องเรียน!AO:AO,"2",เรื่องร้องเรียน!AN:AN,"ทุ่งสองห้อง",เรื่องร้องเรียน!CL:CL,"1")</f>
        <v>0</v>
      </c>
      <c r="I23" s="101">
        <f>COUNTIFS(เรื่องร้องเรียน!E:E,"4",เรื่องร้องเรียน!AO:AO,"2",เรื่องร้องเรียน!AN:AN,"ทุ่งสองห้อง")</f>
        <v>0</v>
      </c>
      <c r="J23" s="101">
        <f>COUNTIFS(เรื่องร้องเรียน!E:E,"4",เรื่องร้องเรียน!AO:AO,"2",เรื่องร้องเรียน!AN:AN,"ทุ่งสองห้อง",เรื่องร้องเรียน!CL:CL,"1")</f>
        <v>0</v>
      </c>
      <c r="K23" s="102"/>
      <c r="L23" s="102"/>
      <c r="M23" s="101">
        <f t="shared" si="3"/>
        <v>0</v>
      </c>
      <c r="N23" s="103">
        <f t="shared" si="3"/>
        <v>0</v>
      </c>
      <c r="O23" s="104">
        <f>COUNTIFS(เรื่องร้องเรียน!E:E,"1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P23" s="101">
        <f>COUNTIFS(เรื่องร้องเรียน!E:E,"2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Q23" s="101">
        <f>COUNTIFS(เรื่องร้องเรียน!E:E,"3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R23" s="101">
        <f>COUNTIFS(เรื่องร้องเรียน!E:E,"4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S23" s="102"/>
      <c r="T23" s="109">
        <f t="shared" si="4"/>
        <v>0</v>
      </c>
      <c r="U23" s="110">
        <f t="shared" si="1"/>
        <v>0</v>
      </c>
    </row>
    <row r="24" spans="1:21">
      <c r="A24" s="107"/>
      <c r="B24" s="108" t="s">
        <v>107</v>
      </c>
      <c r="C24" s="100">
        <f>COUNTIFS(เรื่องร้องเรียน!E:E,"1",เรื่องร้องเรียน!AO:AO,"2",เรื่องร้องเรียน!AN:AN,"บางเขน")</f>
        <v>0</v>
      </c>
      <c r="D24" s="101">
        <f>COUNTIFS(เรื่องร้องเรียน!E:E,"1",เรื่องร้องเรียน!AO:AO,"2",เรื่องร้องเรียน!AN:AN,"บางเขน",เรื่องร้องเรียน!CL:CL,"1")</f>
        <v>0</v>
      </c>
      <c r="E24" s="101">
        <f>COUNTIFS(เรื่องร้องเรียน!E:E,"2",เรื่องร้องเรียน!AO:AO,"2",เรื่องร้องเรียน!AN:AN,"บางเขน")</f>
        <v>0</v>
      </c>
      <c r="F24" s="101">
        <f>COUNTIFS(เรื่องร้องเรียน!E:E,"2",เรื่องร้องเรียน!AO:AO,"2",เรื่องร้องเรียน!AN:AN,"บางเขน",เรื่องร้องเรียน!CL:CL,"1")</f>
        <v>0</v>
      </c>
      <c r="G24" s="101">
        <f>COUNTIFS(เรื่องร้องเรียน!E:E,"3",เรื่องร้องเรียน!AO:AO,"2",เรื่องร้องเรียน!AN:AN,"บางเขน")</f>
        <v>0</v>
      </c>
      <c r="H24" s="101">
        <f>COUNTIFS(เรื่องร้องเรียน!E:E,"3",เรื่องร้องเรียน!AO:AO,"2",เรื่องร้องเรียน!AN:AN,"บางเขน",เรื่องร้องเรียน!CL:CL,"1")</f>
        <v>0</v>
      </c>
      <c r="I24" s="101">
        <f>COUNTIFS(เรื่องร้องเรียน!E:E,"4",เรื่องร้องเรียน!AO:AO,"2",เรื่องร้องเรียน!AN:AN,"บางเขน")</f>
        <v>0</v>
      </c>
      <c r="J24" s="101">
        <f>COUNTIFS(เรื่องร้องเรียน!E:E,"4",เรื่องร้องเรียน!AO:AO,"2",เรื่องร้องเรียน!AN:AN,"บางเขน",เรื่องร้องเรียน!CL:CL,"1")</f>
        <v>0</v>
      </c>
      <c r="K24" s="102"/>
      <c r="L24" s="102"/>
      <c r="M24" s="101">
        <f t="shared" si="3"/>
        <v>0</v>
      </c>
      <c r="N24" s="103">
        <f t="shared" si="3"/>
        <v>0</v>
      </c>
      <c r="O24" s="104">
        <f>COUNTIFS(เรื่องร้องเรียน!E:E,"1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P24" s="101">
        <f>COUNTIFS(เรื่องร้องเรียน!E:E,"2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Q24" s="101">
        <f>COUNTIFS(เรื่องร้องเรียน!E:E,"3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R24" s="101">
        <f>COUNTIFS(เรื่องร้องเรียน!E:E,"4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S24" s="102"/>
      <c r="T24" s="109">
        <f t="shared" si="4"/>
        <v>0</v>
      </c>
      <c r="U24" s="110">
        <f t="shared" si="1"/>
        <v>0</v>
      </c>
    </row>
    <row r="25" spans="1:21">
      <c r="A25" s="107"/>
      <c r="B25" s="108" t="s">
        <v>133</v>
      </c>
      <c r="C25" s="100">
        <f>COUNTIFS(เรื่องร้องเรียน!E:E,"1",เรื่องร้องเรียน!AO:AO,"2",เรื่องร้องเรียน!AN:AN,"บางซื่อ")</f>
        <v>0</v>
      </c>
      <c r="D25" s="101">
        <f>COUNTIFS(เรื่องร้องเรียน!E:E,"1",เรื่องร้องเรียน!AO:AO,"2",เรื่องร้องเรียน!AN:AN,"บางซื่อ",เรื่องร้องเรียน!CL:CL,"1")</f>
        <v>0</v>
      </c>
      <c r="E25" s="101">
        <f>COUNTIFS(เรื่องร้องเรียน!E:E,"2",เรื่องร้องเรียน!AO:AO,"2",เรื่องร้องเรียน!AN:AN,"บางซื่อ")</f>
        <v>0</v>
      </c>
      <c r="F25" s="101">
        <f>COUNTIFS(เรื่องร้องเรียน!E:E,"2",เรื่องร้องเรียน!AO:AO,"2",เรื่องร้องเรียน!AN:AN,"บางซื่อ",เรื่องร้องเรียน!CL:CL,"1")</f>
        <v>0</v>
      </c>
      <c r="G25" s="101">
        <f>COUNTIFS(เรื่องร้องเรียน!E:E,"3",เรื่องร้องเรียน!AO:AO,"2",เรื่องร้องเรียน!AN:AN,"บางซื่อ")</f>
        <v>0</v>
      </c>
      <c r="H25" s="101">
        <f>COUNTIFS(เรื่องร้องเรียน!E:E,"3",เรื่องร้องเรียน!AO:AO,"2",เรื่องร้องเรียน!AN:AN,"บางซื่อ",เรื่องร้องเรียน!CL:CL,"1")</f>
        <v>0</v>
      </c>
      <c r="I25" s="101">
        <f>COUNTIFS(เรื่องร้องเรียน!E:E,"4",เรื่องร้องเรียน!AO:AO,"2",เรื่องร้องเรียน!AN:AN,"บางซื่อ")</f>
        <v>0</v>
      </c>
      <c r="J25" s="101">
        <f>COUNTIFS(เรื่องร้องเรียน!E:E,"4",เรื่องร้องเรียน!AO:AO,"2",เรื่องร้องเรียน!AN:AN,"บางซื่อ",เรื่องร้องเรียน!CL:CL,"1")</f>
        <v>0</v>
      </c>
      <c r="K25" s="102"/>
      <c r="L25" s="102"/>
      <c r="M25" s="101">
        <f t="shared" si="3"/>
        <v>0</v>
      </c>
      <c r="N25" s="103">
        <f t="shared" si="3"/>
        <v>0</v>
      </c>
      <c r="O25" s="104">
        <f>COUNTIFS(เรื่องร้องเรียน!E:E,"1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P25" s="101">
        <f>COUNTIFS(เรื่องร้องเรียน!E:E,"2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Q25" s="101">
        <f>COUNTIFS(เรื่องร้องเรียน!E:E,"3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R25" s="101">
        <f>COUNTIFS(เรื่องร้องเรียน!E:E,"4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S25" s="102"/>
      <c r="T25" s="109">
        <f t="shared" si="4"/>
        <v>0</v>
      </c>
      <c r="U25" s="110">
        <f t="shared" si="1"/>
        <v>0</v>
      </c>
    </row>
    <row r="26" spans="1:21">
      <c r="A26" s="107"/>
      <c r="B26" s="108" t="s">
        <v>173</v>
      </c>
      <c r="C26" s="100">
        <f>COUNTIFS(เรื่องร้องเรียน!E:E,"1",เรื่องร้องเรียน!AO:AO,"2",เรื่องร้องเรียน!AN:AN,"ประชาชื่น")</f>
        <v>0</v>
      </c>
      <c r="D26" s="101">
        <f>COUNTIFS(เรื่องร้องเรียน!E:E,"1",เรื่องร้องเรียน!AO:AO,"2",เรื่องร้องเรียน!AN:AN,"ประชาชื่น",เรื่องร้องเรียน!CL:CL,"1")</f>
        <v>0</v>
      </c>
      <c r="E26" s="101">
        <f>COUNTIFS(เรื่องร้องเรียน!E:E,"2",เรื่องร้องเรียน!AO:AO,"2",เรื่องร้องเรียน!AN:AN,"ประชาชื่น")</f>
        <v>0</v>
      </c>
      <c r="F26" s="101">
        <f>COUNTIFS(เรื่องร้องเรียน!E:E,"2",เรื่องร้องเรียน!AO:AO,"2",เรื่องร้องเรียน!AN:AN,"ประชาชื่น",เรื่องร้องเรียน!CL:CL,"1")</f>
        <v>0</v>
      </c>
      <c r="G26" s="101">
        <f>COUNTIFS(เรื่องร้องเรียน!E:E,"3",เรื่องร้องเรียน!AO:AO,"2",เรื่องร้องเรียน!AN:AN,"ประชาชื่น")</f>
        <v>0</v>
      </c>
      <c r="H26" s="101">
        <f>COUNTIFS(เรื่องร้องเรียน!E:E,"3",เรื่องร้องเรียน!AO:AO,"2",เรื่องร้องเรียน!AN:AN,"ประชาชื่น",เรื่องร้องเรียน!CL:CL,"1")</f>
        <v>0</v>
      </c>
      <c r="I26" s="101">
        <f>COUNTIFS(เรื่องร้องเรียน!E:E,"4",เรื่องร้องเรียน!AO:AO,"2",เรื่องร้องเรียน!AN:AN,"ประชาชื่น")</f>
        <v>0</v>
      </c>
      <c r="J26" s="101">
        <f>COUNTIFS(เรื่องร้องเรียน!E:E,"4",เรื่องร้องเรียน!AO:AO,"2",เรื่องร้องเรียน!AN:AN,"ประชาชื่น",เรื่องร้องเรียน!CL:CL,"1")</f>
        <v>0</v>
      </c>
      <c r="K26" s="102"/>
      <c r="L26" s="102"/>
      <c r="M26" s="101">
        <f t="shared" si="3"/>
        <v>0</v>
      </c>
      <c r="N26" s="103">
        <f t="shared" si="3"/>
        <v>0</v>
      </c>
      <c r="O26" s="104">
        <f>COUNTIFS(เรื่องร้องเรียน!E:E,"1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P26" s="101">
        <f>COUNTIFS(เรื่องร้องเรียน!E:E,"2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Q26" s="101">
        <f>COUNTIFS(เรื่องร้องเรียน!E:E,"3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R26" s="101">
        <f>COUNTIFS(เรื่องร้องเรียน!E:E,"4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S26" s="102"/>
      <c r="T26" s="109">
        <f t="shared" si="4"/>
        <v>0</v>
      </c>
      <c r="U26" s="110">
        <f t="shared" si="1"/>
        <v>0</v>
      </c>
    </row>
    <row r="27" spans="1:21">
      <c r="A27" s="107"/>
      <c r="B27" s="108" t="s">
        <v>100</v>
      </c>
      <c r="C27" s="100">
        <f>COUNTIFS(เรื่องร้องเรียน!E:E,"1",เรื่องร้องเรียน!AO:AO,"2",เรื่องร้องเรียน!AN:AN,"พหลโยธิน")</f>
        <v>0</v>
      </c>
      <c r="D27" s="101">
        <f>COUNTIFS(เรื่องร้องเรียน!E:E,"1",เรื่องร้องเรียน!AO:AO,"2",เรื่องร้องเรียน!AN:AN,"พหลโยธิน",เรื่องร้องเรียน!CL:CL,"1")</f>
        <v>0</v>
      </c>
      <c r="E27" s="101">
        <f>COUNTIFS(เรื่องร้องเรียน!E:E,"2",เรื่องร้องเรียน!AO:AO,"2",เรื่องร้องเรียน!AN:AN,"พหลโยธิน")</f>
        <v>0</v>
      </c>
      <c r="F27" s="101">
        <f>COUNTIFS(เรื่องร้องเรียน!E:E,"2",เรื่องร้องเรียน!AO:AO,"2",เรื่องร้องเรียน!AN:AN,"พหลโยธิน",เรื่องร้องเรียน!CL:CL,"1")</f>
        <v>0</v>
      </c>
      <c r="G27" s="101">
        <f>COUNTIFS(เรื่องร้องเรียน!E:E,"3",เรื่องร้องเรียน!AO:AO,"2",เรื่องร้องเรียน!AN:AN,"พหลโยธิน")</f>
        <v>0</v>
      </c>
      <c r="H27" s="101">
        <f>COUNTIFS(เรื่องร้องเรียน!E:E,"3",เรื่องร้องเรียน!AO:AO,"2",เรื่องร้องเรียน!AN:AN,"พหลโยธิน",เรื่องร้องเรียน!CL:CL,"1")</f>
        <v>0</v>
      </c>
      <c r="I27" s="101">
        <f>COUNTIFS(เรื่องร้องเรียน!E:E,"4",เรื่องร้องเรียน!AO:AO,"2",เรื่องร้องเรียน!AN:AN,"พหลโยธิน")</f>
        <v>0</v>
      </c>
      <c r="J27" s="101">
        <f>COUNTIFS(เรื่องร้องเรียน!E:E,"4",เรื่องร้องเรียน!AO:AO,"2",เรื่องร้องเรียน!AN:AN,"พหลโยธิน",เรื่องร้องเรียน!CL:CL,"1")</f>
        <v>0</v>
      </c>
      <c r="K27" s="102"/>
      <c r="L27" s="102"/>
      <c r="M27" s="101">
        <f t="shared" si="3"/>
        <v>0</v>
      </c>
      <c r="N27" s="103">
        <f t="shared" si="3"/>
        <v>0</v>
      </c>
      <c r="O27" s="104">
        <f>COUNTIFS(เรื่องร้องเรียน!E:E,"1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P27" s="101">
        <f>COUNTIFS(เรื่องร้องเรียน!E:E,"2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Q27" s="101">
        <f>COUNTIFS(เรื่องร้องเรียน!E:E,"3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R27" s="101">
        <f>COUNTIFS(เรื่องร้องเรียน!E:E,"4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S27" s="102"/>
      <c r="T27" s="109">
        <f t="shared" si="4"/>
        <v>0</v>
      </c>
      <c r="U27" s="110">
        <f t="shared" si="1"/>
        <v>0</v>
      </c>
    </row>
    <row r="28" spans="1:21">
      <c r="A28" s="107"/>
      <c r="B28" s="108" t="s">
        <v>143</v>
      </c>
      <c r="C28" s="100">
        <f>COUNTIFS(เรื่องร้องเรียน!E:E,"1",เรื่องร้องเรียน!AO:AO,"2",เรื่องร้องเรียน!AN:AN,"สายไหม")</f>
        <v>0</v>
      </c>
      <c r="D28" s="101">
        <f>COUNTIFS(เรื่องร้องเรียน!E:E,"1",เรื่องร้องเรียน!AO:AO,"2",เรื่องร้องเรียน!AN:AN,"สายไหม",เรื่องร้องเรียน!CL:CL,"1")</f>
        <v>0</v>
      </c>
      <c r="E28" s="101">
        <f>COUNTIFS(เรื่องร้องเรียน!E:E,"2",เรื่องร้องเรียน!AO:AO,"2",เรื่องร้องเรียน!AN:AN,"สายไหม")</f>
        <v>0</v>
      </c>
      <c r="F28" s="101">
        <f>COUNTIFS(เรื่องร้องเรียน!E:E,"2",เรื่องร้องเรียน!AO:AO,"2",เรื่องร้องเรียน!AN:AN,"สายไหม",เรื่องร้องเรียน!CL:CL,"1")</f>
        <v>0</v>
      </c>
      <c r="G28" s="101">
        <f>COUNTIFS(เรื่องร้องเรียน!E:E,"3",เรื่องร้องเรียน!AO:AO,"2",เรื่องร้องเรียน!AN:AN,"สายไหม")</f>
        <v>0</v>
      </c>
      <c r="H28" s="101">
        <f>COUNTIFS(เรื่องร้องเรียน!E:E,"3",เรื่องร้องเรียน!AO:AO,"2",เรื่องร้องเรียน!AN:AN,"สายไหม",เรื่องร้องเรียน!CL:CL,"1")</f>
        <v>0</v>
      </c>
      <c r="I28" s="101">
        <f>COUNTIFS(เรื่องร้องเรียน!E:E,"4",เรื่องร้องเรียน!AO:AO,"2",เรื่องร้องเรียน!AN:AN,"สายไหม")</f>
        <v>0</v>
      </c>
      <c r="J28" s="101">
        <f>COUNTIFS(เรื่องร้องเรียน!E:E,"4",เรื่องร้องเรียน!AO:AO,"2",เรื่องร้องเรียน!AN:AN,"สายไหม",เรื่องร้องเรียน!CL:CL,"1")</f>
        <v>0</v>
      </c>
      <c r="K28" s="102"/>
      <c r="L28" s="102"/>
      <c r="M28" s="101">
        <f t="shared" si="3"/>
        <v>0</v>
      </c>
      <c r="N28" s="103">
        <f t="shared" si="3"/>
        <v>0</v>
      </c>
      <c r="O28" s="104">
        <f>COUNTIFS(เรื่องร้องเรียน!E:E,"1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P28" s="101">
        <f>COUNTIFS(เรื่องร้องเรียน!E:E,"2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Q28" s="101">
        <f>COUNTIFS(เรื่องร้องเรียน!E:E,"3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R28" s="101">
        <f>COUNTIFS(เรื่องร้องเรียน!E:E,"4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S28" s="102"/>
      <c r="T28" s="109">
        <f t="shared" si="4"/>
        <v>0</v>
      </c>
      <c r="U28" s="110">
        <f t="shared" si="1"/>
        <v>0</v>
      </c>
    </row>
    <row r="29" spans="1:21" ht="21.6" thickBot="1">
      <c r="A29" s="111"/>
      <c r="B29" s="151" t="s">
        <v>88</v>
      </c>
      <c r="C29" s="123">
        <f>COUNTIFS(เรื่องร้องเรียน!E:E,"1",เรื่องร้องเรียน!AO:AO,"2",เรื่องร้องเรียน!AN:AN,"สุทธิสาร")</f>
        <v>0</v>
      </c>
      <c r="D29" s="117">
        <f>COUNTIFS(เรื่องร้องเรียน!E:E,"1",เรื่องร้องเรียน!AO:AO,"2",เรื่องร้องเรียน!AN:AN,"สุทธิสาร",เรื่องร้องเรียน!CL:CL,"1")</f>
        <v>0</v>
      </c>
      <c r="E29" s="117">
        <f>COUNTIFS(เรื่องร้องเรียน!E:E,"2",เรื่องร้องเรียน!AO:AO,"2",เรื่องร้องเรียน!AN:AN,"สุทธิสาร")</f>
        <v>0</v>
      </c>
      <c r="F29" s="117">
        <f>COUNTIFS(เรื่องร้องเรียน!E:E,"2",เรื่องร้องเรียน!AO:AO,"2",เรื่องร้องเรียน!AN:AN,"สุทธิสาร",เรื่องร้องเรียน!CL:CL,"1")</f>
        <v>0</v>
      </c>
      <c r="G29" s="117">
        <f>COUNTIFS(เรื่องร้องเรียน!E:E,"3",เรื่องร้องเรียน!AO:AO,"2",เรื่องร้องเรียน!AN:AN,"สุทธิสาร")</f>
        <v>0</v>
      </c>
      <c r="H29" s="117">
        <f>COUNTIFS(เรื่องร้องเรียน!E:E,"3",เรื่องร้องเรียน!AO:AO,"2",เรื่องร้องเรียน!AN:AN,"สุทธิสาร",เรื่องร้องเรียน!CL:CL,"1")</f>
        <v>0</v>
      </c>
      <c r="I29" s="117">
        <f>COUNTIFS(เรื่องร้องเรียน!E:E,"4",เรื่องร้องเรียน!AO:AO,"2",เรื่องร้องเรียน!AN:AN,"สุทธิสาร")</f>
        <v>0</v>
      </c>
      <c r="J29" s="117">
        <f>COUNTIFS(เรื่องร้องเรียน!E:E,"4",เรื่องร้องเรียน!AO:AO,"2",เรื่องร้องเรียน!AN:AN,"สุทธิสาร",เรื่องร้องเรียน!CL:CL,"1")</f>
        <v>0</v>
      </c>
      <c r="K29" s="121"/>
      <c r="L29" s="121"/>
      <c r="M29" s="117">
        <f t="shared" si="3"/>
        <v>0</v>
      </c>
      <c r="N29" s="122">
        <f t="shared" si="3"/>
        <v>0</v>
      </c>
      <c r="O29" s="123">
        <f>COUNTIFS(เรื่องร้องเรียน!E:E,"1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P29" s="117">
        <f>COUNTIFS(เรื่องร้องเรียน!E:E,"2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Q29" s="117">
        <f>COUNTIFS(เรื่องร้องเรียน!E:E,"3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R29" s="117">
        <f>COUNTIFS(เรื่องร้องเรียน!E:E,"4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S29" s="121"/>
      <c r="T29" s="117">
        <f t="shared" si="4"/>
        <v>0</v>
      </c>
      <c r="U29" s="118">
        <f t="shared" si="1"/>
        <v>0</v>
      </c>
    </row>
    <row r="30" spans="1:21" ht="21.6" thickBot="1">
      <c r="A30" s="89">
        <v>3</v>
      </c>
      <c r="B30" s="90"/>
      <c r="C30" s="91">
        <f>SUM(C31:C41)</f>
        <v>0</v>
      </c>
      <c r="D30" s="92">
        <f t="shared" ref="D30:R30" si="6">SUM(D31:D41)</f>
        <v>0</v>
      </c>
      <c r="E30" s="92">
        <f t="shared" si="6"/>
        <v>0</v>
      </c>
      <c r="F30" s="92">
        <f t="shared" si="6"/>
        <v>0</v>
      </c>
      <c r="G30" s="92">
        <f t="shared" si="6"/>
        <v>0</v>
      </c>
      <c r="H30" s="92">
        <f t="shared" si="6"/>
        <v>0</v>
      </c>
      <c r="I30" s="92">
        <f t="shared" si="6"/>
        <v>0</v>
      </c>
      <c r="J30" s="92">
        <f t="shared" si="6"/>
        <v>0</v>
      </c>
      <c r="K30" s="93"/>
      <c r="L30" s="93"/>
      <c r="M30" s="92">
        <f t="shared" si="3"/>
        <v>0</v>
      </c>
      <c r="N30" s="94">
        <f t="shared" si="3"/>
        <v>0</v>
      </c>
      <c r="O30" s="95">
        <f t="shared" si="6"/>
        <v>0</v>
      </c>
      <c r="P30" s="92">
        <f t="shared" si="6"/>
        <v>0</v>
      </c>
      <c r="Q30" s="92">
        <f t="shared" si="6"/>
        <v>0</v>
      </c>
      <c r="R30" s="92">
        <f t="shared" si="6"/>
        <v>0</v>
      </c>
      <c r="S30" s="93"/>
      <c r="T30" s="92">
        <f t="shared" si="4"/>
        <v>0</v>
      </c>
      <c r="U30" s="88">
        <f t="shared" si="1"/>
        <v>0</v>
      </c>
    </row>
    <row r="31" spans="1:21">
      <c r="A31" s="98"/>
      <c r="B31" s="99" t="s">
        <v>85</v>
      </c>
      <c r="C31" s="100">
        <f>COUNTIFS(เรื่องร้องเรียน!E:E,"1",เรื่องร้องเรียน!AO:AO,"3",เรื่องร้องเรียน!AN:AN,"จรเข้น้อย")</f>
        <v>0</v>
      </c>
      <c r="D31" s="101">
        <f>COUNTIFS(เรื่องร้องเรียน!E:E,"1",เรื่องร้องเรียน!AO:AO,"3",เรื่องร้องเรียน!AN:AN,"จรเข้น้อย",เรื่องร้องเรียน!CL:CL,"1")</f>
        <v>0</v>
      </c>
      <c r="E31" s="101">
        <f>COUNTIFS(เรื่องร้องเรียน!E:E,"2",เรื่องร้องเรียน!AO:AO,"3",เรื่องร้องเรียน!AN:AN,"จรเข้น้อย")</f>
        <v>0</v>
      </c>
      <c r="F31" s="101">
        <f>COUNTIFS(เรื่องร้องเรียน!E:E,"2",เรื่องร้องเรียน!AO:AO,"3",เรื่องร้องเรียน!AN:AN,"จรเข้น้อย",เรื่องร้องเรียน!CL:CL,"1")</f>
        <v>0</v>
      </c>
      <c r="G31" s="101">
        <f>COUNTIFS(เรื่องร้องเรียน!E:E,"3",เรื่องร้องเรียน!AO:AO,"3",เรื่องร้องเรียน!AN:AN,"จรเข้น้อย")</f>
        <v>0</v>
      </c>
      <c r="H31" s="101">
        <f>COUNTIFS(เรื่องร้องเรียน!E:E,"3",เรื่องร้องเรียน!AO:AO,"3",เรื่องร้องเรียน!AN:AN,"จรเข้น้อย",เรื่องร้องเรียน!CL:CL,"1")</f>
        <v>0</v>
      </c>
      <c r="I31" s="101">
        <f>COUNTIFS(เรื่องร้องเรียน!E:E,"4",เรื่องร้องเรียน!AO:AO,"3",เรื่องร้องเรียน!AN:AN,"จรเข้น้อย")</f>
        <v>0</v>
      </c>
      <c r="J31" s="101">
        <f>COUNTIFS(เรื่องร้องเรียน!E:E,"4",เรื่องร้องเรียน!AO:AO,"3",เรื่องร้องเรียน!AN:AN,"จรเข้น้อย",เรื่องร้องเรียน!CL:CL,"1")</f>
        <v>0</v>
      </c>
      <c r="K31" s="102"/>
      <c r="L31" s="102"/>
      <c r="M31" s="101">
        <f t="shared" si="3"/>
        <v>0</v>
      </c>
      <c r="N31" s="103">
        <f t="shared" si="3"/>
        <v>0</v>
      </c>
      <c r="O31" s="104">
        <f>COUNTIFS(เรื่องร้องเรียน!E:E,"1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P31" s="101">
        <f>COUNTIFS(เรื่องร้องเรียน!E:E,"2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Q31" s="101">
        <f>COUNTIFS(เรื่องร้องเรียน!E:E,"3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R31" s="101">
        <f>COUNTIFS(เรื่องร้องเรียน!E:E,"4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S31" s="102"/>
      <c r="T31" s="101">
        <f t="shared" si="4"/>
        <v>0</v>
      </c>
      <c r="U31" s="119">
        <f t="shared" si="1"/>
        <v>0</v>
      </c>
    </row>
    <row r="32" spans="1:21">
      <c r="A32" s="107"/>
      <c r="B32" s="108" t="s">
        <v>124</v>
      </c>
      <c r="C32" s="100">
        <f>COUNTIFS(เรื่องร้องเรียน!E:E,"1",เรื่องร้องเรียน!AO:AO,"3",เรื่องร้องเรียน!AN:AN,"ฉลองกรุง")</f>
        <v>0</v>
      </c>
      <c r="D32" s="101">
        <f>COUNTIFS(เรื่องร้องเรียน!E:E,"1",เรื่องร้องเรียน!AO:AO,"3",เรื่องร้องเรียน!AN:AN,"ฉลองกรุง",เรื่องร้องเรียน!CL:CL,"1")</f>
        <v>0</v>
      </c>
      <c r="E32" s="101">
        <f>COUNTIFS(เรื่องร้องเรียน!E:E,"2",เรื่องร้องเรียน!AO:AO,"3",เรื่องร้องเรียน!AN:AN,"ฉลองกรุง")</f>
        <v>0</v>
      </c>
      <c r="F32" s="101">
        <f>COUNTIFS(เรื่องร้องเรียน!E:E,"2",เรื่องร้องเรียน!AO:AO,"3",เรื่องร้องเรียน!AN:AN,"ฉลองกรุง",เรื่องร้องเรียน!CL:CL,"1")</f>
        <v>0</v>
      </c>
      <c r="G32" s="101">
        <f>COUNTIFS(เรื่องร้องเรียน!E:E,"3",เรื่องร้องเรียน!AO:AO,"3",เรื่องร้องเรียน!AN:AN,"ฉลองกรุง")</f>
        <v>0</v>
      </c>
      <c r="H32" s="101">
        <f>COUNTIFS(เรื่องร้องเรียน!E:E,"3",เรื่องร้องเรียน!AO:AO,"3",เรื่องร้องเรียน!AN:AN,"ฉลองกรุง",เรื่องร้องเรียน!CL:CL,"1")</f>
        <v>0</v>
      </c>
      <c r="I32" s="101">
        <f>COUNTIFS(เรื่องร้องเรียน!E:E,"4",เรื่องร้องเรียน!AO:AO,"3",เรื่องร้องเรียน!AN:AN,"ฉลองกรุง")</f>
        <v>0</v>
      </c>
      <c r="J32" s="101">
        <f>COUNTIFS(เรื่องร้องเรียน!E:E,"4",เรื่องร้องเรียน!AO:AO,"3",เรื่องร้องเรียน!AN:AN,"ฉลองกรุง",เรื่องร้องเรียน!CL:CL,"1")</f>
        <v>0</v>
      </c>
      <c r="K32" s="102"/>
      <c r="L32" s="102"/>
      <c r="M32" s="101">
        <f t="shared" si="3"/>
        <v>0</v>
      </c>
      <c r="N32" s="103">
        <f t="shared" si="3"/>
        <v>0</v>
      </c>
      <c r="O32" s="104">
        <f>COUNTIFS(เรื่องร้องเรียน!E:E,"1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P32" s="101">
        <f>COUNTIFS(เรื่องร้องเรียน!E:E,"2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Q32" s="101">
        <f>COUNTIFS(เรื่องร้องเรียน!E:E,"3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R32" s="101">
        <f>COUNTIFS(เรื่องร้องเรียน!E:E,"4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S32" s="102"/>
      <c r="T32" s="109">
        <f t="shared" si="4"/>
        <v>0</v>
      </c>
      <c r="U32" s="110">
        <f t="shared" si="1"/>
        <v>0</v>
      </c>
    </row>
    <row r="33" spans="1:21">
      <c r="A33" s="107"/>
      <c r="B33" s="108" t="s">
        <v>131</v>
      </c>
      <c r="C33" s="100">
        <f>COUNTIFS(เรื่องร้องเรียน!E:E,"1",เรื่องร้องเรียน!AO:AO,"3",เรื่องร้องเรียน!AN:AN,"นิมิตรใหม่")</f>
        <v>0</v>
      </c>
      <c r="D33" s="101">
        <f>COUNTIFS(เรื่องร้องเรียน!E:E,"1",เรื่องร้องเรียน!AO:AO,"3",เรื่องร้องเรียน!AN:AN,"นิมิตรใหม่",เรื่องร้องเรียน!CL:CL,"1")</f>
        <v>0</v>
      </c>
      <c r="E33" s="101">
        <f>COUNTIFS(เรื่องร้องเรียน!E:E,"2",เรื่องร้องเรียน!AO:AO,"3",เรื่องร้องเรียน!AN:AN,"นิมิตรใหม่")</f>
        <v>0</v>
      </c>
      <c r="F33" s="101">
        <f>COUNTIFS(เรื่องร้องเรียน!E:E,"2",เรื่องร้องเรียน!AO:AO,"3",เรื่องร้องเรียน!AN:AN,"นิมิตรใหม่",เรื่องร้องเรียน!CL:CL,"1")</f>
        <v>0</v>
      </c>
      <c r="G33" s="101">
        <f>COUNTIFS(เรื่องร้องเรียน!E:E,"3",เรื่องร้องเรียน!AO:AO,"3",เรื่องร้องเรียน!AN:AN,"นิมิตรใหม่")</f>
        <v>0</v>
      </c>
      <c r="H33" s="101">
        <f>COUNTIFS(เรื่องร้องเรียน!E:E,"3",เรื่องร้องเรียน!AO:AO,"3",เรื่องร้องเรียน!AN:AN,"นิมิตรใหม่",เรื่องร้องเรียน!CL:CL,"1")</f>
        <v>0</v>
      </c>
      <c r="I33" s="101">
        <f>COUNTIFS(เรื่องร้องเรียน!E:E,"4",เรื่องร้องเรียน!AO:AO,"3",เรื่องร้องเรียน!AN:AN,"นิมิตรใหม่")</f>
        <v>0</v>
      </c>
      <c r="J33" s="101">
        <f>COUNTIFS(เรื่องร้องเรียน!E:E,"4",เรื่องร้องเรียน!AO:AO,"3",เรื่องร้องเรียน!AN:AN,"นิมิตรใหม่",เรื่องร้องเรียน!CL:CL,"1")</f>
        <v>0</v>
      </c>
      <c r="K33" s="102"/>
      <c r="L33" s="102"/>
      <c r="M33" s="101">
        <f t="shared" si="3"/>
        <v>0</v>
      </c>
      <c r="N33" s="103">
        <f t="shared" si="3"/>
        <v>0</v>
      </c>
      <c r="O33" s="104">
        <f>COUNTIFS(เรื่องร้องเรียน!E:E,"1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P33" s="101">
        <f>COUNTIFS(เรื่องร้องเรียน!E:E,"2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Q33" s="101">
        <f>COUNTIFS(เรื่องร้องเรียน!E:E,"3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R33" s="101">
        <f>COUNTIFS(เรื่องร้องเรียน!E:E,"4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S33" s="102"/>
      <c r="T33" s="109">
        <f t="shared" si="4"/>
        <v>0</v>
      </c>
      <c r="U33" s="110">
        <f t="shared" si="1"/>
        <v>0</v>
      </c>
    </row>
    <row r="34" spans="1:21">
      <c r="A34" s="107"/>
      <c r="B34" s="108" t="s">
        <v>174</v>
      </c>
      <c r="C34" s="100">
        <f>COUNTIFS(เรื่องร้องเรียน!E:E,"1",เรื่องร้องเรียน!AO:AO,"3",เรื่องร้องเรียน!AN:AN,"ประชาสำราญ")</f>
        <v>0</v>
      </c>
      <c r="D34" s="101">
        <f>COUNTIFS(เรื่องร้องเรียน!E:E,"1",เรื่องร้องเรียน!AO:AO,"3",เรื่องร้องเรียน!AN:AN,"ประชาสำราญ",เรื่องร้องเรียน!CL:CL,"1")</f>
        <v>0</v>
      </c>
      <c r="E34" s="101">
        <f>COUNTIFS(เรื่องร้องเรียน!E:E,"2",เรื่องร้องเรียน!AO:AO,"3",เรื่องร้องเรียน!AN:AN,"ประชาสำราญ")</f>
        <v>0</v>
      </c>
      <c r="F34" s="101">
        <f>COUNTIFS(เรื่องร้องเรียน!E:E,"2",เรื่องร้องเรียน!AO:AO,"3",เรื่องร้องเรียน!AN:AN,"ประชาสำราญ",เรื่องร้องเรียน!CL:CL,"1")</f>
        <v>0</v>
      </c>
      <c r="G34" s="101">
        <f>COUNTIFS(เรื่องร้องเรียน!E:E,"3",เรื่องร้องเรียน!AO:AO,"3",เรื่องร้องเรียน!AN:AN,"ประชาสำราญ")</f>
        <v>0</v>
      </c>
      <c r="H34" s="101">
        <f>COUNTIFS(เรื่องร้องเรียน!E:E,"3",เรื่องร้องเรียน!AO:AO,"3",เรื่องร้องเรียน!AN:AN,"ประชาสำราญ",เรื่องร้องเรียน!CL:CL,"1")</f>
        <v>0</v>
      </c>
      <c r="I34" s="101">
        <f>COUNTIFS(เรื่องร้องเรียน!E:E,"4",เรื่องร้องเรียน!AO:AO,"3",เรื่องร้องเรียน!AN:AN,"ประชาสำราญ")</f>
        <v>0</v>
      </c>
      <c r="J34" s="101">
        <f>COUNTIFS(เรื่องร้องเรียน!E:E,"4",เรื่องร้องเรียน!AO:AO,"3",เรื่องร้องเรียน!AN:AN,"ประชาสำราญ",เรื่องร้องเรียน!CL:CL,"1")</f>
        <v>0</v>
      </c>
      <c r="K34" s="102"/>
      <c r="L34" s="102"/>
      <c r="M34" s="101">
        <f t="shared" si="3"/>
        <v>0</v>
      </c>
      <c r="N34" s="103">
        <f t="shared" si="3"/>
        <v>0</v>
      </c>
      <c r="O34" s="104">
        <f>COUNTIFS(เรื่องร้องเรียน!E:E,"1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P34" s="101">
        <f>COUNTIFS(เรื่องร้องเรียน!E:E,"2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Q34" s="101">
        <f>COUNTIFS(เรื่องร้องเรียน!E:E,"3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R34" s="101">
        <f>COUNTIFS(เรื่องร้องเรียน!E:E,"4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S34" s="102"/>
      <c r="T34" s="109">
        <f t="shared" si="4"/>
        <v>0</v>
      </c>
      <c r="U34" s="110">
        <f t="shared" si="1"/>
        <v>0</v>
      </c>
    </row>
    <row r="35" spans="1:21">
      <c r="A35" s="107"/>
      <c r="B35" s="108" t="s">
        <v>116</v>
      </c>
      <c r="C35" s="100">
        <f>COUNTIFS(เรื่องร้องเรียน!E:E,"1",เรื่องร้องเรียน!AO:AO,"3",เรื่องร้องเรียน!AN:AN,"มีนบุรี")</f>
        <v>0</v>
      </c>
      <c r="D35" s="101">
        <f>COUNTIFS(เรื่องร้องเรียน!E:E,"1",เรื่องร้องเรียน!AO:AO,"3",เรื่องร้องเรียน!AN:AN,"มีนบุรี",เรื่องร้องเรียน!CL:CL,"1")</f>
        <v>0</v>
      </c>
      <c r="E35" s="101">
        <f>COUNTIFS(เรื่องร้องเรียน!E:E,"2",เรื่องร้องเรียน!AO:AO,"3",เรื่องร้องเรียน!AN:AN,"มีนบุรี")</f>
        <v>0</v>
      </c>
      <c r="F35" s="101">
        <f>COUNTIFS(เรื่องร้องเรียน!E:E,"2",เรื่องร้องเรียน!AO:AO,"3",เรื่องร้องเรียน!AN:AN,"มีนบุรี",เรื่องร้องเรียน!CL:CL,"1")</f>
        <v>0</v>
      </c>
      <c r="G35" s="101">
        <f>COUNTIFS(เรื่องร้องเรียน!E:E,"3",เรื่องร้องเรียน!AO:AO,"3",เรื่องร้องเรียน!AN:AN,"มีนบุรี")</f>
        <v>0</v>
      </c>
      <c r="H35" s="101">
        <f>COUNTIFS(เรื่องร้องเรียน!E:E,"3",เรื่องร้องเรียน!AO:AO,"3",เรื่องร้องเรียน!AN:AN,"มีนบุรี",เรื่องร้องเรียน!CL:CL,"1")</f>
        <v>0</v>
      </c>
      <c r="I35" s="101">
        <f>COUNTIFS(เรื่องร้องเรียน!E:E,"4",เรื่องร้องเรียน!AO:AO,"3",เรื่องร้องเรียน!AN:AN,"มีนบุรี")</f>
        <v>0</v>
      </c>
      <c r="J35" s="101">
        <f>COUNTIFS(เรื่องร้องเรียน!E:E,"4",เรื่องร้องเรียน!AO:AO,"3",เรื่องร้องเรียน!AN:AN,"มีนบุรี",เรื่องร้องเรียน!CL:CL,"1")</f>
        <v>0</v>
      </c>
      <c r="K35" s="102"/>
      <c r="L35" s="102"/>
      <c r="M35" s="101">
        <f t="shared" si="3"/>
        <v>0</v>
      </c>
      <c r="N35" s="103">
        <f t="shared" si="3"/>
        <v>0</v>
      </c>
      <c r="O35" s="104">
        <f>COUNTIFS(เรื่องร้องเรียน!E:E,"1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P35" s="101">
        <f>COUNTIFS(เรื่องร้องเรียน!E:E,"2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Q35" s="101">
        <f>COUNTIFS(เรื่องร้องเรียน!E:E,"3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R35" s="101">
        <f>COUNTIFS(เรื่องร้องเรียน!E:E,"4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S35" s="102"/>
      <c r="T35" s="109">
        <f t="shared" si="4"/>
        <v>0</v>
      </c>
      <c r="U35" s="110">
        <f t="shared" si="1"/>
        <v>0</v>
      </c>
    </row>
    <row r="36" spans="1:21">
      <c r="A36" s="107"/>
      <c r="B36" s="108" t="s">
        <v>175</v>
      </c>
      <c r="C36" s="100">
        <f>COUNTIFS(เรื่องร้องเรียน!E:E,"1",เรื่องร้องเรียน!AO:AO,"3",เรื่องร้องเรียน!AN:AN,"ร่มเกล้า")</f>
        <v>0</v>
      </c>
      <c r="D36" s="101">
        <f>COUNTIFS(เรื่องร้องเรียน!E:E,"1",เรื่องร้องเรียน!AO:AO,"3",เรื่องร้องเรียน!AN:AN,"ร่มเกล้า",เรื่องร้องเรียน!CL:CL,"1")</f>
        <v>0</v>
      </c>
      <c r="E36" s="101">
        <f>COUNTIFS(เรื่องร้องเรียน!E:E,"2",เรื่องร้องเรียน!AO:AO,"3",เรื่องร้องเรียน!AN:AN,"ร่มเกล้า")</f>
        <v>0</v>
      </c>
      <c r="F36" s="101">
        <f>COUNTIFS(เรื่องร้องเรียน!E:E,"2",เรื่องร้องเรียน!AO:AO,"3",เรื่องร้องเรียน!AN:AN,"ร่มเกล้า",เรื่องร้องเรียน!CL:CL,"1")</f>
        <v>0</v>
      </c>
      <c r="G36" s="101">
        <f>COUNTIFS(เรื่องร้องเรียน!E:E,"3",เรื่องร้องเรียน!AO:AO,"3",เรื่องร้องเรียน!AN:AN,"ร่มเกล้า")</f>
        <v>0</v>
      </c>
      <c r="H36" s="101">
        <f>COUNTIFS(เรื่องร้องเรียน!E:E,"3",เรื่องร้องเรียน!AO:AO,"3",เรื่องร้องเรียน!AN:AN,"ร่มเกล้า",เรื่องร้องเรียน!CL:CL,"1")</f>
        <v>0</v>
      </c>
      <c r="I36" s="101">
        <f>COUNTIFS(เรื่องร้องเรียน!E:E,"4",เรื่องร้องเรียน!AO:AO,"3",เรื่องร้องเรียน!AN:AN,"ร่มเกล้า")</f>
        <v>0</v>
      </c>
      <c r="J36" s="101">
        <f>COUNTIFS(เรื่องร้องเรียน!E:E,"4",เรื่องร้องเรียน!AO:AO,"3",เรื่องร้องเรียน!AN:AN,"ร่มเกล้า",เรื่องร้องเรียน!CL:CL,"1")</f>
        <v>0</v>
      </c>
      <c r="K36" s="102"/>
      <c r="L36" s="102"/>
      <c r="M36" s="101">
        <f t="shared" si="3"/>
        <v>0</v>
      </c>
      <c r="N36" s="103">
        <f t="shared" si="3"/>
        <v>0</v>
      </c>
      <c r="O36" s="104">
        <f>COUNTIFS(เรื่องร้องเรียน!E:E,"1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P36" s="101">
        <f>COUNTIFS(เรื่องร้องเรียน!E:E,"2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Q36" s="101">
        <f>COUNTIFS(เรื่องร้องเรียน!E:E,"3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R36" s="101">
        <f>COUNTIFS(เรื่องร้องเรียน!E:E,"4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S36" s="102"/>
      <c r="T36" s="109">
        <f t="shared" si="4"/>
        <v>0</v>
      </c>
      <c r="U36" s="110">
        <f t="shared" si="1"/>
        <v>0</v>
      </c>
    </row>
    <row r="37" spans="1:21">
      <c r="A37" s="107"/>
      <c r="B37" s="108" t="s">
        <v>84</v>
      </c>
      <c r="C37" s="100">
        <f>COUNTIFS(เรื่องร้องเรียน!E:E,"1",เรื่องร้องเรียน!AO:AO,"3",เรื่องร้องเรียน!AN:AN,"ลาดกระบัง")</f>
        <v>0</v>
      </c>
      <c r="D37" s="101">
        <f>COUNTIFS(เรื่องร้องเรียน!E:E,"1",เรื่องร้องเรียน!AO:AO,"3",เรื่องร้องเรียน!AN:AN,"ลาดกระบัง",เรื่องร้องเรียน!CL:CL,"1")</f>
        <v>0</v>
      </c>
      <c r="E37" s="101">
        <f>COUNTIFS(เรื่องร้องเรียน!E:E,"2",เรื่องร้องเรียน!AO:AO,"3",เรื่องร้องเรียน!AN:AN,"ลาดกระบัง")</f>
        <v>0</v>
      </c>
      <c r="F37" s="101">
        <f>COUNTIFS(เรื่องร้องเรียน!E:E,"2",เรื่องร้องเรียน!AO:AO,"3",เรื่องร้องเรียน!AN:AN,"ลาดกระบัง",เรื่องร้องเรียน!CL:CL,"1")</f>
        <v>0</v>
      </c>
      <c r="G37" s="101">
        <f>COUNTIFS(เรื่องร้องเรียน!E:E,"3",เรื่องร้องเรียน!AO:AO,"3",เรื่องร้องเรียน!AN:AN,"ลาดกระบัง")</f>
        <v>0</v>
      </c>
      <c r="H37" s="101">
        <f>COUNTIFS(เรื่องร้องเรียน!E:E,"3",เรื่องร้องเรียน!AO:AO,"3",เรื่องร้องเรียน!AN:AN,"ลาดกระบัง",เรื่องร้องเรียน!CL:CL,"1")</f>
        <v>0</v>
      </c>
      <c r="I37" s="101">
        <f>COUNTIFS(เรื่องร้องเรียน!E:E,"4",เรื่องร้องเรียน!AO:AO,"3",เรื่องร้องเรียน!AN:AN,"ลาดกระบัง")</f>
        <v>0</v>
      </c>
      <c r="J37" s="101">
        <f>COUNTIFS(เรื่องร้องเรียน!E:E,"4",เรื่องร้องเรียน!AO:AO,"3",เรื่องร้องเรียน!AN:AN,"ลาดกระบัง",เรื่องร้องเรียน!CL:CL,"1")</f>
        <v>0</v>
      </c>
      <c r="K37" s="102"/>
      <c r="L37" s="102"/>
      <c r="M37" s="101">
        <f t="shared" si="3"/>
        <v>0</v>
      </c>
      <c r="N37" s="103">
        <f t="shared" si="3"/>
        <v>0</v>
      </c>
      <c r="O37" s="104">
        <f>COUNTIFS(เรื่องร้องเรียน!E:E,"1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P37" s="101">
        <f>COUNTIFS(เรื่องร้องเรียน!E:E,"2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Q37" s="101">
        <f>COUNTIFS(เรื่องร้องเรียน!E:E,"3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R37" s="101">
        <f>COUNTIFS(เรื่องร้องเรียน!E:E,"4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S37" s="102"/>
      <c r="T37" s="109">
        <f t="shared" si="4"/>
        <v>0</v>
      </c>
      <c r="U37" s="110">
        <f t="shared" si="1"/>
        <v>0</v>
      </c>
    </row>
    <row r="38" spans="1:21">
      <c r="A38" s="107"/>
      <c r="B38" s="108" t="s">
        <v>176</v>
      </c>
      <c r="C38" s="100">
        <f>COUNTIFS(เรื่องร้องเรียน!E:E,"1",เรื่องร้องเรียน!AO:AO,"3",เรื่องร้องเรียน!AN:AN,"ลำผักชี")</f>
        <v>0</v>
      </c>
      <c r="D38" s="101">
        <f>COUNTIFS(เรื่องร้องเรียน!E:E,"1",เรื่องร้องเรียน!AO:AO,"3",เรื่องร้องเรียน!AN:AN,"ลำผักชี",เรื่องร้องเรียน!CL:CL,"1")</f>
        <v>0</v>
      </c>
      <c r="E38" s="101">
        <f>COUNTIFS(เรื่องร้องเรียน!E:E,"2",เรื่องร้องเรียน!AO:AO,"3",เรื่องร้องเรียน!AN:AN,"ลำผักชี")</f>
        <v>0</v>
      </c>
      <c r="F38" s="101">
        <f>COUNTIFS(เรื่องร้องเรียน!E:E,"2",เรื่องร้องเรียน!AO:AO,"3",เรื่องร้องเรียน!AN:AN,"ลำผักชี",เรื่องร้องเรียน!CL:CL,"1")</f>
        <v>0</v>
      </c>
      <c r="G38" s="101">
        <f>COUNTIFS(เรื่องร้องเรียน!E:E,"3",เรื่องร้องเรียน!AO:AO,"3",เรื่องร้องเรียน!AN:AN,"ลำผักชี")</f>
        <v>0</v>
      </c>
      <c r="H38" s="101">
        <f>COUNTIFS(เรื่องร้องเรียน!E:E,"3",เรื่องร้องเรียน!AO:AO,"3",เรื่องร้องเรียน!AN:AN,"ลำผักชี",เรื่องร้องเรียน!CL:CL,"1")</f>
        <v>0</v>
      </c>
      <c r="I38" s="101">
        <f>COUNTIFS(เรื่องร้องเรียน!E:E,"4",เรื่องร้องเรียน!AO:AO,"3",เรื่องร้องเรียน!AN:AN,"ลำผักชี")</f>
        <v>0</v>
      </c>
      <c r="J38" s="101">
        <f>COUNTIFS(เรื่องร้องเรียน!E:E,"4",เรื่องร้องเรียน!AO:AO,"3",เรื่องร้องเรียน!AN:AN,"ลำผักชี",เรื่องร้องเรียน!CL:CL,"1")</f>
        <v>0</v>
      </c>
      <c r="K38" s="102"/>
      <c r="L38" s="102"/>
      <c r="M38" s="101">
        <f t="shared" si="3"/>
        <v>0</v>
      </c>
      <c r="N38" s="103">
        <f t="shared" si="3"/>
        <v>0</v>
      </c>
      <c r="O38" s="104">
        <f>COUNTIFS(เรื่องร้องเรียน!E:E,"1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P38" s="101">
        <f>COUNTIFS(เรื่องร้องเรียน!E:E,"2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Q38" s="101">
        <f>COUNTIFS(เรื่องร้องเรียน!E:E,"3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R38" s="101">
        <f>COUNTIFS(เรื่องร้องเรียน!E:E,"4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S38" s="102"/>
      <c r="T38" s="109">
        <f t="shared" si="4"/>
        <v>0</v>
      </c>
      <c r="U38" s="110">
        <f t="shared" si="1"/>
        <v>0</v>
      </c>
    </row>
    <row r="39" spans="1:21">
      <c r="A39" s="107"/>
      <c r="B39" s="108" t="s">
        <v>177</v>
      </c>
      <c r="C39" s="100">
        <f>COUNTIFS(เรื่องร้องเรียน!E:E,"1",เรื่องร้องเรียน!AO:AO,"3",เรื่องร้องเรียน!AN:AN,"ลำหิน")</f>
        <v>0</v>
      </c>
      <c r="D39" s="101">
        <f>COUNTIFS(เรื่องร้องเรียน!E:E,"1",เรื่องร้องเรียน!AO:AO,"3",เรื่องร้องเรียน!AN:AN,"ลำหิน",เรื่องร้องเรียน!CL:CL,"1")</f>
        <v>0</v>
      </c>
      <c r="E39" s="101">
        <f>COUNTIFS(เรื่องร้องเรียน!E:E,"2",เรื่องร้องเรียน!AO:AO,"3",เรื่องร้องเรียน!AN:AN,"ลำหิน")</f>
        <v>0</v>
      </c>
      <c r="F39" s="101">
        <f>COUNTIFS(เรื่องร้องเรียน!E:E,"2",เรื่องร้องเรียน!AO:AO,"3",เรื่องร้องเรียน!AN:AN,"ลำหิน",เรื่องร้องเรียน!CL:CL,"1")</f>
        <v>0</v>
      </c>
      <c r="G39" s="101">
        <f>COUNTIFS(เรื่องร้องเรียน!E:E,"3",เรื่องร้องเรียน!AO:AO,"3",เรื่องร้องเรียน!AN:AN,"ลำหิน")</f>
        <v>0</v>
      </c>
      <c r="H39" s="101">
        <f>COUNTIFS(เรื่องร้องเรียน!E:E,"3",เรื่องร้องเรียน!AO:AO,"3",เรื่องร้องเรียน!AN:AN,"ลำหิน",เรื่องร้องเรียน!CL:CL,"1")</f>
        <v>0</v>
      </c>
      <c r="I39" s="101">
        <f>COUNTIFS(เรื่องร้องเรียน!E:E,"4",เรื่องร้องเรียน!AO:AO,"3",เรื่องร้องเรียน!AN:AN,"ลำหิน")</f>
        <v>0</v>
      </c>
      <c r="J39" s="101">
        <f>COUNTIFS(เรื่องร้องเรียน!E:E,"4",เรื่องร้องเรียน!AO:AO,"3",เรื่องร้องเรียน!AN:AN,"ลำหิน",เรื่องร้องเรียน!CL:CL,"1")</f>
        <v>0</v>
      </c>
      <c r="K39" s="102"/>
      <c r="L39" s="102"/>
      <c r="M39" s="101">
        <f t="shared" si="3"/>
        <v>0</v>
      </c>
      <c r="N39" s="103">
        <f t="shared" si="3"/>
        <v>0</v>
      </c>
      <c r="O39" s="104">
        <f>COUNTIFS(เรื่องร้องเรียน!E:E,"1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P39" s="101">
        <f>COUNTIFS(เรื่องร้องเรียน!E:E,"2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Q39" s="101">
        <f>COUNTIFS(เรื่องร้องเรียน!E:E,"3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R39" s="101">
        <f>COUNTIFS(เรื่องร้องเรียน!E:E,"4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S39" s="102"/>
      <c r="T39" s="109">
        <f t="shared" si="4"/>
        <v>0</v>
      </c>
      <c r="U39" s="110">
        <f t="shared" si="1"/>
        <v>0</v>
      </c>
    </row>
    <row r="40" spans="1:21">
      <c r="A40" s="107"/>
      <c r="B40" s="108" t="s">
        <v>178</v>
      </c>
      <c r="C40" s="100">
        <f>COUNTIFS(เรื่องร้องเรียน!E:E,"1",เรื่องร้องเรียน!AO:AO,"3",เรื่องร้องเรียน!AN:AN,"สุวินทวงศ์")</f>
        <v>0</v>
      </c>
      <c r="D40" s="101">
        <f>COUNTIFS(เรื่องร้องเรียน!E:E,"1",เรื่องร้องเรียน!AO:AO,"3",เรื่องร้องเรียน!AN:AN,"สุวินทวงศ์",เรื่องร้องเรียน!CL:CL,"1")</f>
        <v>0</v>
      </c>
      <c r="E40" s="101">
        <f>COUNTIFS(เรื่องร้องเรียน!E:E,"2",เรื่องร้องเรียน!AO:AO,"3",เรื่องร้องเรียน!AN:AN,"สุวินทวงศ์")</f>
        <v>0</v>
      </c>
      <c r="F40" s="101">
        <f>COUNTIFS(เรื่องร้องเรียน!E:E,"2",เรื่องร้องเรียน!AO:AO,"3",เรื่องร้องเรียน!AN:AN,"สุวินทวงศ์",เรื่องร้องเรียน!CL:CL,"1")</f>
        <v>0</v>
      </c>
      <c r="G40" s="101">
        <f>COUNTIFS(เรื่องร้องเรียน!E:E,"3",เรื่องร้องเรียน!AO:AO,"3",เรื่องร้องเรียน!AN:AN,"สุวินทวงศ์")</f>
        <v>0</v>
      </c>
      <c r="H40" s="101">
        <f>COUNTIFS(เรื่องร้องเรียน!E:E,"3",เรื่องร้องเรียน!AO:AO,"3",เรื่องร้องเรียน!AN:AN,"สุวินทวงศ์",เรื่องร้องเรียน!CL:CL,"1")</f>
        <v>0</v>
      </c>
      <c r="I40" s="101">
        <f>COUNTIFS(เรื่องร้องเรียน!E:E,"4",เรื่องร้องเรียน!AO:AO,"3",เรื่องร้องเรียน!AN:AN,"สุวินทวงศ์")</f>
        <v>0</v>
      </c>
      <c r="J40" s="101">
        <f>COUNTIFS(เรื่องร้องเรียน!E:E,"4",เรื่องร้องเรียน!AO:AO,"3",เรื่องร้องเรียน!AN:AN,"สุวินทวงศ์",เรื่องร้องเรียน!CL:CL,"1")</f>
        <v>0</v>
      </c>
      <c r="K40" s="102"/>
      <c r="L40" s="102"/>
      <c r="M40" s="101">
        <f t="shared" si="3"/>
        <v>0</v>
      </c>
      <c r="N40" s="103">
        <f t="shared" si="3"/>
        <v>0</v>
      </c>
      <c r="O40" s="104">
        <f>COUNTIFS(เรื่องร้องเรียน!E:E,"1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P40" s="101">
        <f>COUNTIFS(เรื่องร้องเรียน!E:E,"2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Q40" s="101">
        <f>COUNTIFS(เรื่องร้องเรียน!E:E,"3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R40" s="101">
        <f>COUNTIFS(เรื่องร้องเรียน!E:E,"4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S40" s="102"/>
      <c r="T40" s="109">
        <f t="shared" si="4"/>
        <v>0</v>
      </c>
      <c r="U40" s="110">
        <f t="shared" si="1"/>
        <v>0</v>
      </c>
    </row>
    <row r="41" spans="1:21" ht="21.6" thickBot="1">
      <c r="A41" s="111"/>
      <c r="B41" s="112" t="s">
        <v>141</v>
      </c>
      <c r="C41" s="120">
        <f>COUNTIFS(เรื่องร้องเรียน!E:E,"1",เรื่องร้องเรียน!AO:AO,"3",เรื่องร้องเรียน!AN:AN,"หนองจอก")</f>
        <v>0</v>
      </c>
      <c r="D41" s="117">
        <f>COUNTIFS(เรื่องร้องเรียน!E:E,"1",เรื่องร้องเรียน!AO:AO,"3",เรื่องร้องเรียน!AN:AN,"หนองจอก",เรื่องร้องเรียน!CL:CL,"1")</f>
        <v>0</v>
      </c>
      <c r="E41" s="117">
        <f>COUNTIFS(เรื่องร้องเรียน!E:E,"2",เรื่องร้องเรียน!AO:AO,"3",เรื่องร้องเรียน!AN:AN,"หนองจอก")</f>
        <v>0</v>
      </c>
      <c r="F41" s="117">
        <f>COUNTIFS(เรื่องร้องเรียน!E:E,"2",เรื่องร้องเรียน!AO:AO,"3",เรื่องร้องเรียน!AN:AN,"หนองจอก",เรื่องร้องเรียน!CL:CL,"1")</f>
        <v>0</v>
      </c>
      <c r="G41" s="117">
        <f>COUNTIFS(เรื่องร้องเรียน!E:E,"3",เรื่องร้องเรียน!AO:AO,"3",เรื่องร้องเรียน!AN:AN,"หนองจอก")</f>
        <v>0</v>
      </c>
      <c r="H41" s="117">
        <f>COUNTIFS(เรื่องร้องเรียน!E:E,"3",เรื่องร้องเรียน!AO:AO,"3",เรื่องร้องเรียน!AN:AN,"หนองจอก",เรื่องร้องเรียน!CL:CL,"1")</f>
        <v>0</v>
      </c>
      <c r="I41" s="117">
        <f>COUNTIFS(เรื่องร้องเรียน!E:E,"4",เรื่องร้องเรียน!AO:AO,"3",เรื่องร้องเรียน!AN:AN,"หนองจอก")</f>
        <v>0</v>
      </c>
      <c r="J41" s="117">
        <f>COUNTIFS(เรื่องร้องเรียน!E:E,"4",เรื่องร้องเรียน!AO:AO,"3",เรื่องร้องเรียน!AN:AN,"หนองจอก",เรื่องร้องเรียน!CL:CL,"1")</f>
        <v>0</v>
      </c>
      <c r="K41" s="121"/>
      <c r="L41" s="121"/>
      <c r="M41" s="117">
        <f t="shared" si="3"/>
        <v>0</v>
      </c>
      <c r="N41" s="122">
        <f t="shared" si="3"/>
        <v>0</v>
      </c>
      <c r="O41" s="123">
        <f>COUNTIFS(เรื่องร้องเรียน!E:E,"1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P41" s="117">
        <f>COUNTIFS(เรื่องร้องเรียน!E:E,"2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Q41" s="117">
        <f>COUNTIFS(เรื่องร้องเรียน!E:E,"3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R41" s="117">
        <f>COUNTIFS(เรื่องร้องเรียน!E:E,"4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S41" s="121"/>
      <c r="T41" s="117">
        <f t="shared" si="4"/>
        <v>0</v>
      </c>
      <c r="U41" s="118">
        <f t="shared" si="1"/>
        <v>0</v>
      </c>
    </row>
    <row r="42" spans="1:21" ht="21.6" thickBot="1">
      <c r="A42" s="89">
        <v>4</v>
      </c>
      <c r="B42" s="90"/>
      <c r="C42" s="91">
        <f>SUM(C43:C50)</f>
        <v>0</v>
      </c>
      <c r="D42" s="92">
        <f t="shared" ref="D42:R42" si="7">SUM(D43:D50)</f>
        <v>0</v>
      </c>
      <c r="E42" s="92">
        <f t="shared" si="7"/>
        <v>0</v>
      </c>
      <c r="F42" s="92">
        <f t="shared" si="7"/>
        <v>0</v>
      </c>
      <c r="G42" s="92">
        <f t="shared" si="7"/>
        <v>0</v>
      </c>
      <c r="H42" s="92">
        <f t="shared" si="7"/>
        <v>0</v>
      </c>
      <c r="I42" s="92">
        <f t="shared" si="7"/>
        <v>0</v>
      </c>
      <c r="J42" s="92">
        <f t="shared" si="7"/>
        <v>0</v>
      </c>
      <c r="K42" s="93"/>
      <c r="L42" s="93"/>
      <c r="M42" s="92">
        <f t="shared" si="3"/>
        <v>0</v>
      </c>
      <c r="N42" s="94">
        <f t="shared" si="3"/>
        <v>0</v>
      </c>
      <c r="O42" s="95">
        <f t="shared" si="7"/>
        <v>0</v>
      </c>
      <c r="P42" s="92">
        <f t="shared" si="7"/>
        <v>0</v>
      </c>
      <c r="Q42" s="92">
        <f t="shared" si="7"/>
        <v>0</v>
      </c>
      <c r="R42" s="92">
        <f t="shared" si="7"/>
        <v>0</v>
      </c>
      <c r="S42" s="93"/>
      <c r="T42" s="92">
        <f t="shared" si="4"/>
        <v>0</v>
      </c>
      <c r="U42" s="88">
        <f t="shared" si="1"/>
        <v>0</v>
      </c>
    </row>
    <row r="43" spans="1:21">
      <c r="A43" s="98"/>
      <c r="B43" s="99" t="s">
        <v>132</v>
      </c>
      <c r="C43" s="100">
        <f>COUNTIFS(เรื่องร้องเรียน!E:E,"1",เรื่องร้องเรียน!AO:AO,"4",เรื่องร้องเรียน!AN:AN,"โชคชัย")</f>
        <v>0</v>
      </c>
      <c r="D43" s="101">
        <f>COUNTIFS(เรื่องร้องเรียน!E:E,"1",เรื่องร้องเรียน!AO:AO,"4",เรื่องร้องเรียน!AN:AN,"โชคชัย",เรื่องร้องเรียน!CL:CL,"1")</f>
        <v>0</v>
      </c>
      <c r="E43" s="101">
        <f>COUNTIFS(เรื่องร้องเรียน!E:E,"2",เรื่องร้องเรียน!AO:AO,"4",เรื่องร้องเรียน!AN:AN,"โชคชัย")</f>
        <v>0</v>
      </c>
      <c r="F43" s="101">
        <f>COUNTIFS(เรื่องร้องเรียน!E:E,"2",เรื่องร้องเรียน!AO:AO,"4",เรื่องร้องเรียน!AN:AN,"โชคชัย",เรื่องร้องเรียน!CL:CL,"1")</f>
        <v>0</v>
      </c>
      <c r="G43" s="101">
        <f>COUNTIFS(เรื่องร้องเรียน!E:E,"3",เรื่องร้องเรียน!AO:AO,"4",เรื่องร้องเรียน!AN:AN,"โชคชัย")</f>
        <v>0</v>
      </c>
      <c r="H43" s="101">
        <f>COUNTIFS(เรื่องร้องเรียน!E:E,"3",เรื่องร้องเรียน!AO:AO,"4",เรื่องร้องเรียน!AN:AN,"โชคชัย",เรื่องร้องเรียน!CL:CL,"1")</f>
        <v>0</v>
      </c>
      <c r="I43" s="101">
        <f>COUNTIFS(เรื่องร้องเรียน!E:E,"4",เรื่องร้องเรียน!AO:AO,"4",เรื่องร้องเรียน!AN:AN,"โชคชัย")</f>
        <v>0</v>
      </c>
      <c r="J43" s="101">
        <f>COUNTIFS(เรื่องร้องเรียน!E:E,"4",เรื่องร้องเรียน!AO:AO,"4",เรื่องร้องเรียน!AN:AN,"โชคชัย",เรื่องร้องเรียน!CL:CL,"1")</f>
        <v>0</v>
      </c>
      <c r="K43" s="102"/>
      <c r="L43" s="102"/>
      <c r="M43" s="101">
        <f t="shared" si="3"/>
        <v>0</v>
      </c>
      <c r="N43" s="103">
        <f t="shared" si="3"/>
        <v>0</v>
      </c>
      <c r="O43" s="104">
        <f>COUNTIFS(เรื่องร้องเรียน!E:E,"1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P43" s="101">
        <f>COUNTIFS(เรื่องร้องเรียน!E:E,"2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Q43" s="101">
        <f>COUNTIFS(เรื่องร้องเรียน!E:E,"3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R43" s="101">
        <f>COUNTIFS(เรื่องร้องเรียน!E:E,"4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S43" s="102"/>
      <c r="T43" s="101">
        <f t="shared" si="4"/>
        <v>0</v>
      </c>
      <c r="U43" s="119">
        <f t="shared" si="1"/>
        <v>0</v>
      </c>
    </row>
    <row r="44" spans="1:21">
      <c r="A44" s="107"/>
      <c r="B44" s="108" t="s">
        <v>102</v>
      </c>
      <c r="C44" s="100">
        <f>COUNTIFS(เรื่องร้องเรียน!E:E,"1",เรื่องร้องเรียน!AO:AO,"4",เรื่องร้องเรียน!AN:AN,"บางชัน")</f>
        <v>0</v>
      </c>
      <c r="D44" s="101">
        <f>COUNTIFS(เรื่องร้องเรียน!E:E,"1",เรื่องร้องเรียน!AO:AO,"4",เรื่องร้องเรียน!AN:AN,"บางชัน",เรื่องร้องเรียน!CL:CL,"1")</f>
        <v>0</v>
      </c>
      <c r="E44" s="101">
        <f>COUNTIFS(เรื่องร้องเรียน!E:E,"2",เรื่องร้องเรียน!AO:AO,"4",เรื่องร้องเรียน!AN:AN,"บางชัน")</f>
        <v>0</v>
      </c>
      <c r="F44" s="101">
        <f>COUNTIFS(เรื่องร้องเรียน!E:E,"2",เรื่องร้องเรียน!AO:AO,"4",เรื่องร้องเรียน!AN:AN,"บางชัน",เรื่องร้องเรียน!CL:CL,"1")</f>
        <v>0</v>
      </c>
      <c r="G44" s="101">
        <f>COUNTIFS(เรื่องร้องเรียน!E:E,"3",เรื่องร้องเรียน!AO:AO,"4",เรื่องร้องเรียน!AN:AN,"บางชัน")</f>
        <v>0</v>
      </c>
      <c r="H44" s="101">
        <f>COUNTIFS(เรื่องร้องเรียน!E:E,"3",เรื่องร้องเรียน!AO:AO,"4",เรื่องร้องเรียน!AN:AN,"บางชัน",เรื่องร้องเรียน!CL:CL,"1")</f>
        <v>0</v>
      </c>
      <c r="I44" s="101">
        <f>COUNTIFS(เรื่องร้องเรียน!E:E,"4",เรื่องร้องเรียน!AO:AO,"4",เรื่องร้องเรียน!AN:AN,"บางชัน")</f>
        <v>0</v>
      </c>
      <c r="J44" s="101">
        <f>COUNTIFS(เรื่องร้องเรียน!E:E,"4",เรื่องร้องเรียน!AO:AO,"4",เรื่องร้องเรียน!AN:AN,"บางชัน",เรื่องร้องเรียน!CL:CL,"1")</f>
        <v>0</v>
      </c>
      <c r="K44" s="102"/>
      <c r="L44" s="102"/>
      <c r="M44" s="101">
        <f t="shared" si="3"/>
        <v>0</v>
      </c>
      <c r="N44" s="103">
        <f t="shared" si="3"/>
        <v>0</v>
      </c>
      <c r="O44" s="104">
        <f>COUNTIFS(เรื่องร้องเรียน!E:E,"1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P44" s="101">
        <f>COUNTIFS(เรื่องร้องเรียน!E:E,"2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Q44" s="101">
        <f>COUNTIFS(เรื่องร้องเรียน!E:E,"3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R44" s="101">
        <f>COUNTIFS(เรื่องร้องเรียน!E:E,"4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S44" s="102"/>
      <c r="T44" s="109">
        <f t="shared" si="4"/>
        <v>0</v>
      </c>
      <c r="U44" s="110">
        <f t="shared" si="1"/>
        <v>0</v>
      </c>
    </row>
    <row r="45" spans="1:21">
      <c r="A45" s="107"/>
      <c r="B45" s="108" t="s">
        <v>67</v>
      </c>
      <c r="C45" s="100">
        <f>COUNTIFS(เรื่องร้องเรียน!E:E,"1",เรื่องร้องเรียน!AO:AO,"4",เรื่องร้องเรียน!AN:AN,"บึงกุ่ม")</f>
        <v>0</v>
      </c>
      <c r="D45" s="101">
        <f>COUNTIFS(เรื่องร้องเรียน!E:E,"1",เรื่องร้องเรียน!AO:AO,"4",เรื่องร้องเรียน!AN:AN,"บึงกุ่ม",เรื่องร้องเรียน!CL:CL,"1")</f>
        <v>0</v>
      </c>
      <c r="E45" s="101">
        <f>COUNTIFS(เรื่องร้องเรียน!E:E,"2",เรื่องร้องเรียน!AO:AO,"4",เรื่องร้องเรียน!AN:AN,"บึงกุ่ม")</f>
        <v>0</v>
      </c>
      <c r="F45" s="101">
        <f>COUNTIFS(เรื่องร้องเรียน!E:E,"2",เรื่องร้องเรียน!AO:AO,"4",เรื่องร้องเรียน!AN:AN,"บึงกุ่ม",เรื่องร้องเรียน!CL:CL,"1")</f>
        <v>0</v>
      </c>
      <c r="G45" s="101">
        <f>COUNTIFS(เรื่องร้องเรียน!E:E,"3",เรื่องร้องเรียน!AO:AO,"4",เรื่องร้องเรียน!AN:AN,"บึงกุ่ม")</f>
        <v>0</v>
      </c>
      <c r="H45" s="101">
        <f>COUNTIFS(เรื่องร้องเรียน!E:E,"3",เรื่องร้องเรียน!AO:AO,"4",เรื่องร้องเรียน!AN:AN,"บึงกุ่ม",เรื่องร้องเรียน!CL:CL,"1")</f>
        <v>0</v>
      </c>
      <c r="I45" s="101">
        <f>COUNTIFS(เรื่องร้องเรียน!E:E,"4",เรื่องร้องเรียน!AO:AO,"4",เรื่องร้องเรียน!AN:AN,"บึงกุ่ม")</f>
        <v>0</v>
      </c>
      <c r="J45" s="101">
        <f>COUNTIFS(เรื่องร้องเรียน!E:E,"4",เรื่องร้องเรียน!AO:AO,"4",เรื่องร้องเรียน!AN:AN,"บึงกุ่ม",เรื่องร้องเรียน!CL:CL,"1")</f>
        <v>0</v>
      </c>
      <c r="K45" s="102"/>
      <c r="L45" s="102"/>
      <c r="M45" s="101">
        <f t="shared" si="3"/>
        <v>0</v>
      </c>
      <c r="N45" s="103">
        <f t="shared" si="3"/>
        <v>0</v>
      </c>
      <c r="O45" s="104">
        <f>COUNTIFS(เรื่องร้องเรียน!E:E,"1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P45" s="101">
        <f>COUNTIFS(เรื่องร้องเรียน!E:E,"2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Q45" s="101">
        <f>COUNTIFS(เรื่องร้องเรียน!E:E,"3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R45" s="101">
        <f>COUNTIFS(เรื่องร้องเรียน!E:E,"4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S45" s="102"/>
      <c r="T45" s="109">
        <f t="shared" si="4"/>
        <v>0</v>
      </c>
      <c r="U45" s="110">
        <f t="shared" si="1"/>
        <v>0</v>
      </c>
    </row>
    <row r="46" spans="1:21">
      <c r="A46" s="107"/>
      <c r="B46" s="108" t="s">
        <v>73</v>
      </c>
      <c r="C46" s="100">
        <f>COUNTIFS(เรื่องร้องเรียน!E:E,"1",เรื่องร้องเรียน!AO:AO,"4",เรื่องร้องเรียน!AN:AN,"ประเวศ")</f>
        <v>0</v>
      </c>
      <c r="D46" s="101">
        <f>COUNTIFS(เรื่องร้องเรียน!E:E,"1",เรื่องร้องเรียน!AO:AO,"4",เรื่องร้องเรียน!AN:AN,"ประเวศ",เรื่องร้องเรียน!CL:CL,"1")</f>
        <v>0</v>
      </c>
      <c r="E46" s="101">
        <f>COUNTIFS(เรื่องร้องเรียน!E:E,"2",เรื่องร้องเรียน!AO:AO,"4",เรื่องร้องเรียน!AN:AN,"ประเวศ")</f>
        <v>0</v>
      </c>
      <c r="F46" s="101">
        <f>COUNTIFS(เรื่องร้องเรียน!E:E,"2",เรื่องร้องเรียน!AO:AO,"4",เรื่องร้องเรียน!AN:AN,"ประเวศ",เรื่องร้องเรียน!CL:CL,"1")</f>
        <v>0</v>
      </c>
      <c r="G46" s="101">
        <f>COUNTIFS(เรื่องร้องเรียน!E:E,"3",เรื่องร้องเรียน!AO:AO,"4",เรื่องร้องเรียน!AN:AN,"ประเวศ")</f>
        <v>0</v>
      </c>
      <c r="H46" s="101">
        <f>COUNTIFS(เรื่องร้องเรียน!E:E,"3",เรื่องร้องเรียน!AO:AO,"4",เรื่องร้องเรียน!AN:AN,"ประเวศ",เรื่องร้องเรียน!CL:CL,"1")</f>
        <v>0</v>
      </c>
      <c r="I46" s="101">
        <f>COUNTIFS(เรื่องร้องเรียน!E:E,"4",เรื่องร้องเรียน!AO:AO,"4",เรื่องร้องเรียน!AN:AN,"ประเวศ")</f>
        <v>0</v>
      </c>
      <c r="J46" s="101">
        <f>COUNTIFS(เรื่องร้องเรียน!E:E,"4",เรื่องร้องเรียน!AO:AO,"4",เรื่องร้องเรียน!AN:AN,"ประเวศ",เรื่องร้องเรียน!CL:CL,"1")</f>
        <v>0</v>
      </c>
      <c r="K46" s="102"/>
      <c r="L46" s="102"/>
      <c r="M46" s="101">
        <f t="shared" si="3"/>
        <v>0</v>
      </c>
      <c r="N46" s="103">
        <f t="shared" si="3"/>
        <v>0</v>
      </c>
      <c r="O46" s="104">
        <f>COUNTIFS(เรื่องร้องเรียน!E:E,"1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P46" s="101">
        <f>COUNTIFS(เรื่องร้องเรียน!E:E,"2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Q46" s="101">
        <f>COUNTIFS(เรื่องร้องเรียน!E:E,"3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R46" s="101">
        <f>COUNTIFS(เรื่องร้องเรียน!E:E,"4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S46" s="102"/>
      <c r="T46" s="109">
        <f t="shared" si="4"/>
        <v>0</v>
      </c>
      <c r="U46" s="110">
        <f t="shared" si="1"/>
        <v>0</v>
      </c>
    </row>
    <row r="47" spans="1:21">
      <c r="A47" s="107"/>
      <c r="B47" s="108" t="s">
        <v>120</v>
      </c>
      <c r="C47" s="100">
        <f>COUNTIFS(เรื่องร้องเรียน!E:E,"1",เรื่องร้องเรียน!AO:AO,"4",เรื่องร้องเรียน!AN:AN,"ลาดพร้าว")</f>
        <v>0</v>
      </c>
      <c r="D47" s="101">
        <f>COUNTIFS(เรื่องร้องเรียน!E:E,"1",เรื่องร้องเรียน!AO:AO,"4",เรื่องร้องเรียน!AN:AN,"ลาดพร้าว",เรื่องร้องเรียน!CL:CL,"1")</f>
        <v>0</v>
      </c>
      <c r="E47" s="101">
        <f>COUNTIFS(เรื่องร้องเรียน!E:E,"2",เรื่องร้องเรียน!AO:AO,"4",เรื่องร้องเรียน!AN:AN,"ลาดพร้าว")</f>
        <v>0</v>
      </c>
      <c r="F47" s="101">
        <f>COUNTIFS(เรื่องร้องเรียน!E:E,"2",เรื่องร้องเรียน!AO:AO,"4",เรื่องร้องเรียน!AN:AN,"ลาดพร้าว",เรื่องร้องเรียน!CL:CL,"1")</f>
        <v>0</v>
      </c>
      <c r="G47" s="101">
        <f>COUNTIFS(เรื่องร้องเรียน!E:E,"3",เรื่องร้องเรียน!AO:AO,"4",เรื่องร้องเรียน!AN:AN,"ลาดพร้าว")</f>
        <v>0</v>
      </c>
      <c r="H47" s="101">
        <f>COUNTIFS(เรื่องร้องเรียน!E:E,"3",เรื่องร้องเรียน!AO:AO,"4",เรื่องร้องเรียน!AN:AN,"ลาดพร้าว",เรื่องร้องเรียน!CL:CL,"1")</f>
        <v>0</v>
      </c>
      <c r="I47" s="101">
        <f>COUNTIFS(เรื่องร้องเรียน!E:E,"4",เรื่องร้องเรียน!AO:AO,"4",เรื่องร้องเรียน!AN:AN,"ลาดพร้าว")</f>
        <v>0</v>
      </c>
      <c r="J47" s="101">
        <f>COUNTIFS(เรื่องร้องเรียน!E:E,"4",เรื่องร้องเรียน!AO:AO,"4",เรื่องร้องเรียน!AN:AN,"ลาดพร้าว",เรื่องร้องเรียน!CL:CL,"1")</f>
        <v>0</v>
      </c>
      <c r="K47" s="102"/>
      <c r="L47" s="102"/>
      <c r="M47" s="101">
        <f t="shared" si="3"/>
        <v>0</v>
      </c>
      <c r="N47" s="103">
        <f t="shared" si="3"/>
        <v>0</v>
      </c>
      <c r="O47" s="104">
        <f>COUNTIFS(เรื่องร้องเรียน!E:E,"1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P47" s="101">
        <f>COUNTIFS(เรื่องร้องเรียน!E:E,"2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Q47" s="101">
        <f>COUNTIFS(เรื่องร้องเรียน!E:E,"3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R47" s="101">
        <f>COUNTIFS(เรื่องร้องเรียน!E:E,"4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S47" s="102"/>
      <c r="T47" s="109">
        <f t="shared" si="4"/>
        <v>0</v>
      </c>
      <c r="U47" s="110">
        <f t="shared" si="1"/>
        <v>0</v>
      </c>
    </row>
    <row r="48" spans="1:21">
      <c r="A48" s="107"/>
      <c r="B48" s="108" t="s">
        <v>179</v>
      </c>
      <c r="C48" s="100">
        <f>COUNTIFS(เรื่องร้องเรียน!E:E,"1",เรื่องร้องเรียน!AO:AO,"4",เรื่องร้องเรียน!AN:AN,"วังทองหลาง")</f>
        <v>0</v>
      </c>
      <c r="D48" s="101">
        <f>COUNTIFS(เรื่องร้องเรียน!E:E,"1",เรื่องร้องเรียน!AO:AO,"4",เรื่องร้องเรียน!AN:AN,"วังทองหลาง",เรื่องร้องเรียน!CL:CL,"1")</f>
        <v>0</v>
      </c>
      <c r="E48" s="101">
        <f>COUNTIFS(เรื่องร้องเรียน!E:E,"2",เรื่องร้องเรียน!AO:AO,"4",เรื่องร้องเรียน!AN:AN,"วังทองหลาง")</f>
        <v>0</v>
      </c>
      <c r="F48" s="101">
        <f>COUNTIFS(เรื่องร้องเรียน!E:E,"2",เรื่องร้องเรียน!AO:AO,"4",เรื่องร้องเรียน!AN:AN,"วังทองหลาง",เรื่องร้องเรียน!CL:CL,"1")</f>
        <v>0</v>
      </c>
      <c r="G48" s="101">
        <f>COUNTIFS(เรื่องร้องเรียน!E:E,"3",เรื่องร้องเรียน!AO:AO,"4",เรื่องร้องเรียน!AN:AN,"วังทองหลาง")</f>
        <v>0</v>
      </c>
      <c r="H48" s="101">
        <f>COUNTIFS(เรื่องร้องเรียน!E:E,"3",เรื่องร้องเรียน!AO:AO,"4",เรื่องร้องเรียน!AN:AN,"วังทองหลาง",เรื่องร้องเรียน!CL:CL,"1")</f>
        <v>0</v>
      </c>
      <c r="I48" s="101">
        <f>COUNTIFS(เรื่องร้องเรียน!E:E,"4",เรื่องร้องเรียน!AO:AO,"4",เรื่องร้องเรียน!AN:AN,"วังทองหลาง")</f>
        <v>0</v>
      </c>
      <c r="J48" s="101">
        <f>COUNTIFS(เรื่องร้องเรียน!E:E,"4",เรื่องร้องเรียน!AO:AO,"4",เรื่องร้องเรียน!AN:AN,"วังทองหลาง",เรื่องร้องเรียน!CL:CL,"1")</f>
        <v>0</v>
      </c>
      <c r="K48" s="102"/>
      <c r="L48" s="102"/>
      <c r="M48" s="101">
        <f t="shared" si="3"/>
        <v>0</v>
      </c>
      <c r="N48" s="103">
        <f t="shared" si="3"/>
        <v>0</v>
      </c>
      <c r="O48" s="104">
        <f>COUNTIFS(เรื่องร้องเรียน!E:E,"1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P48" s="101">
        <f>COUNTIFS(เรื่องร้องเรียน!E:E,"2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Q48" s="101">
        <f>COUNTIFS(เรื่องร้องเรียน!E:E,"3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R48" s="101">
        <f>COUNTIFS(เรื่องร้องเรียน!E:E,"4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S48" s="102"/>
      <c r="T48" s="109">
        <f t="shared" si="4"/>
        <v>0</v>
      </c>
      <c r="U48" s="110">
        <f t="shared" si="1"/>
        <v>0</v>
      </c>
    </row>
    <row r="49" spans="1:21">
      <c r="A49" s="107"/>
      <c r="B49" s="108" t="s">
        <v>91</v>
      </c>
      <c r="C49" s="100">
        <f>COUNTIFS(เรื่องร้องเรียน!E:E,"1",เรื่องร้องเรียน!AO:AO,"4",เรื่องร้องเรียน!AN:AN,"หัวหมาก")</f>
        <v>0</v>
      </c>
      <c r="D49" s="101">
        <f>COUNTIFS(เรื่องร้องเรียน!E:E,"1",เรื่องร้องเรียน!AO:AO,"4",เรื่องร้องเรียน!AN:AN,"หัวหมาก",เรื่องร้องเรียน!CL:CL,"1")</f>
        <v>0</v>
      </c>
      <c r="E49" s="101">
        <f>COUNTIFS(เรื่องร้องเรียน!E:E,"2",เรื่องร้องเรียน!AO:AO,"4",เรื่องร้องเรียน!AN:AN,"หัวหมาก")</f>
        <v>0</v>
      </c>
      <c r="F49" s="101">
        <f>COUNTIFS(เรื่องร้องเรียน!E:E,"2",เรื่องร้องเรียน!AO:AO,"4",เรื่องร้องเรียน!AN:AN,"หัวหมาก",เรื่องร้องเรียน!CL:CL,"1")</f>
        <v>0</v>
      </c>
      <c r="G49" s="101">
        <f>COUNTIFS(เรื่องร้องเรียน!E:E,"3",เรื่องร้องเรียน!AO:AO,"4",เรื่องร้องเรียน!AN:AN,"หัวหมาก")</f>
        <v>0</v>
      </c>
      <c r="H49" s="101">
        <f>COUNTIFS(เรื่องร้องเรียน!E:E,"3",เรื่องร้องเรียน!AO:AO,"4",เรื่องร้องเรียน!AN:AN,"หัวหมาก",เรื่องร้องเรียน!CL:CL,"1")</f>
        <v>0</v>
      </c>
      <c r="I49" s="101">
        <f>COUNTIFS(เรื่องร้องเรียน!E:E,"4",เรื่องร้องเรียน!AO:AO,"4",เรื่องร้องเรียน!AN:AN,"หัวหมาก")</f>
        <v>0</v>
      </c>
      <c r="J49" s="101">
        <f>COUNTIFS(เรื่องร้องเรียน!E:E,"4",เรื่องร้องเรียน!AO:AO,"4",เรื่องร้องเรียน!AN:AN,"หัวหมาก",เรื่องร้องเรียน!CL:CL,"1")</f>
        <v>0</v>
      </c>
      <c r="K49" s="102"/>
      <c r="L49" s="102"/>
      <c r="M49" s="101">
        <f t="shared" si="3"/>
        <v>0</v>
      </c>
      <c r="N49" s="103">
        <f t="shared" si="3"/>
        <v>0</v>
      </c>
      <c r="O49" s="104">
        <f>COUNTIFS(เรื่องร้องเรียน!E:E,"1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P49" s="101">
        <f>COUNTIFS(เรื่องร้องเรียน!E:E,"2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Q49" s="101">
        <f>COUNTIFS(เรื่องร้องเรียน!E:E,"3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R49" s="101">
        <f>COUNTIFS(เรื่องร้องเรียน!E:E,"4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S49" s="102"/>
      <c r="T49" s="109">
        <f t="shared" si="4"/>
        <v>0</v>
      </c>
      <c r="U49" s="110">
        <f t="shared" si="1"/>
        <v>0</v>
      </c>
    </row>
    <row r="50" spans="1:21" ht="21.6" thickBot="1">
      <c r="A50" s="111"/>
      <c r="B50" s="112" t="s">
        <v>74</v>
      </c>
      <c r="C50" s="120">
        <f>COUNTIFS(เรื่องร้องเรียน!E:E,"1",เรื่องร้องเรียน!AO:AO,"4",เรื่องร้องเรียน!AN:AN,"อุดมสุข")</f>
        <v>0</v>
      </c>
      <c r="D50" s="117">
        <f>COUNTIFS(เรื่องร้องเรียน!E:E,"1",เรื่องร้องเรียน!AO:AO,"4",เรื่องร้องเรียน!AN:AN,"อุดมสุข",เรื่องร้องเรียน!CL:CL,"1")</f>
        <v>0</v>
      </c>
      <c r="E50" s="117">
        <f>COUNTIFS(เรื่องร้องเรียน!E:E,"2",เรื่องร้องเรียน!AO:AO,"4",เรื่องร้องเรียน!AN:AN,"อุดมสุข")</f>
        <v>0</v>
      </c>
      <c r="F50" s="117">
        <f>COUNTIFS(เรื่องร้องเรียน!E:E,"2",เรื่องร้องเรียน!AO:AO,"4",เรื่องร้องเรียน!AN:AN,"อุดมสุข",เรื่องร้องเรียน!CL:CL,"1")</f>
        <v>0</v>
      </c>
      <c r="G50" s="117">
        <f>COUNTIFS(เรื่องร้องเรียน!E:E,"3",เรื่องร้องเรียน!AO:AO,"4",เรื่องร้องเรียน!AN:AN,"อุดมสุข")</f>
        <v>0</v>
      </c>
      <c r="H50" s="117">
        <f>COUNTIFS(เรื่องร้องเรียน!E:E,"3",เรื่องร้องเรียน!AO:AO,"4",เรื่องร้องเรียน!AN:AN,"อุดมสุข",เรื่องร้องเรียน!CL:CL,"1")</f>
        <v>0</v>
      </c>
      <c r="I50" s="117">
        <f>COUNTIFS(เรื่องร้องเรียน!E:E,"4",เรื่องร้องเรียน!AO:AO,"4",เรื่องร้องเรียน!AN:AN,"อุดมสุข")</f>
        <v>0</v>
      </c>
      <c r="J50" s="117">
        <f>COUNTIFS(เรื่องร้องเรียน!E:E,"4",เรื่องร้องเรียน!AO:AO,"4",เรื่องร้องเรียน!AN:AN,"อุดมสุข",เรื่องร้องเรียน!CL:CL,"1")</f>
        <v>0</v>
      </c>
      <c r="K50" s="121"/>
      <c r="L50" s="121"/>
      <c r="M50" s="117">
        <f t="shared" si="3"/>
        <v>0</v>
      </c>
      <c r="N50" s="122">
        <f t="shared" si="3"/>
        <v>0</v>
      </c>
      <c r="O50" s="123">
        <f>COUNTIFS(เรื่องร้องเรียน!E:E,"1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P50" s="117">
        <f>COUNTIFS(เรื่องร้องเรียน!E:E,"2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Q50" s="117">
        <f>COUNTIFS(เรื่องร้องเรียน!E:E,"3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R50" s="117">
        <f>COUNTIFS(เรื่องร้องเรียน!E:E,"4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S50" s="121"/>
      <c r="T50" s="117">
        <f t="shared" si="4"/>
        <v>0</v>
      </c>
      <c r="U50" s="118">
        <f t="shared" si="1"/>
        <v>0</v>
      </c>
    </row>
    <row r="51" spans="1:21" ht="21.6" thickBot="1">
      <c r="A51" s="89">
        <v>5</v>
      </c>
      <c r="B51" s="90"/>
      <c r="C51" s="91">
        <f>SUM(C52:C60)</f>
        <v>0</v>
      </c>
      <c r="D51" s="92">
        <f>SUM(D52:D60)</f>
        <v>0</v>
      </c>
      <c r="E51" s="92">
        <f>SUM(E52:E60)</f>
        <v>0</v>
      </c>
      <c r="F51" s="92">
        <f t="shared" ref="F51:R51" si="8">SUM(F52:F60)</f>
        <v>0</v>
      </c>
      <c r="G51" s="92">
        <f t="shared" si="8"/>
        <v>0</v>
      </c>
      <c r="H51" s="92">
        <f t="shared" si="8"/>
        <v>0</v>
      </c>
      <c r="I51" s="92">
        <f t="shared" si="8"/>
        <v>0</v>
      </c>
      <c r="J51" s="92">
        <f t="shared" si="8"/>
        <v>0</v>
      </c>
      <c r="K51" s="93"/>
      <c r="L51" s="93"/>
      <c r="M51" s="92">
        <f t="shared" si="3"/>
        <v>0</v>
      </c>
      <c r="N51" s="94">
        <f t="shared" si="3"/>
        <v>0</v>
      </c>
      <c r="O51" s="95">
        <f t="shared" si="8"/>
        <v>0</v>
      </c>
      <c r="P51" s="92">
        <f t="shared" si="8"/>
        <v>0</v>
      </c>
      <c r="Q51" s="92">
        <f t="shared" si="8"/>
        <v>0</v>
      </c>
      <c r="R51" s="92">
        <f t="shared" si="8"/>
        <v>0</v>
      </c>
      <c r="S51" s="93"/>
      <c r="T51" s="92">
        <f t="shared" si="4"/>
        <v>0</v>
      </c>
      <c r="U51" s="88">
        <f t="shared" si="1"/>
        <v>0</v>
      </c>
    </row>
    <row r="52" spans="1:21">
      <c r="A52" s="98"/>
      <c r="B52" s="99" t="s">
        <v>128</v>
      </c>
      <c r="C52" s="100">
        <f>COUNTIFS(เรื่องร้องเรียน!E:E,"1",เรื่องร้องเรียน!AO:AO,"5",เรื่องร้องเรียน!AN:AN,"คลองตัน")</f>
        <v>0</v>
      </c>
      <c r="D52" s="101">
        <f>COUNTIFS(เรื่องร้องเรียน!E:E,"1",เรื่องร้องเรียน!AO:AO,"5",เรื่องร้องเรียน!AN:AN,"คลองตัน",เรื่องร้องเรียน!CL:CL,"1")</f>
        <v>0</v>
      </c>
      <c r="E52" s="101">
        <f>COUNTIFS(เรื่องร้องเรียน!E:E,"2",เรื่องร้องเรียน!AO:AO,"5",เรื่องร้องเรียน!AN:AN,"คลองตัน")</f>
        <v>0</v>
      </c>
      <c r="F52" s="101">
        <f>COUNTIFS(เรื่องร้องเรียน!E:E,"2",เรื่องร้องเรียน!AO:AO,"5",เรื่องร้องเรียน!AN:AN,"คลองตัน",เรื่องร้องเรียน!CL:CL,"1")</f>
        <v>0</v>
      </c>
      <c r="G52" s="101">
        <f>COUNTIFS(เรื่องร้องเรียน!E:E,"3",เรื่องร้องเรียน!AO:AO,"5",เรื่องร้องเรียน!AN:AN,"คลองตัน")</f>
        <v>0</v>
      </c>
      <c r="H52" s="101">
        <f>COUNTIFS(เรื่องร้องเรียน!E:E,"3",เรื่องร้องเรียน!AO:AO,"5",เรื่องร้องเรียน!AN:AN,"คลองตัน",เรื่องร้องเรียน!CL:CL,"1")</f>
        <v>0</v>
      </c>
      <c r="I52" s="101">
        <f>COUNTIFS(เรื่องร้องเรียน!E:E,"4",เรื่องร้องเรียน!AO:AO,"5",เรื่องร้องเรียน!AN:AN,"คลองตัน")</f>
        <v>0</v>
      </c>
      <c r="J52" s="101">
        <f>COUNTIFS(เรื่องร้องเรียน!E:E,"4",เรื่องร้องเรียน!AO:AO,"5",เรื่องร้องเรียน!AN:AN,"คลองตัน",เรื่องร้องเรียน!CL:CL,"1")</f>
        <v>0</v>
      </c>
      <c r="K52" s="102"/>
      <c r="L52" s="102"/>
      <c r="M52" s="101">
        <f t="shared" si="3"/>
        <v>0</v>
      </c>
      <c r="N52" s="103">
        <f t="shared" si="3"/>
        <v>0</v>
      </c>
      <c r="O52" s="104">
        <f>COUNTIFS(เรื่องร้องเรียน!E:E,"1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P52" s="101">
        <f>COUNTIFS(เรื่องร้องเรียน!E:E,"2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Q52" s="101">
        <f>COUNTIFS(เรื่องร้องเรียน!E:E,"3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R52" s="101">
        <f>COUNTIFS(เรื่องร้องเรียน!E:E,"4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S52" s="102"/>
      <c r="T52" s="101">
        <f t="shared" si="4"/>
        <v>0</v>
      </c>
      <c r="U52" s="119">
        <f t="shared" si="1"/>
        <v>0</v>
      </c>
    </row>
    <row r="53" spans="1:21">
      <c r="A53" s="107"/>
      <c r="B53" s="108" t="s">
        <v>137</v>
      </c>
      <c r="C53" s="100">
        <f>COUNTIFS(เรื่องร้องเรียน!E:E,"1",เรื่องร้องเรียน!AO:AO,"5",เรื่องร้องเรียน!AN:AN,"ทองหล่อ")</f>
        <v>0</v>
      </c>
      <c r="D53" s="101">
        <f>COUNTIFS(เรื่องร้องเรียน!E:E,"1",เรื่องร้องเรียน!AO:AO,"5",เรื่องร้องเรียน!AN:AN,"ทองหล่อ",เรื่องร้องเรียน!CL:CL,"1")</f>
        <v>0</v>
      </c>
      <c r="E53" s="101">
        <f>COUNTIFS(เรื่องร้องเรียน!E:E,"2",เรื่องร้องเรียน!AO:AO,"5",เรื่องร้องเรียน!AN:AN,"ทองหล่อ")</f>
        <v>0</v>
      </c>
      <c r="F53" s="101">
        <f>COUNTIFS(เรื่องร้องเรียน!E:E,"2",เรื่องร้องเรียน!AO:AO,"5",เรื่องร้องเรียน!AN:AN,"ทองหล่อ",เรื่องร้องเรียน!CL:CL,"1")</f>
        <v>0</v>
      </c>
      <c r="G53" s="101">
        <f>COUNTIFS(เรื่องร้องเรียน!E:E,"3",เรื่องร้องเรียน!AO:AO,"5",เรื่องร้องเรียน!AN:AN,"ทองหล่อ")</f>
        <v>0</v>
      </c>
      <c r="H53" s="101">
        <f>COUNTIFS(เรื่องร้องเรียน!E:E,"3",เรื่องร้องเรียน!AO:AO,"5",เรื่องร้องเรียน!AN:AN,"ทองหล่อ",เรื่องร้องเรียน!CL:CL,"1")</f>
        <v>0</v>
      </c>
      <c r="I53" s="101">
        <f>COUNTIFS(เรื่องร้องเรียน!E:E,"4",เรื่องร้องเรียน!AO:AO,"5",เรื่องร้องเรียน!AN:AN,"ทองหล่อ")</f>
        <v>0</v>
      </c>
      <c r="J53" s="101">
        <f>COUNTIFS(เรื่องร้องเรียน!E:E,"4",เรื่องร้องเรียน!AO:AO,"5",เรื่องร้องเรียน!AN:AN,"ทองหล่อ",เรื่องร้องเรียน!CL:CL,"1")</f>
        <v>0</v>
      </c>
      <c r="K53" s="102"/>
      <c r="L53" s="102"/>
      <c r="M53" s="101">
        <f t="shared" si="3"/>
        <v>0</v>
      </c>
      <c r="N53" s="103">
        <f t="shared" si="3"/>
        <v>0</v>
      </c>
      <c r="O53" s="104">
        <f>COUNTIFS(เรื่องร้องเรียน!E:E,"1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P53" s="101">
        <f>COUNTIFS(เรื่องร้องเรียน!E:E,"2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Q53" s="101">
        <f>COUNTIFS(เรื่องร้องเรียน!E:E,"3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R53" s="101">
        <f>COUNTIFS(เรื่องร้องเรียน!E:E,"4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S53" s="102"/>
      <c r="T53" s="109">
        <f t="shared" si="4"/>
        <v>0</v>
      </c>
      <c r="U53" s="110">
        <f t="shared" si="1"/>
        <v>0</v>
      </c>
    </row>
    <row r="54" spans="1:21">
      <c r="A54" s="107"/>
      <c r="B54" s="108" t="s">
        <v>103</v>
      </c>
      <c r="C54" s="100">
        <f>COUNTIFS(เรื่องร้องเรียน!E:E,"1",เรื่องร้องเรียน!AO:AO,"5",เรื่องร้องเรียน!AN:AN,"ท่าเรือ")</f>
        <v>0</v>
      </c>
      <c r="D54" s="101">
        <f>COUNTIFS(เรื่องร้องเรียน!E:E,"1",เรื่องร้องเรียน!AO:AO,"5",เรื่องร้องเรียน!AN:AN,"ท่าเรือ",เรื่องร้องเรียน!CL:CL,"1")</f>
        <v>0</v>
      </c>
      <c r="E54" s="101">
        <f>COUNTIFS(เรื่องร้องเรียน!E:E,"2",เรื่องร้องเรียน!AO:AO,"5",เรื่องร้องเรียน!AN:AN,"ท่าเรือ")</f>
        <v>0</v>
      </c>
      <c r="F54" s="101">
        <f>COUNTIFS(เรื่องร้องเรียน!E:E,"2",เรื่องร้องเรียน!AO:AO,"5",เรื่องร้องเรียน!AN:AN,"ท่าเรือ",เรื่องร้องเรียน!CL:CL,"1")</f>
        <v>0</v>
      </c>
      <c r="G54" s="101">
        <f>COUNTIFS(เรื่องร้องเรียน!E:E,"3",เรื่องร้องเรียน!AO:AO,"5",เรื่องร้องเรียน!AN:AN,"ท่าเรือ")</f>
        <v>0</v>
      </c>
      <c r="H54" s="101">
        <f>COUNTIFS(เรื่องร้องเรียน!E:E,"3",เรื่องร้องเรียน!AO:AO,"5",เรื่องร้องเรียน!AN:AN,"ท่าเรือ",เรื่องร้องเรียน!CL:CL,"1")</f>
        <v>0</v>
      </c>
      <c r="I54" s="101">
        <f>COUNTIFS(เรื่องร้องเรียน!E:E,"4",เรื่องร้องเรียน!AO:AO,"5",เรื่องร้องเรียน!AN:AN,"ท่าเรือ")</f>
        <v>0</v>
      </c>
      <c r="J54" s="101">
        <f>COUNTIFS(เรื่องร้องเรียน!E:E,"4",เรื่องร้องเรียน!AO:AO,"5",เรื่องร้องเรียน!AN:AN,"ท่าเรือ",เรื่องร้องเรียน!CL:CL,"1")</f>
        <v>0</v>
      </c>
      <c r="K54" s="102"/>
      <c r="L54" s="102"/>
      <c r="M54" s="101">
        <f t="shared" si="3"/>
        <v>0</v>
      </c>
      <c r="N54" s="103">
        <f t="shared" si="3"/>
        <v>0</v>
      </c>
      <c r="O54" s="104">
        <f>COUNTIFS(เรื่องร้องเรียน!E:E,"1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P54" s="101">
        <f>COUNTIFS(เรื่องร้องเรียน!E:E,"2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Q54" s="101">
        <f>COUNTIFS(เรื่องร้องเรียน!E:E,"3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R54" s="101">
        <f>COUNTIFS(เรื่องร้องเรียน!E:E,"4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S54" s="102"/>
      <c r="T54" s="109">
        <f t="shared" si="4"/>
        <v>0</v>
      </c>
      <c r="U54" s="110">
        <f t="shared" si="1"/>
        <v>0</v>
      </c>
    </row>
    <row r="55" spans="1:21">
      <c r="A55" s="107"/>
      <c r="B55" s="108" t="s">
        <v>142</v>
      </c>
      <c r="C55" s="100">
        <f>COUNTIFS(เรื่องร้องเรียน!E:E,"1",เรื่องร้องเรียน!AO:AO,"5",เรื่องร้องเรียน!AN:AN,"ทุ่งมหาเมฆ")</f>
        <v>0</v>
      </c>
      <c r="D55" s="101">
        <f>COUNTIFS(เรื่องร้องเรียน!E:E,"1",เรื่องร้องเรียน!AO:AO,"5",เรื่องร้องเรียน!AN:AN,"ทุ่งมหาเมฆ",เรื่องร้องเรียน!CL:CL,"1")</f>
        <v>0</v>
      </c>
      <c r="E55" s="101">
        <f>COUNTIFS(เรื่องร้องเรียน!E:E,"2",เรื่องร้องเรียน!AO:AO,"5",เรื่องร้องเรียน!AN:AN,"ทุ่งมหาเมฆ")</f>
        <v>0</v>
      </c>
      <c r="F55" s="101">
        <f>COUNTIFS(เรื่องร้องเรียน!E:E,"2",เรื่องร้องเรียน!AO:AO,"5",เรื่องร้องเรียน!AN:AN,"ทุ่งมหาเมฆ",เรื่องร้องเรียน!CL:CL,"1")</f>
        <v>0</v>
      </c>
      <c r="G55" s="101">
        <f>COUNTIFS(เรื่องร้องเรียน!E:E,"3",เรื่องร้องเรียน!AO:AO,"5",เรื่องร้องเรียน!AN:AN,"ทุ่งมหาเมฆ")</f>
        <v>0</v>
      </c>
      <c r="H55" s="101">
        <f>COUNTIFS(เรื่องร้องเรียน!E:E,"3",เรื่องร้องเรียน!AO:AO,"5",เรื่องร้องเรียน!AN:AN,"ทุ่งมหาเมฆ",เรื่องร้องเรียน!CL:CL,"1")</f>
        <v>0</v>
      </c>
      <c r="I55" s="101">
        <f>COUNTIFS(เรื่องร้องเรียน!E:E,"4",เรื่องร้องเรียน!AO:AO,"5",เรื่องร้องเรียน!AN:AN,"ทุ่งมหาเมฆ")</f>
        <v>0</v>
      </c>
      <c r="J55" s="101">
        <f>COUNTIFS(เรื่องร้องเรียน!E:E,"4",เรื่องร้องเรียน!AO:AO,"5",เรื่องร้องเรียน!AN:AN,"ทุ่งมหาเมฆ",เรื่องร้องเรียน!CL:CL,"1")</f>
        <v>0</v>
      </c>
      <c r="K55" s="102"/>
      <c r="L55" s="102"/>
      <c r="M55" s="101">
        <f t="shared" si="3"/>
        <v>0</v>
      </c>
      <c r="N55" s="103">
        <f t="shared" si="3"/>
        <v>0</v>
      </c>
      <c r="O55" s="104">
        <f>COUNTIFS(เรื่องร้องเรียน!E:E,"1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P55" s="101">
        <f>COUNTIFS(เรื่องร้องเรียน!E:E,"2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Q55" s="101">
        <f>COUNTIFS(เรื่องร้องเรียน!E:E,"3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R55" s="101">
        <f>COUNTIFS(เรื่องร้องเรียน!E:E,"4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S55" s="102"/>
      <c r="T55" s="109">
        <f t="shared" si="4"/>
        <v>0</v>
      </c>
      <c r="U55" s="110">
        <f t="shared" si="1"/>
        <v>0</v>
      </c>
    </row>
    <row r="56" spans="1:21">
      <c r="A56" s="107"/>
      <c r="B56" s="108" t="s">
        <v>108</v>
      </c>
      <c r="C56" s="100">
        <f>COUNTIFS(เรื่องร้องเรียน!E:E,"1",เรื่องร้องเรียน!AO:AO,"5",เรื่องร้องเรียน!AN:AN,"บางนา")</f>
        <v>0</v>
      </c>
      <c r="D56" s="101">
        <f>COUNTIFS(เรื่องร้องเรียน!E:E,"1",เรื่องร้องเรียน!AO:AO,"5",เรื่องร้องเรียน!AN:AN,"บางนา",เรื่องร้องเรียน!CL:CL,"1")</f>
        <v>0</v>
      </c>
      <c r="E56" s="101">
        <f>COUNTIFS(เรื่องร้องเรียน!E:E,"2",เรื่องร้องเรียน!AO:AO,"5",เรื่องร้องเรียน!AN:AN,"บางนา")</f>
        <v>0</v>
      </c>
      <c r="F56" s="101">
        <f>COUNTIFS(เรื่องร้องเรียน!E:E,"2",เรื่องร้องเรียน!AO:AO,"5",เรื่องร้องเรียน!AN:AN,"บางนา",เรื่องร้องเรียน!CL:CL,"1")</f>
        <v>0</v>
      </c>
      <c r="G56" s="101">
        <f>COUNTIFS(เรื่องร้องเรียน!E:E,"3",เรื่องร้องเรียน!AO:AO,"5",เรื่องร้องเรียน!AN:AN,"บางนา")</f>
        <v>0</v>
      </c>
      <c r="H56" s="101">
        <f>COUNTIFS(เรื่องร้องเรียน!E:E,"3",เรื่องร้องเรียน!AO:AO,"5",เรื่องร้องเรียน!AN:AN,"บางนา",เรื่องร้องเรียน!CL:CL,"1")</f>
        <v>0</v>
      </c>
      <c r="I56" s="101">
        <f>COUNTIFS(เรื่องร้องเรียน!E:E,"4",เรื่องร้องเรียน!AO:AO,"5",เรื่องร้องเรียน!AN:AN,"บางนา")</f>
        <v>0</v>
      </c>
      <c r="J56" s="101">
        <f>COUNTIFS(เรื่องร้องเรียน!E:E,"4",เรื่องร้องเรียน!AO:AO,"5",เรื่องร้องเรียน!AN:AN,"บางนา",เรื่องร้องเรียน!CL:CL,"1")</f>
        <v>0</v>
      </c>
      <c r="K56" s="102"/>
      <c r="L56" s="102"/>
      <c r="M56" s="101">
        <f t="shared" si="3"/>
        <v>0</v>
      </c>
      <c r="N56" s="103">
        <f t="shared" si="3"/>
        <v>0</v>
      </c>
      <c r="O56" s="104">
        <f>COUNTIFS(เรื่องร้องเรียน!E:E,"1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P56" s="101">
        <f>COUNTIFS(เรื่องร้องเรียน!E:E,"2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Q56" s="101">
        <f>COUNTIFS(เรื่องร้องเรียน!E:E,"3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R56" s="101">
        <f>COUNTIFS(เรื่องร้องเรียน!E:E,"4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S56" s="102"/>
      <c r="T56" s="109">
        <f t="shared" si="4"/>
        <v>0</v>
      </c>
      <c r="U56" s="110">
        <f t="shared" si="1"/>
        <v>0</v>
      </c>
    </row>
    <row r="57" spans="1:21">
      <c r="A57" s="107"/>
      <c r="B57" s="108" t="s">
        <v>180</v>
      </c>
      <c r="C57" s="100">
        <f>COUNTIFS(เรื่องร้องเรียน!E:E,"1",เรื่องร้องเรียน!AO:AO,"5",เรื่องร้องเรียน!AN:AN,"บางโพงพาง")</f>
        <v>0</v>
      </c>
      <c r="D57" s="101">
        <f>COUNTIFS(เรื่องร้องเรียน!E:E,"1",เรื่องร้องเรียน!AO:AO,"5",เรื่องร้องเรียน!AN:AN,"บางโพงพาง",เรื่องร้องเรียน!CL:CL,"1")</f>
        <v>0</v>
      </c>
      <c r="E57" s="101">
        <f>COUNTIFS(เรื่องร้องเรียน!E:E,"2",เรื่องร้องเรียน!AO:AO,"5",เรื่องร้องเรียน!AN:AN,"บางโพงพาง")</f>
        <v>0</v>
      </c>
      <c r="F57" s="101">
        <f>COUNTIFS(เรื่องร้องเรียน!E:E,"2",เรื่องร้องเรียน!AO:AO,"5",เรื่องร้องเรียน!AN:AN,"บางโพงพาง",เรื่องร้องเรียน!CL:CL,"1")</f>
        <v>0</v>
      </c>
      <c r="G57" s="101">
        <f>COUNTIFS(เรื่องร้องเรียน!E:E,"3",เรื่องร้องเรียน!AO:AO,"5",เรื่องร้องเรียน!AN:AN,"บางโพงพาง")</f>
        <v>0</v>
      </c>
      <c r="H57" s="101">
        <f>COUNTIFS(เรื่องร้องเรียน!E:E,"3",เรื่องร้องเรียน!AO:AO,"5",เรื่องร้องเรียน!AN:AN,"บางโพงพาง",เรื่องร้องเรียน!CL:CL,"1")</f>
        <v>0</v>
      </c>
      <c r="I57" s="101">
        <f>COUNTIFS(เรื่องร้องเรียน!E:E,"4",เรื่องร้องเรียน!AO:AO,"5",เรื่องร้องเรียน!AN:AN,"บางโพงพาง")</f>
        <v>0</v>
      </c>
      <c r="J57" s="101">
        <f>COUNTIFS(เรื่องร้องเรียน!E:E,"4",เรื่องร้องเรียน!AO:AO,"5",เรื่องร้องเรียน!AN:AN,"บางโพงพาง",เรื่องร้องเรียน!CL:CL,"1")</f>
        <v>0</v>
      </c>
      <c r="K57" s="102"/>
      <c r="L57" s="102"/>
      <c r="M57" s="101">
        <f t="shared" si="3"/>
        <v>0</v>
      </c>
      <c r="N57" s="103">
        <f t="shared" si="3"/>
        <v>0</v>
      </c>
      <c r="O57" s="104">
        <f>COUNTIFS(เรื่องร้องเรียน!E:E,"1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P57" s="101">
        <f>COUNTIFS(เรื่องร้องเรียน!E:E,"2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Q57" s="101">
        <f>COUNTIFS(เรื่องร้องเรียน!E:E,"3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R57" s="101">
        <f>COUNTIFS(เรื่องร้องเรียน!E:E,"4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S57" s="102"/>
      <c r="T57" s="109">
        <f t="shared" si="4"/>
        <v>0</v>
      </c>
      <c r="U57" s="110">
        <f t="shared" si="1"/>
        <v>0</v>
      </c>
    </row>
    <row r="58" spans="1:21">
      <c r="A58" s="107"/>
      <c r="B58" s="108" t="s">
        <v>115</v>
      </c>
      <c r="C58" s="100">
        <f>COUNTIFS(เรื่องร้องเรียน!E:E,"1",เรื่องร้องเรียน!AO:AO,"5",เรื่องร้องเรียน!AN:AN,"พระโขนง")</f>
        <v>0</v>
      </c>
      <c r="D58" s="101">
        <f>COUNTIFS(เรื่องร้องเรียน!E:E,"1",เรื่องร้องเรียน!AO:AO,"5",เรื่องร้องเรียน!AN:AN,"พระโขนง",เรื่องร้องเรียน!CL:CL,"1")</f>
        <v>0</v>
      </c>
      <c r="E58" s="101">
        <f>COUNTIFS(เรื่องร้องเรียน!E:E,"2",เรื่องร้องเรียน!AO:AO,"5",เรื่องร้องเรียน!AN:AN,"พระโขนง")</f>
        <v>0</v>
      </c>
      <c r="F58" s="101">
        <f>COUNTIFS(เรื่องร้องเรียน!E:E,"2",เรื่องร้องเรียน!AO:AO,"5",เรื่องร้องเรียน!AN:AN,"พระโขนง",เรื่องร้องเรียน!CL:CL,"1")</f>
        <v>0</v>
      </c>
      <c r="G58" s="101">
        <f>COUNTIFS(เรื่องร้องเรียน!E:E,"3",เรื่องร้องเรียน!AO:AO,"5",เรื่องร้องเรียน!AN:AN,"พระโขนง")</f>
        <v>0</v>
      </c>
      <c r="H58" s="101">
        <f>COUNTIFS(เรื่องร้องเรียน!E:E,"3",เรื่องร้องเรียน!AO:AO,"5",เรื่องร้องเรียน!AN:AN,"พระโขนง",เรื่องร้องเรียน!CL:CL,"1")</f>
        <v>0</v>
      </c>
      <c r="I58" s="101">
        <f>COUNTIFS(เรื่องร้องเรียน!E:E,"4",เรื่องร้องเรียน!AO:AO,"5",เรื่องร้องเรียน!AN:AN,"พระโขนง")</f>
        <v>0</v>
      </c>
      <c r="J58" s="101">
        <f>COUNTIFS(เรื่องร้องเรียน!E:E,"4",เรื่องร้องเรียน!AO:AO,"5",เรื่องร้องเรียน!AN:AN,"พระโขนง",เรื่องร้องเรียน!CL:CL,"1")</f>
        <v>0</v>
      </c>
      <c r="K58" s="102"/>
      <c r="L58" s="102"/>
      <c r="M58" s="101">
        <f t="shared" si="3"/>
        <v>0</v>
      </c>
      <c r="N58" s="103">
        <f t="shared" si="3"/>
        <v>0</v>
      </c>
      <c r="O58" s="104">
        <f>COUNTIFS(เรื่องร้องเรียน!E:E,"1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P58" s="101">
        <f>COUNTIFS(เรื่องร้องเรียน!E:E,"2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Q58" s="101">
        <f>COUNTIFS(เรื่องร้องเรียน!E:E,"3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R58" s="101">
        <f>COUNTIFS(เรื่องร้องเรียน!E:E,"4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S58" s="102"/>
      <c r="T58" s="109">
        <f t="shared" si="4"/>
        <v>0</v>
      </c>
      <c r="U58" s="110">
        <f t="shared" si="1"/>
        <v>0</v>
      </c>
    </row>
    <row r="59" spans="1:21">
      <c r="A59" s="107"/>
      <c r="B59" s="108" t="s">
        <v>98</v>
      </c>
      <c r="C59" s="100">
        <f>COUNTIFS(เรื่องร้องเรียน!E:E,"1",เรื่องร้องเรียน!AO:AO,"5",เรื่องร้องเรียน!AN:AN,"ลุมพินี")</f>
        <v>0</v>
      </c>
      <c r="D59" s="101">
        <f>COUNTIFS(เรื่องร้องเรียน!E:E,"1",เรื่องร้องเรียน!AO:AO,"5",เรื่องร้องเรียน!AN:AN,"ลุมพินี",เรื่องร้องเรียน!CL:CL,"1")</f>
        <v>0</v>
      </c>
      <c r="E59" s="101">
        <f>COUNTIFS(เรื่องร้องเรียน!E:E,"2",เรื่องร้องเรียน!AO:AO,"5",เรื่องร้องเรียน!AN:AN,"ลุมพินี")</f>
        <v>0</v>
      </c>
      <c r="F59" s="101">
        <f>COUNTIFS(เรื่องร้องเรียน!E:E,"2",เรื่องร้องเรียน!AO:AO,"5",เรื่องร้องเรียน!AN:AN,"ลุมพินี",เรื่องร้องเรียน!CL:CL,"1")</f>
        <v>0</v>
      </c>
      <c r="G59" s="101">
        <f>COUNTIFS(เรื่องร้องเรียน!E:E,"3",เรื่องร้องเรียน!AO:AO,"5",เรื่องร้องเรียน!AN:AN,"ลุมพินี")</f>
        <v>0</v>
      </c>
      <c r="H59" s="101">
        <f>COUNTIFS(เรื่องร้องเรียน!E:E,"3",เรื่องร้องเรียน!AO:AO,"5",เรื่องร้องเรียน!AN:AN,"ลุมพินี",เรื่องร้องเรียน!CL:CL,"1")</f>
        <v>0</v>
      </c>
      <c r="I59" s="101">
        <f>COUNTIFS(เรื่องร้องเรียน!E:E,"4",เรื่องร้องเรียน!AO:AO,"5",เรื่องร้องเรียน!AN:AN,"ลุมพินี")</f>
        <v>0</v>
      </c>
      <c r="J59" s="101">
        <f>COUNTIFS(เรื่องร้องเรียน!E:E,"4",เรื่องร้องเรียน!AO:AO,"5",เรื่องร้องเรียน!AN:AN,"ลุมพินี",เรื่องร้องเรียน!CL:CL,"1")</f>
        <v>0</v>
      </c>
      <c r="K59" s="102"/>
      <c r="L59" s="102"/>
      <c r="M59" s="101">
        <f t="shared" si="3"/>
        <v>0</v>
      </c>
      <c r="N59" s="103">
        <f t="shared" si="3"/>
        <v>0</v>
      </c>
      <c r="O59" s="104">
        <f>COUNTIFS(เรื่องร้องเรียน!E:E,"1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P59" s="101">
        <f>COUNTIFS(เรื่องร้องเรียน!E:E,"2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Q59" s="101">
        <f>COUNTIFS(เรื่องร้องเรียน!E:E,"3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R59" s="101">
        <f>COUNTIFS(เรื่องร้องเรียน!E:E,"4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S59" s="102"/>
      <c r="T59" s="109">
        <f t="shared" si="4"/>
        <v>0</v>
      </c>
      <c r="U59" s="110">
        <f t="shared" si="1"/>
        <v>0</v>
      </c>
    </row>
    <row r="60" spans="1:21" ht="21.6" thickBot="1">
      <c r="A60" s="111"/>
      <c r="B60" s="112" t="s">
        <v>104</v>
      </c>
      <c r="C60" s="113">
        <f>COUNTIFS(เรื่องร้องเรียน!E:E,"1",เรื่องร้องเรียน!AO:AO,"5",เรื่องร้องเรียน!AN:AN,"วัดพระยาไกร")</f>
        <v>0</v>
      </c>
      <c r="D60" s="114">
        <f>COUNTIFS(เรื่องร้องเรียน!E:E,"1",เรื่องร้องเรียน!AO:AO,"5",เรื่องร้องเรียน!AN:AN,"วัดพระยาไกร",เรื่องร้องเรียน!CL:CL,"1")</f>
        <v>0</v>
      </c>
      <c r="E60" s="114">
        <f>COUNTIFS(เรื่องร้องเรียน!E:E,"2",เรื่องร้องเรียน!AO:AO,"5",เรื่องร้องเรียน!AN:AN,"วัดพระยาไกร")</f>
        <v>0</v>
      </c>
      <c r="F60" s="114">
        <f>COUNTIFS(เรื่องร้องเรียน!E:E,"2",เรื่องร้องเรียน!AO:AO,"5",เรื่องร้องเรียน!AN:AN,"วัดพระยาไกร",เรื่องร้องเรียน!CL:CL,"1")</f>
        <v>0</v>
      </c>
      <c r="G60" s="114">
        <f>COUNTIFS(เรื่องร้องเรียน!E:E,"3",เรื่องร้องเรียน!AO:AO,"5",เรื่องร้องเรียน!AN:AN,"วัดพระยาไกร")</f>
        <v>0</v>
      </c>
      <c r="H60" s="114">
        <f>COUNTIFS(เรื่องร้องเรียน!E:E,"3",เรื่องร้องเรียน!AO:AO,"5",เรื่องร้องเรียน!AN:AN,"วัดพระยาไกร",เรื่องร้องเรียน!CL:CL,"1")</f>
        <v>0</v>
      </c>
      <c r="I60" s="114">
        <f>COUNTIFS(เรื่องร้องเรียน!E:E,"4",เรื่องร้องเรียน!AO:AO,"5",เรื่องร้องเรียน!AN:AN,"วัดพระยาไกร")</f>
        <v>0</v>
      </c>
      <c r="J60" s="114">
        <f>COUNTIFS(เรื่องร้องเรียน!E:E,"4",เรื่องร้องเรียน!AO:AO,"5",เรื่องร้องเรียน!AN:AN,"วัดพระยาไกร",เรื่องร้องเรียน!CL:CL,"1")</f>
        <v>0</v>
      </c>
      <c r="K60" s="115"/>
      <c r="L60" s="115"/>
      <c r="M60" s="101">
        <f t="shared" si="3"/>
        <v>0</v>
      </c>
      <c r="N60" s="103">
        <f t="shared" si="3"/>
        <v>0</v>
      </c>
      <c r="O60" s="116">
        <f>COUNTIFS(เรื่องร้องเรียน!E:E,"1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P60" s="114">
        <f>COUNTIFS(เรื่องร้องเรียน!E:E,"2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Q60" s="114">
        <f>COUNTIFS(เรื่องร้องเรียน!E:E,"3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R60" s="114">
        <f>COUNTIFS(เรื่องร้องเรียน!E:E,"4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S60" s="115"/>
      <c r="T60" s="117">
        <f t="shared" si="4"/>
        <v>0</v>
      </c>
      <c r="U60" s="118">
        <f t="shared" si="1"/>
        <v>0</v>
      </c>
    </row>
    <row r="61" spans="1:21" ht="21.6" thickBot="1">
      <c r="A61" s="89">
        <v>6</v>
      </c>
      <c r="B61" s="90"/>
      <c r="C61" s="91">
        <f>SUM(C62:C69)</f>
        <v>0</v>
      </c>
      <c r="D61" s="92">
        <f t="shared" ref="D61:R61" si="9">SUM(D62:D69)</f>
        <v>0</v>
      </c>
      <c r="E61" s="92">
        <f t="shared" si="9"/>
        <v>0</v>
      </c>
      <c r="F61" s="92">
        <f t="shared" si="9"/>
        <v>0</v>
      </c>
      <c r="G61" s="92">
        <f t="shared" si="9"/>
        <v>0</v>
      </c>
      <c r="H61" s="92">
        <f t="shared" si="9"/>
        <v>0</v>
      </c>
      <c r="I61" s="92">
        <f t="shared" si="9"/>
        <v>0</v>
      </c>
      <c r="J61" s="92">
        <f t="shared" si="9"/>
        <v>0</v>
      </c>
      <c r="K61" s="93"/>
      <c r="L61" s="93"/>
      <c r="M61" s="92">
        <f t="shared" si="3"/>
        <v>0</v>
      </c>
      <c r="N61" s="94">
        <f t="shared" si="3"/>
        <v>0</v>
      </c>
      <c r="O61" s="95">
        <f t="shared" si="9"/>
        <v>0</v>
      </c>
      <c r="P61" s="92">
        <f t="shared" si="9"/>
        <v>0</v>
      </c>
      <c r="Q61" s="92">
        <f t="shared" si="9"/>
        <v>0</v>
      </c>
      <c r="R61" s="92">
        <f t="shared" si="9"/>
        <v>0</v>
      </c>
      <c r="S61" s="93"/>
      <c r="T61" s="92">
        <f t="shared" si="4"/>
        <v>0</v>
      </c>
      <c r="U61" s="88">
        <f t="shared" si="1"/>
        <v>0</v>
      </c>
    </row>
    <row r="62" spans="1:21">
      <c r="A62" s="98"/>
      <c r="B62" s="99" t="s">
        <v>181</v>
      </c>
      <c r="C62" s="100">
        <f>COUNTIFS(เรื่องร้องเรียน!E:E,"1",เรื่องร้องเรียน!AO:AO,"6",เรื่องร้องเรียน!AN:AN,"จักรวรรดิ")</f>
        <v>0</v>
      </c>
      <c r="D62" s="101">
        <f>COUNTIFS(เรื่องร้องเรียน!E:E,"1",เรื่องร้องเรียน!AO:AO,"6",เรื่องร้องเรียน!AN:AN,"จักรวรรดิ",เรื่องร้องเรียน!CL:CL,"1")</f>
        <v>0</v>
      </c>
      <c r="E62" s="101">
        <f>COUNTIFS(เรื่องร้องเรียน!E:E,"2",เรื่องร้องเรียน!AO:AO,"6",เรื่องร้องเรียน!AN:AN,"จักรวรรดิ")</f>
        <v>0</v>
      </c>
      <c r="F62" s="101">
        <f>COUNTIFS(เรื่องร้องเรียน!E:E,"2",เรื่องร้องเรียน!AO:AO,"6",เรื่องร้องเรียน!AN:AN,"จักรวรรดิ",เรื่องร้องเรียน!CL:CL,"1")</f>
        <v>0</v>
      </c>
      <c r="G62" s="101">
        <f>COUNTIFS(เรื่องร้องเรียน!E:E,"3",เรื่องร้องเรียน!AO:AO,"6",เรื่องร้องเรียน!AN:AN,"จักรวรรดิ")</f>
        <v>0</v>
      </c>
      <c r="H62" s="101">
        <f>COUNTIFS(เรื่องร้องเรียน!E:E,"3",เรื่องร้องเรียน!AO:AO,"6",เรื่องร้องเรียน!AN:AN,"จักรวรรดิ",เรื่องร้องเรียน!CL:CL,"1")</f>
        <v>0</v>
      </c>
      <c r="I62" s="101">
        <f>COUNTIFS(เรื่องร้องเรียน!E:E,"4",เรื่องร้องเรียน!AO:AO,"6",เรื่องร้องเรียน!AN:AN,"จักรวรรดิ")</f>
        <v>0</v>
      </c>
      <c r="J62" s="101">
        <f>COUNTIFS(เรื่องร้องเรียน!E:E,"4",เรื่องร้องเรียน!AO:AO,"6",เรื่องร้องเรียน!AN:AN,"จักรวรรดิ",เรื่องร้องเรียน!CL:CL,"1")</f>
        <v>0</v>
      </c>
      <c r="K62" s="102"/>
      <c r="L62" s="102"/>
      <c r="M62" s="101">
        <f t="shared" si="3"/>
        <v>0</v>
      </c>
      <c r="N62" s="103">
        <f t="shared" si="3"/>
        <v>0</v>
      </c>
      <c r="O62" s="104">
        <f>COUNTIFS(เรื่องร้องเรียน!E:E,"1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P62" s="101">
        <f>COUNTIFS(เรื่องร้องเรียน!E:E,"2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Q62" s="101">
        <f>COUNTIFS(เรื่องร้องเรียน!E:E,"3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R62" s="101">
        <f>COUNTIFS(เรื่องร้องเรียน!E:E,"4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S62" s="102"/>
      <c r="T62" s="101">
        <f t="shared" si="4"/>
        <v>0</v>
      </c>
      <c r="U62" s="119">
        <f t="shared" si="1"/>
        <v>0</v>
      </c>
    </row>
    <row r="63" spans="1:21">
      <c r="A63" s="107"/>
      <c r="B63" s="108" t="s">
        <v>125</v>
      </c>
      <c r="C63" s="100">
        <f>COUNTIFS(เรื่องร้องเรียน!E:E,"1",เรื่องร้องเรียน!AO:AO,"6",เรื่องร้องเรียน!AN:AN,"บางรัก")</f>
        <v>0</v>
      </c>
      <c r="D63" s="101">
        <f>COUNTIFS(เรื่องร้องเรียน!E:E,"1",เรื่องร้องเรียน!AO:AO,"6",เรื่องร้องเรียน!AN:AN,"บางรัก",เรื่องร้องเรียน!CL:CL,"1")</f>
        <v>0</v>
      </c>
      <c r="E63" s="101">
        <f>COUNTIFS(เรื่องร้องเรียน!E:E,"2",เรื่องร้องเรียน!AO:AO,"6",เรื่องร้องเรียน!AN:AN,"บางรัก")</f>
        <v>0</v>
      </c>
      <c r="F63" s="101">
        <f>COUNTIFS(เรื่องร้องเรียน!E:E,"2",เรื่องร้องเรียน!AO:AO,"6",เรื่องร้องเรียน!AN:AN,"บางรัก",เรื่องร้องเรียน!CL:CL,"1")</f>
        <v>0</v>
      </c>
      <c r="G63" s="101">
        <f>COUNTIFS(เรื่องร้องเรียน!E:E,"3",เรื่องร้องเรียน!AO:AO,"6",เรื่องร้องเรียน!AN:AN,"บางรัก")</f>
        <v>0</v>
      </c>
      <c r="H63" s="101">
        <f>COUNTIFS(เรื่องร้องเรียน!E:E,"3",เรื่องร้องเรียน!AO:AO,"6",เรื่องร้องเรียน!AN:AN,"บางรัก",เรื่องร้องเรียน!CL:CL,"1")</f>
        <v>0</v>
      </c>
      <c r="I63" s="101">
        <f>COUNTIFS(เรื่องร้องเรียน!E:E,"4",เรื่องร้องเรียน!AO:AO,"6",เรื่องร้องเรียน!AN:AN,"บางรัก")</f>
        <v>0</v>
      </c>
      <c r="J63" s="101">
        <f>COUNTIFS(เรื่องร้องเรียน!E:E,"4",เรื่องร้องเรียน!AO:AO,"6",เรื่องร้องเรียน!AN:AN,"บางรัก",เรื่องร้องเรียน!CL:CL,"1")</f>
        <v>0</v>
      </c>
      <c r="K63" s="102"/>
      <c r="L63" s="102"/>
      <c r="M63" s="101">
        <f t="shared" si="3"/>
        <v>0</v>
      </c>
      <c r="N63" s="103">
        <f t="shared" si="3"/>
        <v>0</v>
      </c>
      <c r="O63" s="104">
        <f>COUNTIFS(เรื่องร้องเรียน!E:E,"1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P63" s="101">
        <f>COUNTIFS(เรื่องร้องเรียน!E:E,"2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Q63" s="101">
        <f>COUNTIFS(เรื่องร้องเรียน!E:E,"3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R63" s="101">
        <f>COUNTIFS(เรื่องร้องเรียน!E:E,"4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S63" s="102"/>
      <c r="T63" s="109">
        <f t="shared" si="4"/>
        <v>0</v>
      </c>
      <c r="U63" s="110">
        <f t="shared" si="1"/>
        <v>0</v>
      </c>
    </row>
    <row r="64" spans="1:21">
      <c r="A64" s="107"/>
      <c r="B64" s="108" t="s">
        <v>182</v>
      </c>
      <c r="C64" s="100">
        <f>COUNTIFS(เรื่องร้องเรียน!E:E,"1",เรื่องร้องเรียน!AO:AO,"6",เรื่องร้องเรียน!AN:AN,"ปทุมวัน")</f>
        <v>0</v>
      </c>
      <c r="D64" s="101">
        <f>COUNTIFS(เรื่องร้องเรียน!E:E,"1",เรื่องร้องเรียน!AO:AO,"6",เรื่องร้องเรียน!AN:AN,"ปทุมวัน",เรื่องร้องเรียน!CL:CL,"1")</f>
        <v>0</v>
      </c>
      <c r="E64" s="101">
        <f>COUNTIFS(เรื่องร้องเรียน!E:E,"2",เรื่องร้องเรียน!AO:AO,"6",เรื่องร้องเรียน!AN:AN,"ปทุมวัน")</f>
        <v>0</v>
      </c>
      <c r="F64" s="101">
        <f>COUNTIFS(เรื่องร้องเรียน!E:E,"2",เรื่องร้องเรียน!AO:AO,"6",เรื่องร้องเรียน!AN:AN,"ปทุมวัน",เรื่องร้องเรียน!CL:CL,"1")</f>
        <v>0</v>
      </c>
      <c r="G64" s="101">
        <f>COUNTIFS(เรื่องร้องเรียน!E:E,"3",เรื่องร้องเรียน!AO:AO,"6",เรื่องร้องเรียน!AN:AN,"ปทุมวัน")</f>
        <v>0</v>
      </c>
      <c r="H64" s="101">
        <f>COUNTIFS(เรื่องร้องเรียน!E:E,"3",เรื่องร้องเรียน!AO:AO,"6",เรื่องร้องเรียน!AN:AN,"ปทุมวัน",เรื่องร้องเรียน!CL:CL,"1")</f>
        <v>0</v>
      </c>
      <c r="I64" s="101">
        <f>COUNTIFS(เรื่องร้องเรียน!E:E,"4",เรื่องร้องเรียน!AO:AO,"6",เรื่องร้องเรียน!AN:AN,"ปทุมวัน")</f>
        <v>0</v>
      </c>
      <c r="J64" s="101">
        <f>COUNTIFS(เรื่องร้องเรียน!E:E,"4",เรื่องร้องเรียน!AO:AO,"6",เรื่องร้องเรียน!AN:AN,"ปทุมวัน",เรื่องร้องเรียน!CL:CL,"1")</f>
        <v>0</v>
      </c>
      <c r="K64" s="102"/>
      <c r="L64" s="102"/>
      <c r="M64" s="101">
        <f t="shared" si="3"/>
        <v>0</v>
      </c>
      <c r="N64" s="103">
        <f t="shared" si="3"/>
        <v>0</v>
      </c>
      <c r="O64" s="104">
        <f>COUNTIFS(เรื่องร้องเรียน!E:E,"1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P64" s="101">
        <f>COUNTIFS(เรื่องร้องเรียน!E:E,"2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Q64" s="101">
        <f>COUNTIFS(เรื่องร้องเรียน!E:E,"3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R64" s="101">
        <f>COUNTIFS(เรื่องร้องเรียน!E:E,"4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S64" s="102"/>
      <c r="T64" s="109">
        <f t="shared" si="4"/>
        <v>0</v>
      </c>
      <c r="U64" s="110">
        <f t="shared" si="1"/>
        <v>0</v>
      </c>
    </row>
    <row r="65" spans="1:21">
      <c r="A65" s="107"/>
      <c r="B65" s="108" t="s">
        <v>183</v>
      </c>
      <c r="C65" s="100">
        <f>COUNTIFS(เรื่องร้องเรียน!E:E,"1",เรื่องร้องเรียน!AO:AO,"6",เรื่องร้องเรียน!AN:AN,"พระราชวัง")</f>
        <v>0</v>
      </c>
      <c r="D65" s="101">
        <f>COUNTIFS(เรื่องร้องเรียน!E:E,"1",เรื่องร้องเรียน!AO:AO,"6",เรื่องร้องเรียน!AN:AN,"พระราชวัง",เรื่องร้องเรียน!CL:CL,"1")</f>
        <v>0</v>
      </c>
      <c r="E65" s="101">
        <f>COUNTIFS(เรื่องร้องเรียน!E:E,"2",เรื่องร้องเรียน!AO:AO,"6",เรื่องร้องเรียน!AN:AN,"พระราชวัง")</f>
        <v>0</v>
      </c>
      <c r="F65" s="101">
        <f>COUNTIFS(เรื่องร้องเรียน!E:E,"2",เรื่องร้องเรียน!AO:AO,"6",เรื่องร้องเรียน!AN:AN,"พระราชวัง",เรื่องร้องเรียน!CL:CL,"1")</f>
        <v>0</v>
      </c>
      <c r="G65" s="101">
        <f>COUNTIFS(เรื่องร้องเรียน!E:E,"3",เรื่องร้องเรียน!AO:AO,"6",เรื่องร้องเรียน!AN:AN,"พระราชวัง")</f>
        <v>0</v>
      </c>
      <c r="H65" s="101">
        <f>COUNTIFS(เรื่องร้องเรียน!E:E,"3",เรื่องร้องเรียน!AO:AO,"6",เรื่องร้องเรียน!AN:AN,"พระราชวัง",เรื่องร้องเรียน!CL:CL,"1")</f>
        <v>0</v>
      </c>
      <c r="I65" s="101">
        <f>COUNTIFS(เรื่องร้องเรียน!E:E,"4",เรื่องร้องเรียน!AO:AO,"6",เรื่องร้องเรียน!AN:AN,"พระราชวัง")</f>
        <v>0</v>
      </c>
      <c r="J65" s="101">
        <f>COUNTIFS(เรื่องร้องเรียน!E:E,"4",เรื่องร้องเรียน!AO:AO,"6",เรื่องร้องเรียน!AN:AN,"พระราชวัง",เรื่องร้องเรียน!CL:CL,"1")</f>
        <v>0</v>
      </c>
      <c r="K65" s="102"/>
      <c r="L65" s="102"/>
      <c r="M65" s="101">
        <f t="shared" si="3"/>
        <v>0</v>
      </c>
      <c r="N65" s="103">
        <f t="shared" si="3"/>
        <v>0</v>
      </c>
      <c r="O65" s="104">
        <f>COUNTIFS(เรื่องร้องเรียน!E:E,"1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P65" s="101">
        <f>COUNTIFS(เรื่องร้องเรียน!E:E,"2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Q65" s="101">
        <f>COUNTIFS(เรื่องร้องเรียน!E:E,"3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R65" s="101">
        <f>COUNTIFS(เรื่องร้องเรียน!E:E,"4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S65" s="102"/>
      <c r="T65" s="109">
        <f t="shared" si="4"/>
        <v>0</v>
      </c>
      <c r="U65" s="110">
        <f t="shared" si="1"/>
        <v>0</v>
      </c>
    </row>
    <row r="66" spans="1:21">
      <c r="A66" s="107"/>
      <c r="B66" s="108" t="s">
        <v>130</v>
      </c>
      <c r="C66" s="100">
        <f>COUNTIFS(เรื่องร้องเรียน!E:E,"1",เรื่องร้องเรียน!AO:AO,"6",เรื่องร้องเรียน!AN:AN,"พลับพลาไชย 1")</f>
        <v>0</v>
      </c>
      <c r="D66" s="101">
        <f>COUNTIFS(เรื่องร้องเรียน!E:E,"1",เรื่องร้องเรียน!AO:AO,"6",เรื่องร้องเรียน!AN:AN,"พลับพลาไชย 1",เรื่องร้องเรียน!CL:CL,"1")</f>
        <v>0</v>
      </c>
      <c r="E66" s="101">
        <f>COUNTIFS(เรื่องร้องเรียน!E:E,"2",เรื่องร้องเรียน!AO:AO,"6",เรื่องร้องเรียน!AN:AN,"พลับพลาไชย 1")</f>
        <v>0</v>
      </c>
      <c r="F66" s="101">
        <f>COUNTIFS(เรื่องร้องเรียน!E:E,"2",เรื่องร้องเรียน!AO:AO,"6",เรื่องร้องเรียน!AN:AN,"พลับพลาไชย 1",เรื่องร้องเรียน!CL:CL,"1")</f>
        <v>0</v>
      </c>
      <c r="G66" s="101">
        <f>COUNTIFS(เรื่องร้องเรียน!E:E,"3",เรื่องร้องเรียน!AO:AO,"6",เรื่องร้องเรียน!AN:AN,"พลับพลาไชย 1")</f>
        <v>0</v>
      </c>
      <c r="H66" s="101">
        <f>COUNTIFS(เรื่องร้องเรียน!E:E,"3",เรื่องร้องเรียน!AO:AO,"6",เรื่องร้องเรียน!AN:AN,"พลับพลาไชย 1",เรื่องร้องเรียน!CL:CL,"1")</f>
        <v>0</v>
      </c>
      <c r="I66" s="101">
        <f>COUNTIFS(เรื่องร้องเรียน!E:E,"4",เรื่องร้องเรียน!AO:AO,"6",เรื่องร้องเรียน!AN:AN,"พลับพลาไชย 1")</f>
        <v>0</v>
      </c>
      <c r="J66" s="101">
        <f>COUNTIFS(เรื่องร้องเรียน!E:E,"4",เรื่องร้องเรียน!AO:AO,"6",เรื่องร้องเรียน!AN:AN,"พลับพลาไชย 1",เรื่องร้องเรียน!CL:CL,"1")</f>
        <v>0</v>
      </c>
      <c r="K66" s="102"/>
      <c r="L66" s="102"/>
      <c r="M66" s="101">
        <f t="shared" si="3"/>
        <v>0</v>
      </c>
      <c r="N66" s="103">
        <f t="shared" si="3"/>
        <v>0</v>
      </c>
      <c r="O66" s="104">
        <f>COUNTIFS(เรื่องร้องเรียน!E:E,"1",เรื่องร้องเรียน!AO:AO,"6",เรื่องร้องเรียน!AN:AN,"พลับพลาไชย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P66" s="101">
        <f>COUNTIFS(เรื่องร้องเรียน!E:E,"2",เรื่องร้องเรียน!AO:AO,"6",เรื่องร้องเรียน!AN:AN,"พลับพลาไชย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Q66" s="101">
        <f>COUNTIFS(เรื่องร้องเรียน!E:E,"3",เรื่องร้องเรียน!AO:AO,"6",เรื่องร้องเรียน!AN:AN,"พลับพลาไชย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R66" s="101">
        <f>COUNTIFS(เรื่องร้องเรียน!E:E,"4",เรื่องร้องเรียน!AO:AO,"6",เรื่องร้องเรียน!AN:AN,"พลับพลาไชย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S66" s="102"/>
      <c r="T66" s="109">
        <f t="shared" si="4"/>
        <v>0</v>
      </c>
      <c r="U66" s="110">
        <f t="shared" si="1"/>
        <v>0</v>
      </c>
    </row>
    <row r="67" spans="1:21">
      <c r="A67" s="107"/>
      <c r="B67" s="108" t="s">
        <v>139</v>
      </c>
      <c r="C67" s="100">
        <f>COUNTIFS(เรื่องร้องเรียน!E:E,"1",เรื่องร้องเรียน!AO:AO,"6",เรื่องร้องเรียน!AN:AN,"พลับพลาไชย 2")</f>
        <v>0</v>
      </c>
      <c r="D67" s="101">
        <f>COUNTIFS(เรื่องร้องเรียน!E:E,"1",เรื่องร้องเรียน!AO:AO,"6",เรื่องร้องเรียน!AN:AN,"พลับพลาไชย 2",เรื่องร้องเรียน!CL:CL,"1")</f>
        <v>0</v>
      </c>
      <c r="E67" s="101">
        <f>COUNTIFS(เรื่องร้องเรียน!E:E,"2",เรื่องร้องเรียน!AO:AO,"6",เรื่องร้องเรียน!AN:AN,"พลับพลาไชย 2")</f>
        <v>0</v>
      </c>
      <c r="F67" s="101">
        <f>COUNTIFS(เรื่องร้องเรียน!E:E,"2",เรื่องร้องเรียน!AO:AO,"6",เรื่องร้องเรียน!AN:AN,"พลับพลาไชย 2",เรื่องร้องเรียน!CL:CL,"1")</f>
        <v>0</v>
      </c>
      <c r="G67" s="101">
        <f>COUNTIFS(เรื่องร้องเรียน!E:E,"3",เรื่องร้องเรียน!AO:AO,"6",เรื่องร้องเรียน!AN:AN,"พลับพลาไชย 2")</f>
        <v>0</v>
      </c>
      <c r="H67" s="101">
        <f>COUNTIFS(เรื่องร้องเรียน!E:E,"3",เรื่องร้องเรียน!AO:AO,"6",เรื่องร้องเรียน!AN:AN,"พลับพลาไชย 2",เรื่องร้องเรียน!CL:CL,"1")</f>
        <v>0</v>
      </c>
      <c r="I67" s="101">
        <f>COUNTIFS(เรื่องร้องเรียน!E:E,"4",เรื่องร้องเรียน!AO:AO,"6",เรื่องร้องเรียน!AN:AN,"พลับพลาไชย 2")</f>
        <v>0</v>
      </c>
      <c r="J67" s="101">
        <f>COUNTIFS(เรื่องร้องเรียน!E:E,"4",เรื่องร้องเรียน!AO:AO,"6",เรื่องร้องเรียน!AN:AN,"พลับพลาไชย 2",เรื่องร้องเรียน!CL:CL,"1")</f>
        <v>0</v>
      </c>
      <c r="K67" s="102"/>
      <c r="L67" s="102"/>
      <c r="M67" s="101">
        <f t="shared" si="3"/>
        <v>0</v>
      </c>
      <c r="N67" s="103">
        <f t="shared" si="3"/>
        <v>0</v>
      </c>
      <c r="O67" s="104">
        <f>COUNTIFS(เรื่องร้องเรียน!E:E,"1",เรื่องร้องเรียน!AO:AO,"6",เรื่องร้องเรียน!AN:AN,"พลับพลาไชย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P67" s="101">
        <f>COUNTIFS(เรื่องร้องเรียน!E:E,"2",เรื่องร้องเรียน!AO:AO,"6",เรื่องร้องเรียน!AN:AN,"พลับพลาไชย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Q67" s="101">
        <f>COUNTIFS(เรื่องร้องเรียน!E:E,"3",เรื่องร้องเรียน!AO:AO,"6",เรื่องร้องเรียน!AN:AN,"พลับพลาไชย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R67" s="101">
        <f>COUNTIFS(เรื่องร้องเรียน!E:E,"4",เรื่องร้องเรียน!AO:AO,"6",เรื่องร้องเรียน!AN:AN,"พลับพลาไชย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S67" s="102"/>
      <c r="T67" s="109">
        <f t="shared" si="4"/>
        <v>0</v>
      </c>
      <c r="U67" s="110">
        <f t="shared" si="1"/>
        <v>0</v>
      </c>
    </row>
    <row r="68" spans="1:21">
      <c r="A68" s="107"/>
      <c r="B68" s="108" t="s">
        <v>80</v>
      </c>
      <c r="C68" s="100">
        <f>COUNTIFS(เรื่องร้องเรียน!E:E,"1",เรื่องร้องเรียน!AO:AO,"6",เรื่องร้องเรียน!AN:AN,"ยานนาวา")</f>
        <v>0</v>
      </c>
      <c r="D68" s="101">
        <f>COUNTIFS(เรื่องร้องเรียน!E:E,"1",เรื่องร้องเรียน!AO:AO,"6",เรื่องร้องเรียน!AN:AN,"ยานนาวา",เรื่องร้องเรียน!CL:CL,"1")</f>
        <v>0</v>
      </c>
      <c r="E68" s="101">
        <f>COUNTIFS(เรื่องร้องเรียน!E:E,"2",เรื่องร้องเรียน!AO:AO,"6",เรื่องร้องเรียน!AN:AN,"ยานนาวา")</f>
        <v>0</v>
      </c>
      <c r="F68" s="101">
        <f>COUNTIFS(เรื่องร้องเรียน!E:E,"2",เรื่องร้องเรียน!AO:AO,"6",เรื่องร้องเรียน!AN:AN,"ยานนาวา",เรื่องร้องเรียน!CL:CL,"1")</f>
        <v>0</v>
      </c>
      <c r="G68" s="101">
        <f>COUNTIFS(เรื่องร้องเรียน!E:E,"3",เรื่องร้องเรียน!AO:AO,"6",เรื่องร้องเรียน!AN:AN,"ยานนาวา")</f>
        <v>0</v>
      </c>
      <c r="H68" s="101">
        <f>COUNTIFS(เรื่องร้องเรียน!E:E,"3",เรื่องร้องเรียน!AO:AO,"6",เรื่องร้องเรียน!AN:AN,"ยานนาวา",เรื่องร้องเรียน!CL:CL,"1")</f>
        <v>0</v>
      </c>
      <c r="I68" s="101">
        <f>COUNTIFS(เรื่องร้องเรียน!E:E,"4",เรื่องร้องเรียน!AO:AO,"6",เรื่องร้องเรียน!AN:AN,"ยานนาวา")</f>
        <v>0</v>
      </c>
      <c r="J68" s="101">
        <f>COUNTIFS(เรื่องร้องเรียน!E:E,"4",เรื่องร้องเรียน!AO:AO,"6",เรื่องร้องเรียน!AN:AN,"ยานนาวา",เรื่องร้องเรียน!CL:CL,"1")</f>
        <v>0</v>
      </c>
      <c r="K68" s="102"/>
      <c r="L68" s="102"/>
      <c r="M68" s="101">
        <f t="shared" si="3"/>
        <v>0</v>
      </c>
      <c r="N68" s="103">
        <f t="shared" si="3"/>
        <v>0</v>
      </c>
      <c r="O68" s="104">
        <f>COUNTIFS(เรื่องร้องเรียน!E:E,"1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P68" s="101">
        <f>COUNTIFS(เรื่องร้องเรียน!E:E,"2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Q68" s="101">
        <f>COUNTIFS(เรื่องร้องเรียน!E:E,"3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R68" s="101">
        <f>COUNTIFS(เรื่องร้องเรียน!E:E,"4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S68" s="102"/>
      <c r="T68" s="109">
        <f t="shared" si="4"/>
        <v>0</v>
      </c>
      <c r="U68" s="110">
        <f t="shared" si="1"/>
        <v>0</v>
      </c>
    </row>
    <row r="69" spans="1:21" ht="21.6" thickBot="1">
      <c r="A69" s="111"/>
      <c r="B69" s="112" t="s">
        <v>184</v>
      </c>
      <c r="C69" s="120">
        <f>COUNTIFS(เรื่องร้องเรียน!E:E,"1",เรื่องร้องเรียน!AO:AO,"6",เรื่องร้องเรียน!AN:AN,"สำราญราษฎร์")</f>
        <v>0</v>
      </c>
      <c r="D69" s="117">
        <f>COUNTIFS(เรื่องร้องเรียน!E:E,"1",เรื่องร้องเรียน!AO:AO,"6",เรื่องร้องเรียน!AN:AN,"สำราญราษฎร์",เรื่องร้องเรียน!CL:CL,"1")</f>
        <v>0</v>
      </c>
      <c r="E69" s="117">
        <f>COUNTIFS(เรื่องร้องเรียน!E:E,"2",เรื่องร้องเรียน!AO:AO,"6",เรื่องร้องเรียน!AN:AN,"สำราญราษฎร์")</f>
        <v>0</v>
      </c>
      <c r="F69" s="117">
        <f>COUNTIFS(เรื่องร้องเรียน!E:E,"2",เรื่องร้องเรียน!AO:AO,"6",เรื่องร้องเรียน!AN:AN,"สำราญราษฎร์",เรื่องร้องเรียน!CL:CL,"1")</f>
        <v>0</v>
      </c>
      <c r="G69" s="117">
        <f>COUNTIFS(เรื่องร้องเรียน!E:E,"3",เรื่องร้องเรียน!AO:AO,"6",เรื่องร้องเรียน!AN:AN,"สำราญราษฎร์")</f>
        <v>0</v>
      </c>
      <c r="H69" s="117">
        <f>COUNTIFS(เรื่องร้องเรียน!E:E,"3",เรื่องร้องเรียน!AO:AO,"6",เรื่องร้องเรียน!AN:AN,"สำราญราษฎร์",เรื่องร้องเรียน!CL:CL,"1")</f>
        <v>0</v>
      </c>
      <c r="I69" s="117">
        <f>COUNTIFS(เรื่องร้องเรียน!E:E,"4",เรื่องร้องเรียน!AO:AO,"6",เรื่องร้องเรียน!AN:AN,"สำราญราษฎร์")</f>
        <v>0</v>
      </c>
      <c r="J69" s="117">
        <f>COUNTIFS(เรื่องร้องเรียน!E:E,"4",เรื่องร้องเรียน!AO:AO,"6",เรื่องร้องเรียน!AN:AN,"สำราญราษฎร์",เรื่องร้องเรียน!CL:CL,"1")</f>
        <v>0</v>
      </c>
      <c r="K69" s="121"/>
      <c r="L69" s="121"/>
      <c r="M69" s="117">
        <f t="shared" si="3"/>
        <v>0</v>
      </c>
      <c r="N69" s="122">
        <f t="shared" si="3"/>
        <v>0</v>
      </c>
      <c r="O69" s="123">
        <f>COUNTIFS(เรื่องร้องเรียน!E:E,"1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P69" s="117">
        <f>COUNTIFS(เรื่องร้องเรียน!E:E,"2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Q69" s="117">
        <f>COUNTIFS(เรื่องร้องเรียน!E:E,"3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R69" s="117">
        <f>COUNTIFS(เรื่องร้องเรียน!E:E,"4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S69" s="121"/>
      <c r="T69" s="117">
        <f t="shared" si="4"/>
        <v>0</v>
      </c>
      <c r="U69" s="118">
        <f t="shared" si="1"/>
        <v>0</v>
      </c>
    </row>
    <row r="70" spans="1:21" ht="21.6" thickBot="1">
      <c r="A70" s="89">
        <v>7</v>
      </c>
      <c r="B70" s="90"/>
      <c r="C70" s="91">
        <f>SUM(C71:C81)</f>
        <v>0</v>
      </c>
      <c r="D70" s="92">
        <f t="shared" ref="D70:R70" si="10">SUM(D71:D81)</f>
        <v>0</v>
      </c>
      <c r="E70" s="92">
        <f t="shared" si="10"/>
        <v>0</v>
      </c>
      <c r="F70" s="92">
        <f t="shared" si="10"/>
        <v>0</v>
      </c>
      <c r="G70" s="92">
        <f t="shared" si="10"/>
        <v>0</v>
      </c>
      <c r="H70" s="92">
        <f t="shared" si="10"/>
        <v>0</v>
      </c>
      <c r="I70" s="92">
        <f t="shared" si="10"/>
        <v>0</v>
      </c>
      <c r="J70" s="92">
        <f t="shared" si="10"/>
        <v>0</v>
      </c>
      <c r="K70" s="93"/>
      <c r="L70" s="93"/>
      <c r="M70" s="92">
        <f t="shared" si="3"/>
        <v>0</v>
      </c>
      <c r="N70" s="94">
        <f t="shared" si="3"/>
        <v>0</v>
      </c>
      <c r="O70" s="95">
        <f t="shared" si="10"/>
        <v>0</v>
      </c>
      <c r="P70" s="92">
        <f t="shared" si="10"/>
        <v>0</v>
      </c>
      <c r="Q70" s="92">
        <f t="shared" si="10"/>
        <v>0</v>
      </c>
      <c r="R70" s="92">
        <f t="shared" si="10"/>
        <v>0</v>
      </c>
      <c r="S70" s="93"/>
      <c r="T70" s="92">
        <f t="shared" si="4"/>
        <v>0</v>
      </c>
      <c r="U70" s="88">
        <f t="shared" si="1"/>
        <v>0</v>
      </c>
    </row>
    <row r="71" spans="1:21">
      <c r="A71" s="98"/>
      <c r="B71" s="99" t="s">
        <v>185</v>
      </c>
      <c r="C71" s="100">
        <f>COUNTIFS(เรื่องร้องเรียน!E:E,"1",เรื่องร้องเรียน!AO:AO,"7",เรื่องร้องเรียน!AN:AN,"ตลิ่งชัน")</f>
        <v>0</v>
      </c>
      <c r="D71" s="101">
        <f>COUNTIFS(เรื่องร้องเรียน!E:E,"1",เรื่องร้องเรียน!AO:AO,"7",เรื่องร้องเรียน!AN:AN,"ตลิ่งชัน",เรื่องร้องเรียน!CL:CL,"1")</f>
        <v>0</v>
      </c>
      <c r="E71" s="101">
        <f>COUNTIFS(เรื่องร้องเรียน!E:E,"2",เรื่องร้องเรียน!AO:AO,"7",เรื่องร้องเรียน!AN:AN,"ตลิ่งชัน")</f>
        <v>0</v>
      </c>
      <c r="F71" s="101">
        <f>COUNTIFS(เรื่องร้องเรียน!E:E,"2",เรื่องร้องเรียน!AO:AO,"7",เรื่องร้องเรียน!AN:AN,"ตลิ่งชัน",เรื่องร้องเรียน!CL:CL,"1")</f>
        <v>0</v>
      </c>
      <c r="G71" s="101">
        <f>COUNTIFS(เรื่องร้องเรียน!E:E,"3",เรื่องร้องเรียน!AO:AO,"7",เรื่องร้องเรียน!AN:AN,"ตลิ่งชัน")</f>
        <v>0</v>
      </c>
      <c r="H71" s="101">
        <f>COUNTIFS(เรื่องร้องเรียน!E:E,"3",เรื่องร้องเรียน!AO:AO,"7",เรื่องร้องเรียน!AN:AN,"ตลิ่งชัน",เรื่องร้องเรียน!CL:CL,"1")</f>
        <v>0</v>
      </c>
      <c r="I71" s="101">
        <f>COUNTIFS(เรื่องร้องเรียน!E:E,"4",เรื่องร้องเรียน!AO:AO,"7",เรื่องร้องเรียน!AN:AN,"ตลิ่งชัน")</f>
        <v>0</v>
      </c>
      <c r="J71" s="101">
        <f>COUNTIFS(เรื่องร้องเรียน!E:E,"4",เรื่องร้องเรียน!AO:AO,"7",เรื่องร้องเรียน!AN:AN,"ตลิ่งชัน",เรื่องร้องเรียน!CL:CL,"1")</f>
        <v>0</v>
      </c>
      <c r="K71" s="102"/>
      <c r="L71" s="102"/>
      <c r="M71" s="101">
        <f t="shared" si="3"/>
        <v>0</v>
      </c>
      <c r="N71" s="103">
        <f t="shared" si="3"/>
        <v>0</v>
      </c>
      <c r="O71" s="104">
        <f>COUNTIFS(เรื่องร้องเรียน!E:E,"1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P71" s="101">
        <f>COUNTIFS(เรื่องร้องเรียน!E:E,"2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Q71" s="101">
        <f>COUNTIFS(เรื่องร้องเรียน!E:E,"3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R71" s="101">
        <f>COUNTIFS(เรื่องร้องเรียน!E:E,"4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S71" s="102"/>
      <c r="T71" s="101">
        <f t="shared" si="4"/>
        <v>0</v>
      </c>
      <c r="U71" s="119">
        <f t="shared" ref="U71:U104" si="11">M71-N71-T71</f>
        <v>0</v>
      </c>
    </row>
    <row r="72" spans="1:21">
      <c r="A72" s="107"/>
      <c r="B72" s="108" t="s">
        <v>186</v>
      </c>
      <c r="C72" s="100">
        <f>COUNTIFS(เรื่องร้องเรียน!E:E,"1",เรื่องร้องเรียน!AO:AO,"7",เรื่องร้องเรียน!AN:AN,"ท่าพระ")</f>
        <v>0</v>
      </c>
      <c r="D72" s="101">
        <f>COUNTIFS(เรื่องร้องเรียน!E:E,"1",เรื่องร้องเรียน!AO:AO,"7",เรื่องร้องเรียน!AN:AN,"ท่าพระ",เรื่องร้องเรียน!CL:CL,"1")</f>
        <v>0</v>
      </c>
      <c r="E72" s="101">
        <f>COUNTIFS(เรื่องร้องเรียน!E:E,"2",เรื่องร้องเรียน!AO:AO,"7",เรื่องร้องเรียน!AN:AN,"ท่าพระ")</f>
        <v>0</v>
      </c>
      <c r="F72" s="101">
        <f>COUNTIFS(เรื่องร้องเรียน!E:E,"2",เรื่องร้องเรียน!AO:AO,"7",เรื่องร้องเรียน!AN:AN,"ท่าพระ",เรื่องร้องเรียน!CL:CL,"1")</f>
        <v>0</v>
      </c>
      <c r="G72" s="101">
        <f>COUNTIFS(เรื่องร้องเรียน!E:E,"3",เรื่องร้องเรียน!AO:AO,"7",เรื่องร้องเรียน!AN:AN,"ท่าพระ")</f>
        <v>0</v>
      </c>
      <c r="H72" s="101">
        <f>COUNTIFS(เรื่องร้องเรียน!E:E,"3",เรื่องร้องเรียน!AO:AO,"7",เรื่องร้องเรียน!AN:AN,"ท่าพระ",เรื่องร้องเรียน!CL:CL,"1")</f>
        <v>0</v>
      </c>
      <c r="I72" s="101">
        <f>COUNTIFS(เรื่องร้องเรียน!E:E,"4",เรื่องร้องเรียน!AO:AO,"7",เรื่องร้องเรียน!AN:AN,"ท่าพระ")</f>
        <v>0</v>
      </c>
      <c r="J72" s="101">
        <f>COUNTIFS(เรื่องร้องเรียน!E:E,"4",เรื่องร้องเรียน!AO:AO,"7",เรื่องร้องเรียน!AN:AN,"ท่าพระ",เรื่องร้องเรียน!CL:CL,"1")</f>
        <v>0</v>
      </c>
      <c r="K72" s="102"/>
      <c r="L72" s="102"/>
      <c r="M72" s="101">
        <f t="shared" ref="M72:N104" si="12">SUM(C72,E72,G72,I72,K72)</f>
        <v>0</v>
      </c>
      <c r="N72" s="103">
        <f t="shared" si="12"/>
        <v>0</v>
      </c>
      <c r="O72" s="104">
        <f>COUNTIFS(เรื่องร้องเรียน!E:E,"1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P72" s="101">
        <f>COUNTIFS(เรื่องร้องเรียน!E:E,"2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Q72" s="101">
        <f>COUNTIFS(เรื่องร้องเรียน!E:E,"3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R72" s="101">
        <f>COUNTIFS(เรื่องร้องเรียน!E:E,"4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S72" s="102"/>
      <c r="T72" s="109">
        <f t="shared" ref="T72:T104" si="13">SUM(O72:S72)</f>
        <v>0</v>
      </c>
      <c r="U72" s="110">
        <f t="shared" si="11"/>
        <v>0</v>
      </c>
    </row>
    <row r="73" spans="1:21">
      <c r="A73" s="107"/>
      <c r="B73" s="108" t="s">
        <v>187</v>
      </c>
      <c r="C73" s="100">
        <f>COUNTIFS(เรื่องร้องเรียน!E:E,"1",เรื่องร้องเรียน!AO:AO,"7",เรื่องร้องเรียน!AN:AN,"ธรรมศาลา")</f>
        <v>0</v>
      </c>
      <c r="D73" s="101">
        <f>COUNTIFS(เรื่องร้องเรียน!E:E,"1",เรื่องร้องเรียน!AO:AO,"7",เรื่องร้องเรียน!AN:AN,"ธรรมศาลา",เรื่องร้องเรียน!CL:CL,"1")</f>
        <v>0</v>
      </c>
      <c r="E73" s="101">
        <f>COUNTIFS(เรื่องร้องเรียน!E:E,"2",เรื่องร้องเรียน!AO:AO,"7",เรื่องร้องเรียน!AN:AN,"ธรรมศาลา")</f>
        <v>0</v>
      </c>
      <c r="F73" s="101">
        <f>COUNTIFS(เรื่องร้องเรียน!E:E,"2",เรื่องร้องเรียน!AO:AO,"7",เรื่องร้องเรียน!AN:AN,"ธรรมศาลา",เรื่องร้องเรียน!CL:CL,"1")</f>
        <v>0</v>
      </c>
      <c r="G73" s="101">
        <f>COUNTIFS(เรื่องร้องเรียน!E:E,"3",เรื่องร้องเรียน!AO:AO,"7",เรื่องร้องเรียน!AN:AN,"ธรรมศาลา")</f>
        <v>0</v>
      </c>
      <c r="H73" s="101">
        <f>COUNTIFS(เรื่องร้องเรียน!E:E,"3",เรื่องร้องเรียน!AO:AO,"7",เรื่องร้องเรียน!AN:AN,"ธรรมศาลา",เรื่องร้องเรียน!CL:CL,"1")</f>
        <v>0</v>
      </c>
      <c r="I73" s="101">
        <f>COUNTIFS(เรื่องร้องเรียน!E:E,"4",เรื่องร้องเรียน!AO:AO,"7",เรื่องร้องเรียน!AN:AN,"ธรรมศาลา")</f>
        <v>0</v>
      </c>
      <c r="J73" s="101">
        <f>COUNTIFS(เรื่องร้องเรียน!E:E,"4",เรื่องร้องเรียน!AO:AO,"7",เรื่องร้องเรียน!AN:AN,"ธรรมศาลา",เรื่องร้องเรียน!CL:CL,"1")</f>
        <v>0</v>
      </c>
      <c r="K73" s="102"/>
      <c r="L73" s="102"/>
      <c r="M73" s="101">
        <f t="shared" si="12"/>
        <v>0</v>
      </c>
      <c r="N73" s="103">
        <f t="shared" si="12"/>
        <v>0</v>
      </c>
      <c r="O73" s="104">
        <f>COUNTIFS(เรื่องร้องเรียน!E:E,"1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P73" s="101">
        <f>COUNTIFS(เรื่องร้องเรียน!E:E,"2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Q73" s="101">
        <f>COUNTIFS(เรื่องร้องเรียน!E:E,"3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R73" s="101">
        <f>COUNTIFS(เรื่องร้องเรียน!E:E,"4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S73" s="102"/>
      <c r="T73" s="109">
        <f t="shared" si="13"/>
        <v>0</v>
      </c>
      <c r="U73" s="110">
        <f t="shared" si="11"/>
        <v>0</v>
      </c>
    </row>
    <row r="74" spans="1:21">
      <c r="A74" s="107"/>
      <c r="B74" s="108" t="s">
        <v>126</v>
      </c>
      <c r="C74" s="100">
        <f>COUNTIFS(เรื่องร้องเรียน!E:E,"1",เรื่องร้องเรียน!AO:AO,"7",เรื่องร้องเรียน!AN:AN,"บางกอกน้อย")</f>
        <v>0</v>
      </c>
      <c r="D74" s="101">
        <f>COUNTIFS(เรื่องร้องเรียน!E:E,"1",เรื่องร้องเรียน!AO:AO,"7",เรื่องร้องเรียน!AN:AN,"บางกอกน้อย",เรื่องร้องเรียน!CL:CL,"1")</f>
        <v>0</v>
      </c>
      <c r="E74" s="101">
        <f>COUNTIFS(เรื่องร้องเรียน!E:E,"2",เรื่องร้องเรียน!AO:AO,"7",เรื่องร้องเรียน!AN:AN,"บางกอกน้อย")</f>
        <v>0</v>
      </c>
      <c r="F74" s="101">
        <f>COUNTIFS(เรื่องร้องเรียน!E:E,"2",เรื่องร้องเรียน!AO:AO,"7",เรื่องร้องเรียน!AN:AN,"บางกอกน้อย",เรื่องร้องเรียน!CL:CL,"1")</f>
        <v>0</v>
      </c>
      <c r="G74" s="101">
        <f>COUNTIFS(เรื่องร้องเรียน!E:E,"3",เรื่องร้องเรียน!AO:AO,"7",เรื่องร้องเรียน!AN:AN,"บางกอกน้อย")</f>
        <v>0</v>
      </c>
      <c r="H74" s="101">
        <f>COUNTIFS(เรื่องร้องเรียน!E:E,"3",เรื่องร้องเรียน!AO:AO,"7",เรื่องร้องเรียน!AN:AN,"บางกอกน้อย",เรื่องร้องเรียน!CL:CL,"1")</f>
        <v>0</v>
      </c>
      <c r="I74" s="101">
        <f>COUNTIFS(เรื่องร้องเรียน!E:E,"4",เรื่องร้องเรียน!AO:AO,"7",เรื่องร้องเรียน!AN:AN,"บางกอกน้อย")</f>
        <v>0</v>
      </c>
      <c r="J74" s="101">
        <f>COUNTIFS(เรื่องร้องเรียน!E:E,"4",เรื่องร้องเรียน!AO:AO,"7",เรื่องร้องเรียน!AN:AN,"บางกอกน้อย",เรื่องร้องเรียน!CL:CL,"1")</f>
        <v>0</v>
      </c>
      <c r="K74" s="102"/>
      <c r="L74" s="102"/>
      <c r="M74" s="101">
        <f t="shared" si="12"/>
        <v>0</v>
      </c>
      <c r="N74" s="103">
        <f t="shared" si="12"/>
        <v>0</v>
      </c>
      <c r="O74" s="104">
        <f>COUNTIFS(เรื่องร้องเรียน!E:E,"1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P74" s="101">
        <f>COUNTIFS(เรื่องร้องเรียน!E:E,"2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Q74" s="101">
        <f>COUNTIFS(เรื่องร้องเรียน!E:E,"3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R74" s="101">
        <f>COUNTIFS(เรื่องร้องเรียน!E:E,"4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S74" s="102"/>
      <c r="T74" s="109">
        <f t="shared" si="13"/>
        <v>0</v>
      </c>
      <c r="U74" s="110">
        <f t="shared" si="11"/>
        <v>0</v>
      </c>
    </row>
    <row r="75" spans="1:21">
      <c r="A75" s="107"/>
      <c r="B75" s="108" t="s">
        <v>188</v>
      </c>
      <c r="C75" s="100">
        <f>COUNTIFS(เรื่องร้องเรียน!E:E,"1",เรื่องร้องเรียน!AO:AO,"7",เรื่องร้องเรียน!AN:AN,"บางกอกใหญ่")</f>
        <v>0</v>
      </c>
      <c r="D75" s="101">
        <f>COUNTIFS(เรื่องร้องเรียน!E:E,"1",เรื่องร้องเรียน!AO:AO,"7",เรื่องร้องเรียน!AN:AN,"บางกอกใหญ่",เรื่องร้องเรียน!CL:CL,"1")</f>
        <v>0</v>
      </c>
      <c r="E75" s="101">
        <f>COUNTIFS(เรื่องร้องเรียน!E:E,"2",เรื่องร้องเรียน!AO:AO,"7",เรื่องร้องเรียน!AN:AN,"บางกอกใหญ่")</f>
        <v>0</v>
      </c>
      <c r="F75" s="101">
        <f>COUNTIFS(เรื่องร้องเรียน!E:E,"2",เรื่องร้องเรียน!AO:AO,"7",เรื่องร้องเรียน!AN:AN,"บางกอกใหญ่",เรื่องร้องเรียน!CL:CL,"1")</f>
        <v>0</v>
      </c>
      <c r="G75" s="101">
        <f>COUNTIFS(เรื่องร้องเรียน!E:E,"3",เรื่องร้องเรียน!AO:AO,"7",เรื่องร้องเรียน!AN:AN,"บางกอกใหญ่")</f>
        <v>0</v>
      </c>
      <c r="H75" s="101">
        <f>COUNTIFS(เรื่องร้องเรียน!E:E,"3",เรื่องร้องเรียน!AO:AO,"7",เรื่องร้องเรียน!AN:AN,"บางกอกใหญ่",เรื่องร้องเรียน!CL:CL,"1")</f>
        <v>0</v>
      </c>
      <c r="I75" s="101">
        <f>COUNTIFS(เรื่องร้องเรียน!E:E,"4",เรื่องร้องเรียน!AO:AO,"7",เรื่องร้องเรียน!AN:AN,"บางกอกใหญ่")</f>
        <v>0</v>
      </c>
      <c r="J75" s="101">
        <f>COUNTIFS(เรื่องร้องเรียน!E:E,"4",เรื่องร้องเรียน!AO:AO,"7",เรื่องร้องเรียน!AN:AN,"บางกอกใหญ่",เรื่องร้องเรียน!CL:CL,"1")</f>
        <v>0</v>
      </c>
      <c r="K75" s="102"/>
      <c r="L75" s="102"/>
      <c r="M75" s="101">
        <f t="shared" si="12"/>
        <v>0</v>
      </c>
      <c r="N75" s="103">
        <f t="shared" si="12"/>
        <v>0</v>
      </c>
      <c r="O75" s="104">
        <f>COUNTIFS(เรื่องร้องเรียน!E:E,"1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P75" s="101">
        <f>COUNTIFS(เรื่องร้องเรียน!E:E,"2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Q75" s="101">
        <f>COUNTIFS(เรื่องร้องเรียน!E:E,"3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R75" s="101">
        <f>COUNTIFS(เรื่องร้องเรียน!E:E,"4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S75" s="102"/>
      <c r="T75" s="109">
        <f t="shared" si="13"/>
        <v>0</v>
      </c>
      <c r="U75" s="110">
        <f t="shared" si="11"/>
        <v>0</v>
      </c>
    </row>
    <row r="76" spans="1:21">
      <c r="A76" s="107"/>
      <c r="B76" s="108" t="s">
        <v>189</v>
      </c>
      <c r="C76" s="100">
        <f>COUNTIFS(เรื่องร้องเรียน!E:E,"1",เรื่องร้องเรียน!AO:AO,"7",เรื่องร้องเรียน!AN:AN,"บางขุนนนท์")</f>
        <v>0</v>
      </c>
      <c r="D76" s="101">
        <f>COUNTIFS(เรื่องร้องเรียน!E:E,"1",เรื่องร้องเรียน!AO:AO,"7",เรื่องร้องเรียน!AN:AN,"บางขุนนนท์",เรื่องร้องเรียน!CL:CL,"1")</f>
        <v>0</v>
      </c>
      <c r="E76" s="101">
        <f>COUNTIFS(เรื่องร้องเรียน!E:E,"2",เรื่องร้องเรียน!AO:AO,"7",เรื่องร้องเรียน!AN:AN,"บางขุนนนท์")</f>
        <v>0</v>
      </c>
      <c r="F76" s="101">
        <f>COUNTIFS(เรื่องร้องเรียน!E:E,"2",เรื่องร้องเรียน!AO:AO,"7",เรื่องร้องเรียน!AN:AN,"บางขุนนนท์",เรื่องร้องเรียน!CL:CL,"1")</f>
        <v>0</v>
      </c>
      <c r="G76" s="101">
        <f>COUNTIFS(เรื่องร้องเรียน!E:E,"3",เรื่องร้องเรียน!AO:AO,"7",เรื่องร้องเรียน!AN:AN,"บางขุนนนท์")</f>
        <v>0</v>
      </c>
      <c r="H76" s="101">
        <f>COUNTIFS(เรื่องร้องเรียน!E:E,"3",เรื่องร้องเรียน!AO:AO,"7",เรื่องร้องเรียน!AN:AN,"บางขุนนนท์",เรื่องร้องเรียน!CL:CL,"1")</f>
        <v>0</v>
      </c>
      <c r="I76" s="101">
        <f>COUNTIFS(เรื่องร้องเรียน!E:E,"4",เรื่องร้องเรียน!AO:AO,"7",เรื่องร้องเรียน!AN:AN,"บางขุนนนท์")</f>
        <v>0</v>
      </c>
      <c r="J76" s="101">
        <f>COUNTIFS(เรื่องร้องเรียน!E:E,"4",เรื่องร้องเรียน!AO:AO,"7",เรื่องร้องเรียน!AN:AN,"บางขุนนนท์",เรื่องร้องเรียน!CL:CL,"1")</f>
        <v>0</v>
      </c>
      <c r="K76" s="102"/>
      <c r="L76" s="102"/>
      <c r="M76" s="101">
        <f t="shared" si="12"/>
        <v>0</v>
      </c>
      <c r="N76" s="103">
        <f t="shared" si="12"/>
        <v>0</v>
      </c>
      <c r="O76" s="104">
        <f>COUNTIFS(เรื่องร้องเรียน!E:E,"1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P76" s="101">
        <f>COUNTIFS(เรื่องร้องเรียน!E:E,"2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Q76" s="101">
        <f>COUNTIFS(เรื่องร้องเรียน!E:E,"3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R76" s="101">
        <f>COUNTIFS(เรื่องร้องเรียน!E:E,"4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S76" s="102"/>
      <c r="T76" s="109">
        <f t="shared" si="13"/>
        <v>0</v>
      </c>
      <c r="U76" s="110">
        <f t="shared" si="11"/>
        <v>0</v>
      </c>
    </row>
    <row r="77" spans="1:21">
      <c r="A77" s="107"/>
      <c r="B77" s="108" t="s">
        <v>106</v>
      </c>
      <c r="C77" s="100">
        <f>COUNTIFS(เรื่องร้องเรียน!E:E,"1",เรื่องร้องเรียน!AO:AO,"7",เรื่องร้องเรียน!AN:AN,"บางพลัด")</f>
        <v>0</v>
      </c>
      <c r="D77" s="101">
        <f>COUNTIFS(เรื่องร้องเรียน!E:E,"1",เรื่องร้องเรียน!AO:AO,"7",เรื่องร้องเรียน!AN:AN,"บางพลัด",เรื่องร้องเรียน!CL:CL,"1")</f>
        <v>0</v>
      </c>
      <c r="E77" s="101">
        <f>COUNTIFS(เรื่องร้องเรียน!E:E,"2",เรื่องร้องเรียน!AO:AO,"7",เรื่องร้องเรียน!AN:AN,"บางพลัด")</f>
        <v>0</v>
      </c>
      <c r="F77" s="101">
        <f>COUNTIFS(เรื่องร้องเรียน!E:E,"2",เรื่องร้องเรียน!AO:AO,"7",เรื่องร้องเรียน!AN:AN,"บางพลัด",เรื่องร้องเรียน!CL:CL,"1")</f>
        <v>0</v>
      </c>
      <c r="G77" s="101">
        <f>COUNTIFS(เรื่องร้องเรียน!E:E,"3",เรื่องร้องเรียน!AO:AO,"7",เรื่องร้องเรียน!AN:AN,"บางพลัด")</f>
        <v>0</v>
      </c>
      <c r="H77" s="101">
        <f>COUNTIFS(เรื่องร้องเรียน!E:E,"3",เรื่องร้องเรียน!AO:AO,"7",เรื่องร้องเรียน!AN:AN,"บางพลัด",เรื่องร้องเรียน!CL:CL,"1")</f>
        <v>0</v>
      </c>
      <c r="I77" s="101">
        <f>COUNTIFS(เรื่องร้องเรียน!E:E,"4",เรื่องร้องเรียน!AO:AO,"7",เรื่องร้องเรียน!AN:AN,"บางพลัด")</f>
        <v>0</v>
      </c>
      <c r="J77" s="101">
        <f>COUNTIFS(เรื่องร้องเรียน!E:E,"4",เรื่องร้องเรียน!AO:AO,"7",เรื่องร้องเรียน!AN:AN,"บางพลัด",เรื่องร้องเรียน!CL:CL,"1")</f>
        <v>0</v>
      </c>
      <c r="K77" s="102"/>
      <c r="L77" s="102"/>
      <c r="M77" s="101">
        <f t="shared" si="12"/>
        <v>0</v>
      </c>
      <c r="N77" s="103">
        <f t="shared" si="12"/>
        <v>0</v>
      </c>
      <c r="O77" s="104">
        <f>COUNTIFS(เรื่องร้องเรียน!E:E,"1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P77" s="101">
        <f>COUNTIFS(เรื่องร้องเรียน!E:E,"2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Q77" s="101">
        <f>COUNTIFS(เรื่องร้องเรียน!E:E,"3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R77" s="101">
        <f>COUNTIFS(เรื่องร้องเรียน!E:E,"4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S77" s="102"/>
      <c r="T77" s="109">
        <f t="shared" si="13"/>
        <v>0</v>
      </c>
      <c r="U77" s="110">
        <f t="shared" si="11"/>
        <v>0</v>
      </c>
    </row>
    <row r="78" spans="1:21">
      <c r="A78" s="107"/>
      <c r="B78" s="108" t="s">
        <v>127</v>
      </c>
      <c r="C78" s="100">
        <f>COUNTIFS(เรื่องร้องเรียน!E:E,"1",เรื่องร้องเรียน!AO:AO,"7",เรื่องร้องเรียน!AN:AN,"บางยี่ขัน")</f>
        <v>0</v>
      </c>
      <c r="D78" s="101">
        <f>COUNTIFS(เรื่องร้องเรียน!E:E,"1",เรื่องร้องเรียน!AO:AO,"7",เรื่องร้องเรียน!AN:AN,"บางยี่ขัน",เรื่องร้องเรียน!CL:CL,"1")</f>
        <v>0</v>
      </c>
      <c r="E78" s="101">
        <f>COUNTIFS(เรื่องร้องเรียน!E:E,"2",เรื่องร้องเรียน!AO:AO,"7",เรื่องร้องเรียน!AN:AN,"บางยี่ขัน")</f>
        <v>0</v>
      </c>
      <c r="F78" s="101">
        <f>COUNTIFS(เรื่องร้องเรียน!E:E,"2",เรื่องร้องเรียน!AO:AO,"7",เรื่องร้องเรียน!AN:AN,"บางยี่ขัน",เรื่องร้องเรียน!CL:CL,"1")</f>
        <v>0</v>
      </c>
      <c r="G78" s="101">
        <f>COUNTIFS(เรื่องร้องเรียน!E:E,"3",เรื่องร้องเรียน!AO:AO,"7",เรื่องร้องเรียน!AN:AN,"บางยี่ขัน")</f>
        <v>0</v>
      </c>
      <c r="H78" s="101">
        <f>COUNTIFS(เรื่องร้องเรียน!E:E,"3",เรื่องร้องเรียน!AO:AO,"7",เรื่องร้องเรียน!AN:AN,"บางยี่ขัน",เรื่องร้องเรียน!CL:CL,"1")</f>
        <v>0</v>
      </c>
      <c r="I78" s="101">
        <f>COUNTIFS(เรื่องร้องเรียน!E:E,"4",เรื่องร้องเรียน!AO:AO,"7",เรื่องร้องเรียน!AN:AN,"บางยี่ขัน")</f>
        <v>0</v>
      </c>
      <c r="J78" s="101">
        <f>COUNTIFS(เรื่องร้องเรียน!E:E,"4",เรื่องร้องเรียน!AO:AO,"7",เรื่องร้องเรียน!AN:AN,"บางยี่ขัน",เรื่องร้องเรียน!CL:CL,"1")</f>
        <v>0</v>
      </c>
      <c r="K78" s="102"/>
      <c r="L78" s="102"/>
      <c r="M78" s="101">
        <f t="shared" si="12"/>
        <v>0</v>
      </c>
      <c r="N78" s="103">
        <f t="shared" si="12"/>
        <v>0</v>
      </c>
      <c r="O78" s="104">
        <f>COUNTIFS(เรื่องร้องเรียน!E:E,"1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P78" s="101">
        <f>COUNTIFS(เรื่องร้องเรียน!E:E,"2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Q78" s="101">
        <f>COUNTIFS(เรื่องร้องเรียน!E:E,"3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R78" s="101">
        <f>COUNTIFS(เรื่องร้องเรียน!E:E,"4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S78" s="102"/>
      <c r="T78" s="109">
        <f t="shared" si="13"/>
        <v>0</v>
      </c>
      <c r="U78" s="110">
        <f t="shared" si="11"/>
        <v>0</v>
      </c>
    </row>
    <row r="79" spans="1:21">
      <c r="A79" s="107"/>
      <c r="B79" s="108" t="s">
        <v>190</v>
      </c>
      <c r="C79" s="100">
        <f>COUNTIFS(เรื่องร้องเรียน!E:E,"1",เรื่องร้องเรียน!AO:AO,"7",เรื่องร้องเรียน!AN:AN,"บางเสาธง")</f>
        <v>0</v>
      </c>
      <c r="D79" s="101">
        <f>COUNTIFS(เรื่องร้องเรียน!E:E,"1",เรื่องร้องเรียน!AO:AO,"7",เรื่องร้องเรียน!AN:AN,"บางเสาธง",เรื่องร้องเรียน!CL:CL,"1")</f>
        <v>0</v>
      </c>
      <c r="E79" s="101">
        <f>COUNTIFS(เรื่องร้องเรียน!E:E,"2",เรื่องร้องเรียน!AO:AO,"7",เรื่องร้องเรียน!AN:AN,"บางเสาธง")</f>
        <v>0</v>
      </c>
      <c r="F79" s="101">
        <f>COUNTIFS(เรื่องร้องเรียน!E:E,"2",เรื่องร้องเรียน!AO:AO,"7",เรื่องร้องเรียน!AN:AN,"บางเสาธง",เรื่องร้องเรียน!CL:CL,"1")</f>
        <v>0</v>
      </c>
      <c r="G79" s="101">
        <f>COUNTIFS(เรื่องร้องเรียน!E:E,"3",เรื่องร้องเรียน!AO:AO,"7",เรื่องร้องเรียน!AN:AN,"บางเสาธง")</f>
        <v>0</v>
      </c>
      <c r="H79" s="101">
        <f>COUNTIFS(เรื่องร้องเรียน!E:E,"3",เรื่องร้องเรียน!AO:AO,"7",เรื่องร้องเรียน!AN:AN,"บางเสาธง",เรื่องร้องเรียน!CL:CL,"1")</f>
        <v>0</v>
      </c>
      <c r="I79" s="101">
        <f>COUNTIFS(เรื่องร้องเรียน!E:E,"4",เรื่องร้องเรียน!AO:AO,"7",เรื่องร้องเรียน!AN:AN,"บางเสาธง")</f>
        <v>0</v>
      </c>
      <c r="J79" s="101">
        <f>COUNTIFS(เรื่องร้องเรียน!E:E,"4",เรื่องร้องเรียน!AO:AO,"7",เรื่องร้องเรียน!AN:AN,"บางเสาธง",เรื่องร้องเรียน!CL:CL,"1")</f>
        <v>0</v>
      </c>
      <c r="K79" s="102"/>
      <c r="L79" s="102"/>
      <c r="M79" s="101">
        <f t="shared" si="12"/>
        <v>0</v>
      </c>
      <c r="N79" s="103">
        <f t="shared" si="12"/>
        <v>0</v>
      </c>
      <c r="O79" s="104">
        <f>COUNTIFS(เรื่องร้องเรียน!E:E,"1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P79" s="101">
        <f>COUNTIFS(เรื่องร้องเรียน!E:E,"2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Q79" s="101">
        <f>COUNTIFS(เรื่องร้องเรียน!E:E,"3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R79" s="101">
        <f>COUNTIFS(เรื่องร้องเรียน!E:E,"4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S79" s="102"/>
      <c r="T79" s="109">
        <f t="shared" si="13"/>
        <v>0</v>
      </c>
      <c r="U79" s="110">
        <f t="shared" si="11"/>
        <v>0</v>
      </c>
    </row>
    <row r="80" spans="1:21">
      <c r="A80" s="107"/>
      <c r="B80" s="108" t="s">
        <v>191</v>
      </c>
      <c r="C80" s="100">
        <f>COUNTIFS(เรื่องร้องเรียน!E:E,"1",เรื่องร้องเรียน!AO:AO,"7",เรื่องร้องเรียน!AN:AN,"ศาลาแดง")</f>
        <v>0</v>
      </c>
      <c r="D80" s="101">
        <f>COUNTIFS(เรื่องร้องเรียน!E:E,"1",เรื่องร้องเรียน!AO:AO,"7",เรื่องร้องเรียน!AN:AN,"ศาลาแดง",เรื่องร้องเรียน!CL:CL,"1")</f>
        <v>0</v>
      </c>
      <c r="E80" s="101">
        <f>COUNTIFS(เรื่องร้องเรียน!E:E,"2",เรื่องร้องเรียน!AO:AO,"7",เรื่องร้องเรียน!AN:AN,"ศาลาแดง")</f>
        <v>0</v>
      </c>
      <c r="F80" s="101">
        <f>COUNTIFS(เรื่องร้องเรียน!E:E,"2",เรื่องร้องเรียน!AO:AO,"7",เรื่องร้องเรียน!AN:AN,"ศาลาแดง",เรื่องร้องเรียน!CL:CL,"1")</f>
        <v>0</v>
      </c>
      <c r="G80" s="101">
        <f>COUNTIFS(เรื่องร้องเรียน!E:E,"3",เรื่องร้องเรียน!AO:AO,"7",เรื่องร้องเรียน!AN:AN,"ศาลาแดง")</f>
        <v>0</v>
      </c>
      <c r="H80" s="101">
        <f>COUNTIFS(เรื่องร้องเรียน!E:E,"3",เรื่องร้องเรียน!AO:AO,"7",เรื่องร้องเรียน!AN:AN,"ศาลาแดง",เรื่องร้องเรียน!CL:CL,"1")</f>
        <v>0</v>
      </c>
      <c r="I80" s="101">
        <f>COUNTIFS(เรื่องร้องเรียน!E:E,"4",เรื่องร้องเรียน!AO:AO,"7",เรื่องร้องเรียน!AN:AN,"ศาลาแดง")</f>
        <v>0</v>
      </c>
      <c r="J80" s="101">
        <f>COUNTIFS(เรื่องร้องเรียน!E:E,"4",เรื่องร้องเรียน!AO:AO,"7",เรื่องร้องเรียน!AN:AN,"ศาลาแดง",เรื่องร้องเรียน!CL:CL,"1")</f>
        <v>0</v>
      </c>
      <c r="K80" s="102"/>
      <c r="L80" s="102"/>
      <c r="M80" s="101">
        <f t="shared" si="12"/>
        <v>0</v>
      </c>
      <c r="N80" s="103">
        <f t="shared" si="12"/>
        <v>0</v>
      </c>
      <c r="O80" s="104">
        <f>COUNTIFS(เรื่องร้องเรียน!E:E,"1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P80" s="101">
        <f>COUNTIFS(เรื่องร้องเรียน!E:E,"2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Q80" s="101">
        <f>COUNTIFS(เรื่องร้องเรียน!E:E,"3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R80" s="101">
        <f>COUNTIFS(เรื่องร้องเรียน!E:E,"4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S80" s="102"/>
      <c r="T80" s="109">
        <f t="shared" si="13"/>
        <v>0</v>
      </c>
      <c r="U80" s="110">
        <f t="shared" si="11"/>
        <v>0</v>
      </c>
    </row>
    <row r="81" spans="1:21" ht="21.6" thickBot="1">
      <c r="A81" s="111"/>
      <c r="B81" s="112" t="s">
        <v>192</v>
      </c>
      <c r="C81" s="120">
        <f>COUNTIFS(เรื่องร้องเรียน!E:E,"1",เรื่องร้องเรียน!AO:AO,"7",เรื่องร้องเรียน!AN:AN,"บวรมงคล")</f>
        <v>0</v>
      </c>
      <c r="D81" s="117">
        <f>COUNTIFS(เรื่องร้องเรียน!E:E,"1",เรื่องร้องเรียน!AO:AO,"7",เรื่องร้องเรียน!AN:AN,"บวรมงคล",เรื่องร้องเรียน!CL:CL,"1")</f>
        <v>0</v>
      </c>
      <c r="E81" s="117">
        <f>COUNTIFS(เรื่องร้องเรียน!E:E,"2",เรื่องร้องเรียน!AO:AO,"7",เรื่องร้องเรียน!AN:AN,"บวรมงคล")</f>
        <v>0</v>
      </c>
      <c r="F81" s="117">
        <f>COUNTIFS(เรื่องร้องเรียน!E:E,"2",เรื่องร้องเรียน!AO:AO,"7",เรื่องร้องเรียน!AN:AN,"บวรมงคล",เรื่องร้องเรียน!CL:CL,"1")</f>
        <v>0</v>
      </c>
      <c r="G81" s="117">
        <f>COUNTIFS(เรื่องร้องเรียน!E:E,"3",เรื่องร้องเรียน!AO:AO,"7",เรื่องร้องเรียน!AN:AN,"บวรมงคล")</f>
        <v>0</v>
      </c>
      <c r="H81" s="117">
        <f>COUNTIFS(เรื่องร้องเรียน!E:E,"3",เรื่องร้องเรียน!AO:AO,"7",เรื่องร้องเรียน!AN:AN,"บวรมงคล",เรื่องร้องเรียน!CL:CL,"1")</f>
        <v>0</v>
      </c>
      <c r="I81" s="117">
        <f>COUNTIFS(เรื่องร้องเรียน!E:E,"4",เรื่องร้องเรียน!AO:AO,"7",เรื่องร้องเรียน!AN:AN,"บวรมงคล")</f>
        <v>0</v>
      </c>
      <c r="J81" s="117">
        <f>COUNTIFS(เรื่องร้องเรียน!E:E,"4",เรื่องร้องเรียน!AO:AO,"7",เรื่องร้องเรียน!AN:AN,"บวรมงคล",เรื่องร้องเรียน!CL:CL,"1")</f>
        <v>0</v>
      </c>
      <c r="K81" s="121"/>
      <c r="L81" s="121"/>
      <c r="M81" s="117">
        <f t="shared" si="12"/>
        <v>0</v>
      </c>
      <c r="N81" s="122">
        <f t="shared" si="12"/>
        <v>0</v>
      </c>
      <c r="O81" s="123">
        <f>COUNTIFS(เรื่องร้องเรียน!E:E,"1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P81" s="117">
        <f>COUNTIFS(เรื่องร้องเรียน!E:E,"2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Q81" s="117">
        <f>COUNTIFS(เรื่องร้องเรียน!E:E,"3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R81" s="117">
        <f>COUNTIFS(เรื่องร้องเรียน!E:E,"4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S81" s="121"/>
      <c r="T81" s="117">
        <f t="shared" si="13"/>
        <v>0</v>
      </c>
      <c r="U81" s="118">
        <f t="shared" si="11"/>
        <v>0</v>
      </c>
    </row>
    <row r="82" spans="1:21" ht="21.6" thickBot="1">
      <c r="A82" s="89">
        <v>8</v>
      </c>
      <c r="B82" s="90"/>
      <c r="C82" s="91">
        <f>SUM(C83:C93)</f>
        <v>0</v>
      </c>
      <c r="D82" s="92">
        <f t="shared" ref="D82:R82" si="14">SUM(D83:D93)</f>
        <v>0</v>
      </c>
      <c r="E82" s="92">
        <f t="shared" si="14"/>
        <v>0</v>
      </c>
      <c r="F82" s="92">
        <f t="shared" si="14"/>
        <v>0</v>
      </c>
      <c r="G82" s="92">
        <f t="shared" si="14"/>
        <v>0</v>
      </c>
      <c r="H82" s="92">
        <f t="shared" si="14"/>
        <v>0</v>
      </c>
      <c r="I82" s="92">
        <f t="shared" si="14"/>
        <v>0</v>
      </c>
      <c r="J82" s="92">
        <f t="shared" si="14"/>
        <v>0</v>
      </c>
      <c r="K82" s="93"/>
      <c r="L82" s="93"/>
      <c r="M82" s="92">
        <f t="shared" si="12"/>
        <v>0</v>
      </c>
      <c r="N82" s="94">
        <f t="shared" si="12"/>
        <v>0</v>
      </c>
      <c r="O82" s="95">
        <f t="shared" si="14"/>
        <v>0</v>
      </c>
      <c r="P82" s="92">
        <f t="shared" si="14"/>
        <v>0</v>
      </c>
      <c r="Q82" s="92">
        <f t="shared" si="14"/>
        <v>0</v>
      </c>
      <c r="R82" s="92">
        <f t="shared" si="14"/>
        <v>0</v>
      </c>
      <c r="S82" s="93"/>
      <c r="T82" s="92">
        <f t="shared" si="13"/>
        <v>0</v>
      </c>
      <c r="U82" s="88">
        <f t="shared" si="11"/>
        <v>0</v>
      </c>
    </row>
    <row r="83" spans="1:21">
      <c r="A83" s="98"/>
      <c r="B83" s="99" t="s">
        <v>193</v>
      </c>
      <c r="C83" s="100">
        <f>COUNTIFS(เรื่องร้องเรียน!E:E,"1",เรื่องร้องเรียน!AO:AO,"8",เรื่องร้องเรียน!AN:AN,"ตลาดพลู")</f>
        <v>0</v>
      </c>
      <c r="D83" s="101">
        <f>COUNTIFS(เรื่องร้องเรียน!E:E,"1",เรื่องร้องเรียน!AO:AO,"8",เรื่องร้องเรียน!AN:AN,"ตลาดพลู",เรื่องร้องเรียน!CL:CL,"1")</f>
        <v>0</v>
      </c>
      <c r="E83" s="101">
        <f>COUNTIFS(เรื่องร้องเรียน!E:E,"2",เรื่องร้องเรียน!AO:AO,"8",เรื่องร้องเรียน!AN:AN,"ตลาดพลู")</f>
        <v>0</v>
      </c>
      <c r="F83" s="101">
        <f>COUNTIFS(เรื่องร้องเรียน!E:E,"2",เรื่องร้องเรียน!AO:AO,"8",เรื่องร้องเรียน!AN:AN,"ตลาดพลู",เรื่องร้องเรียน!CL:CL,"1")</f>
        <v>0</v>
      </c>
      <c r="G83" s="101">
        <f>COUNTIFS(เรื่องร้องเรียน!E:E,"3",เรื่องร้องเรียน!AO:AO,"8",เรื่องร้องเรียน!AN:AN,"ตลาดพลู")</f>
        <v>0</v>
      </c>
      <c r="H83" s="101">
        <f>COUNTIFS(เรื่องร้องเรียน!E:E,"3",เรื่องร้องเรียน!AO:AO,"8",เรื่องร้องเรียน!AN:AN,"ตลาดพลู",เรื่องร้องเรียน!CL:CL,"1")</f>
        <v>0</v>
      </c>
      <c r="I83" s="101">
        <f>COUNTIFS(เรื่องร้องเรียน!E:E,"4",เรื่องร้องเรียน!AO:AO,"8",เรื่องร้องเรียน!AN:AN,"ตลาดพลู")</f>
        <v>0</v>
      </c>
      <c r="J83" s="101">
        <f>COUNTIFS(เรื่องร้องเรียน!E:E,"4",เรื่องร้องเรียน!AO:AO,"8",เรื่องร้องเรียน!AN:AN,"ตลาดพลู",เรื่องร้องเรียน!CL:CL,"1")</f>
        <v>0</v>
      </c>
      <c r="K83" s="102"/>
      <c r="L83" s="102"/>
      <c r="M83" s="101">
        <f t="shared" si="12"/>
        <v>0</v>
      </c>
      <c r="N83" s="103">
        <f t="shared" si="12"/>
        <v>0</v>
      </c>
      <c r="O83" s="104">
        <f>COUNTIFS(เรื่องร้องเรียน!E:E,"1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P83" s="101">
        <f>COUNTIFS(เรื่องร้องเรียน!E:E,"2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Q83" s="101">
        <f>COUNTIFS(เรื่องร้องเรียน!E:E,"3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R83" s="101">
        <f>COUNTIFS(เรื่องร้องเรียน!E:E,"4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S83" s="102"/>
      <c r="T83" s="101">
        <f t="shared" si="13"/>
        <v>0</v>
      </c>
      <c r="U83" s="119">
        <f t="shared" si="11"/>
        <v>0</v>
      </c>
    </row>
    <row r="84" spans="1:21">
      <c r="A84" s="107"/>
      <c r="B84" s="108" t="s">
        <v>194</v>
      </c>
      <c r="C84" s="100">
        <f>COUNTIFS(เรื่องร้องเรียน!E:E,"1",เรื่องร้องเรียน!AO:AO,"8",เรื่องร้องเรียน!AN:AN,"ทุ่งครุ")</f>
        <v>0</v>
      </c>
      <c r="D84" s="101">
        <f>COUNTIFS(เรื่องร้องเรียน!E:E,"1",เรื่องร้องเรียน!AO:AO,"8",เรื่องร้องเรียน!AN:AN,"ทุ่งครุ",เรื่องร้องเรียน!CL:CL,"1")</f>
        <v>0</v>
      </c>
      <c r="E84" s="101">
        <f>COUNTIFS(เรื่องร้องเรียน!E:E,"2",เรื่องร้องเรียน!AO:AO,"8",เรื่องร้องเรียน!AN:AN,"ทุ่งครุ")</f>
        <v>0</v>
      </c>
      <c r="F84" s="101">
        <f>COUNTIFS(เรื่องร้องเรียน!E:E,"2",เรื่องร้องเรียน!AO:AO,"8",เรื่องร้องเรียน!AN:AN,"ทุ่งครุ",เรื่องร้องเรียน!CL:CL,"1")</f>
        <v>0</v>
      </c>
      <c r="G84" s="101">
        <f>COUNTIFS(เรื่องร้องเรียน!E:E,"3",เรื่องร้องเรียน!AO:AO,"8",เรื่องร้องเรียน!AN:AN,"ทุ่งครุ")</f>
        <v>0</v>
      </c>
      <c r="H84" s="101">
        <f>COUNTIFS(เรื่องร้องเรียน!E:E,"3",เรื่องร้องเรียน!AO:AO,"8",เรื่องร้องเรียน!AN:AN,"ทุ่งครุ",เรื่องร้องเรียน!CL:CL,"1")</f>
        <v>0</v>
      </c>
      <c r="I84" s="101">
        <f>COUNTIFS(เรื่องร้องเรียน!E:E,"4",เรื่องร้องเรียน!AO:AO,"8",เรื่องร้องเรียน!AN:AN,"ทุ่งครุ")</f>
        <v>0</v>
      </c>
      <c r="J84" s="101">
        <f>COUNTIFS(เรื่องร้องเรียน!E:E,"4",เรื่องร้องเรียน!AO:AO,"8",เรื่องร้องเรียน!AN:AN,"ทุ่งครุ",เรื่องร้องเรียน!CL:CL,"1")</f>
        <v>0</v>
      </c>
      <c r="K84" s="102"/>
      <c r="L84" s="102"/>
      <c r="M84" s="101">
        <f t="shared" si="12"/>
        <v>0</v>
      </c>
      <c r="N84" s="103">
        <f t="shared" si="12"/>
        <v>0</v>
      </c>
      <c r="O84" s="104">
        <f>COUNTIFS(เรื่องร้องเรียน!E:E,"1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P84" s="101">
        <f>COUNTIFS(เรื่องร้องเรียน!E:E,"2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Q84" s="101">
        <f>COUNTIFS(เรื่องร้องเรียน!E:E,"3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R84" s="101">
        <f>COUNTIFS(เรื่องร้องเรียน!E:E,"4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S84" s="102"/>
      <c r="T84" s="109">
        <f t="shared" si="13"/>
        <v>0</v>
      </c>
      <c r="U84" s="110">
        <f t="shared" si="11"/>
        <v>0</v>
      </c>
    </row>
    <row r="85" spans="1:21">
      <c r="A85" s="107"/>
      <c r="B85" s="108" t="s">
        <v>110</v>
      </c>
      <c r="C85" s="100">
        <f>COUNTIFS(เรื่องร้องเรียน!E:E,"1",เรื่องร้องเรียน!AO:AO,"8",เรื่องร้องเรียน!AN:AN,"บางมด")</f>
        <v>0</v>
      </c>
      <c r="D85" s="101">
        <f>COUNTIFS(เรื่องร้องเรียน!E:E,"1",เรื่องร้องเรียน!AO:AO,"8",เรื่องร้องเรียน!AN:AN,"บางมด",เรื่องร้องเรียน!CL:CL,"1")</f>
        <v>0</v>
      </c>
      <c r="E85" s="101">
        <f>COUNTIFS(เรื่องร้องเรียน!E:E,"2",เรื่องร้องเรียน!AO:AO,"8",เรื่องร้องเรียน!AN:AN,"บางมด")</f>
        <v>0</v>
      </c>
      <c r="F85" s="101">
        <f>COUNTIFS(เรื่องร้องเรียน!E:E,"2",เรื่องร้องเรียน!AO:AO,"8",เรื่องร้องเรียน!AN:AN,"บางมด",เรื่องร้องเรียน!CL:CL,"1")</f>
        <v>0</v>
      </c>
      <c r="G85" s="101">
        <f>COUNTIFS(เรื่องร้องเรียน!E:E,"3",เรื่องร้องเรียน!AO:AO,"8",เรื่องร้องเรียน!AN:AN,"บางมด")</f>
        <v>0</v>
      </c>
      <c r="H85" s="101">
        <f>COUNTIFS(เรื่องร้องเรียน!E:E,"3",เรื่องร้องเรียน!AO:AO,"8",เรื่องร้องเรียน!AN:AN,"บางมด",เรื่องร้องเรียน!CL:CL,"1")</f>
        <v>0</v>
      </c>
      <c r="I85" s="101">
        <f>COUNTIFS(เรื่องร้องเรียน!E:E,"4",เรื่องร้องเรียน!AO:AO,"8",เรื่องร้องเรียน!AN:AN,"บางมด")</f>
        <v>0</v>
      </c>
      <c r="J85" s="101">
        <f>COUNTIFS(เรื่องร้องเรียน!E:E,"4",เรื่องร้องเรียน!AO:AO,"8",เรื่องร้องเรียน!AN:AN,"บางมด",เรื่องร้องเรียน!CL:CL,"1")</f>
        <v>0</v>
      </c>
      <c r="K85" s="102"/>
      <c r="L85" s="102"/>
      <c r="M85" s="101">
        <f t="shared" si="12"/>
        <v>0</v>
      </c>
      <c r="N85" s="103">
        <f t="shared" si="12"/>
        <v>0</v>
      </c>
      <c r="O85" s="104">
        <f>COUNTIFS(เรื่องร้องเรียน!E:E,"1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P85" s="101">
        <f>COUNTIFS(เรื่องร้องเรียน!E:E,"2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Q85" s="101">
        <f>COUNTIFS(เรื่องร้องเรียน!E:E,"3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R85" s="101">
        <f>COUNTIFS(เรื่องร้องเรียน!E:E,"4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S85" s="102"/>
      <c r="T85" s="109">
        <f t="shared" si="13"/>
        <v>0</v>
      </c>
      <c r="U85" s="110">
        <f t="shared" si="11"/>
        <v>0</v>
      </c>
    </row>
    <row r="86" spans="1:21">
      <c r="A86" s="107"/>
      <c r="B86" s="108" t="s">
        <v>195</v>
      </c>
      <c r="C86" s="100">
        <f>COUNTIFS(เรื่องร้องเรียน!E:E,"1",เรื่องร้องเรียน!AO:AO,"8",เรื่องร้องเรียน!AN:AN,"บางยี่เรือ")</f>
        <v>0</v>
      </c>
      <c r="D86" s="101">
        <f>COUNTIFS(เรื่องร้องเรียน!E:E,"1",เรื่องร้องเรียน!AO:AO,"8",เรื่องร้องเรียน!AN:AN,"บางยี่เรือ",เรื่องร้องเรียน!CL:CL,"1")</f>
        <v>0</v>
      </c>
      <c r="E86" s="101">
        <f>COUNTIFS(เรื่องร้องเรียน!E:E,"2",เรื่องร้องเรียน!AO:AO,"8",เรื่องร้องเรียน!AN:AN,"บางยี่เรือ")</f>
        <v>0</v>
      </c>
      <c r="F86" s="101">
        <f>COUNTIFS(เรื่องร้องเรียน!E:E,"2",เรื่องร้องเรียน!AO:AO,"8",เรื่องร้องเรียน!AN:AN,"บางยี่เรือ",เรื่องร้องเรียน!CL:CL,"1")</f>
        <v>0</v>
      </c>
      <c r="G86" s="101">
        <f>COUNTIFS(เรื่องร้องเรียน!E:E,"3",เรื่องร้องเรียน!AO:AO,"8",เรื่องร้องเรียน!AN:AN,"บางยี่เรือ")</f>
        <v>0</v>
      </c>
      <c r="H86" s="101">
        <f>COUNTIFS(เรื่องร้องเรียน!E:E,"3",เรื่องร้องเรียน!AO:AO,"8",เรื่องร้องเรียน!AN:AN,"บางยี่เรือ",เรื่องร้องเรียน!CL:CL,"1")</f>
        <v>0</v>
      </c>
      <c r="I86" s="101">
        <f>COUNTIFS(เรื่องร้องเรียน!E:E,"4",เรื่องร้องเรียน!AO:AO,"8",เรื่องร้องเรียน!AN:AN,"บางยี่เรือ")</f>
        <v>0</v>
      </c>
      <c r="J86" s="101">
        <f>COUNTIFS(เรื่องร้องเรียน!E:E,"4",เรื่องร้องเรียน!AO:AO,"8",เรื่องร้องเรียน!AN:AN,"บางยี่เรือ",เรื่องร้องเรียน!CL:CL,"1")</f>
        <v>0</v>
      </c>
      <c r="K86" s="102"/>
      <c r="L86" s="102"/>
      <c r="M86" s="101">
        <f t="shared" si="12"/>
        <v>0</v>
      </c>
      <c r="N86" s="103">
        <f t="shared" si="12"/>
        <v>0</v>
      </c>
      <c r="O86" s="104">
        <f>COUNTIFS(เรื่องร้องเรียน!E:E,"1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P86" s="101">
        <f>COUNTIFS(เรื่องร้องเรียน!E:E,"2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Q86" s="101">
        <f>COUNTIFS(เรื่องร้องเรียน!E:E,"3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R86" s="101">
        <f>COUNTIFS(เรื่องร้องเรียน!E:E,"4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S86" s="102"/>
      <c r="T86" s="109">
        <f t="shared" si="13"/>
        <v>0</v>
      </c>
      <c r="U86" s="110">
        <f t="shared" si="11"/>
        <v>0</v>
      </c>
    </row>
    <row r="87" spans="1:21">
      <c r="A87" s="107"/>
      <c r="B87" s="108" t="s">
        <v>196</v>
      </c>
      <c r="C87" s="100">
        <f>COUNTIFS(เรื่องร้องเรียน!E:E,"1",เรื่องร้องเรียน!AO:AO,"8",เรื่องร้องเรียน!AN:AN,"บุคคโล")</f>
        <v>0</v>
      </c>
      <c r="D87" s="101">
        <f>COUNTIFS(เรื่องร้องเรียน!E:E,"1",เรื่องร้องเรียน!AO:AO,"8",เรื่องร้องเรียน!AN:AN,"บุคคโล",เรื่องร้องเรียน!CL:CL,"1")</f>
        <v>0</v>
      </c>
      <c r="E87" s="101">
        <f>COUNTIFS(เรื่องร้องเรียน!E:E,"2",เรื่องร้องเรียน!AO:AO,"8",เรื่องร้องเรียน!AN:AN,"บุคคโล")</f>
        <v>0</v>
      </c>
      <c r="F87" s="101">
        <f>COUNTIFS(เรื่องร้องเรียน!E:E,"2",เรื่องร้องเรียน!AO:AO,"8",เรื่องร้องเรียน!AN:AN,"บุคคโล",เรื่องร้องเรียน!CL:CL,"1")</f>
        <v>0</v>
      </c>
      <c r="G87" s="101">
        <f>COUNTIFS(เรื่องร้องเรียน!E:E,"3",เรื่องร้องเรียน!AO:AO,"8",เรื่องร้องเรียน!AN:AN,"บุคคโล")</f>
        <v>0</v>
      </c>
      <c r="H87" s="101">
        <f>COUNTIFS(เรื่องร้องเรียน!E:E,"3",เรื่องร้องเรียน!AO:AO,"8",เรื่องร้องเรียน!AN:AN,"บุคคโล",เรื่องร้องเรียน!CL:CL,"1")</f>
        <v>0</v>
      </c>
      <c r="I87" s="101">
        <f>COUNTIFS(เรื่องร้องเรียน!E:E,"4",เรื่องร้องเรียน!AO:AO,"8",เรื่องร้องเรียน!AN:AN,"บุคคโล")</f>
        <v>0</v>
      </c>
      <c r="J87" s="101">
        <f>COUNTIFS(เรื่องร้องเรียน!E:E,"4",เรื่องร้องเรียน!AO:AO,"8",เรื่องร้องเรียน!AN:AN,"บุคคโล",เรื่องร้องเรียน!CL:CL,"1")</f>
        <v>0</v>
      </c>
      <c r="K87" s="102"/>
      <c r="L87" s="102"/>
      <c r="M87" s="101">
        <f t="shared" si="12"/>
        <v>0</v>
      </c>
      <c r="N87" s="103">
        <f t="shared" si="12"/>
        <v>0</v>
      </c>
      <c r="O87" s="104">
        <f>COUNTIFS(เรื่องร้องเรียน!E:E,"1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P87" s="101">
        <f>COUNTIFS(เรื่องร้องเรียน!E:E,"2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Q87" s="101">
        <f>COUNTIFS(เรื่องร้องเรียน!E:E,"3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R87" s="101">
        <f>COUNTIFS(เรื่องร้องเรียน!E:E,"4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S87" s="102"/>
      <c r="T87" s="109">
        <f t="shared" si="13"/>
        <v>0</v>
      </c>
      <c r="U87" s="110">
        <f t="shared" si="11"/>
        <v>0</v>
      </c>
    </row>
    <row r="88" spans="1:21">
      <c r="A88" s="107"/>
      <c r="B88" s="108" t="s">
        <v>123</v>
      </c>
      <c r="C88" s="100">
        <f>COUNTIFS(เรื่องร้องเรียน!E:E,"1",เรื่องร้องเรียน!AO:AO,"8",เรื่องร้องเรียน!AN:AN,"บุปผาราม")</f>
        <v>0</v>
      </c>
      <c r="D88" s="101">
        <f>COUNTIFS(เรื่องร้องเรียน!E:E,"1",เรื่องร้องเรียน!AO:AO,"8",เรื่องร้องเรียน!AN:AN,"บุปผาราม",เรื่องร้องเรียน!CL:CL,"1")</f>
        <v>0</v>
      </c>
      <c r="E88" s="101">
        <f>COUNTIFS(เรื่องร้องเรียน!E:E,"2",เรื่องร้องเรียน!AO:AO,"8",เรื่องร้องเรียน!AN:AN,"บุปผาราม")</f>
        <v>0</v>
      </c>
      <c r="F88" s="101">
        <f>COUNTIFS(เรื่องร้องเรียน!E:E,"2",เรื่องร้องเรียน!AO:AO,"8",เรื่องร้องเรียน!AN:AN,"บุปผาราม",เรื่องร้องเรียน!CL:CL,"1")</f>
        <v>0</v>
      </c>
      <c r="G88" s="101">
        <f>COUNTIFS(เรื่องร้องเรียน!E:E,"3",เรื่องร้องเรียน!AO:AO,"8",เรื่องร้องเรียน!AN:AN,"บุปผาราม")</f>
        <v>0</v>
      </c>
      <c r="H88" s="101">
        <f>COUNTIFS(เรื่องร้องเรียน!E:E,"3",เรื่องร้องเรียน!AO:AO,"8",เรื่องร้องเรียน!AN:AN,"บุปผาราม",เรื่องร้องเรียน!CL:CL,"1")</f>
        <v>0</v>
      </c>
      <c r="I88" s="101">
        <f>COUNTIFS(เรื่องร้องเรียน!E:E,"4",เรื่องร้องเรียน!AO:AO,"8",เรื่องร้องเรียน!AN:AN,"บุปผาราม")</f>
        <v>0</v>
      </c>
      <c r="J88" s="101">
        <f>COUNTIFS(เรื่องร้องเรียน!E:E,"4",เรื่องร้องเรียน!AO:AO,"8",เรื่องร้องเรียน!AN:AN,"บุปผาราม",เรื่องร้องเรียน!CL:CL,"1")</f>
        <v>0</v>
      </c>
      <c r="K88" s="102"/>
      <c r="L88" s="102"/>
      <c r="M88" s="101">
        <f t="shared" si="12"/>
        <v>0</v>
      </c>
      <c r="N88" s="103">
        <f t="shared" si="12"/>
        <v>0</v>
      </c>
      <c r="O88" s="104">
        <f>COUNTIFS(เรื่องร้องเรียน!E:E,"1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P88" s="101">
        <f>COUNTIFS(เรื่องร้องเรียน!E:E,"2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Q88" s="101">
        <f>COUNTIFS(เรื่องร้องเรียน!E:E,"3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R88" s="101">
        <f>COUNTIFS(เรื่องร้องเรียน!E:E,"4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S88" s="102"/>
      <c r="T88" s="109">
        <f t="shared" si="13"/>
        <v>0</v>
      </c>
      <c r="U88" s="110">
        <f t="shared" si="11"/>
        <v>0</v>
      </c>
    </row>
    <row r="89" spans="1:21">
      <c r="A89" s="107"/>
      <c r="B89" s="108" t="s">
        <v>113</v>
      </c>
      <c r="C89" s="100">
        <f>COUNTIFS(เรื่องร้องเรียน!E:E,"1",เรื่องร้องเรียน!AO:AO,"8",เรื่องร้องเรียน!AN:AN,"ราษฎร์บูรณะ")</f>
        <v>0</v>
      </c>
      <c r="D89" s="101">
        <f>COUNTIFS(เรื่องร้องเรียน!E:E,"1",เรื่องร้องเรียน!AO:AO,"8",เรื่องร้องเรียน!AN:AN,"ราษฎร์บูรณะ",เรื่องร้องเรียน!CL:CL,"1")</f>
        <v>0</v>
      </c>
      <c r="E89" s="101">
        <f>COUNTIFS(เรื่องร้องเรียน!E:E,"2",เรื่องร้องเรียน!AO:AO,"8",เรื่องร้องเรียน!AN:AN,"ราษฎร์บูรณะ")</f>
        <v>0</v>
      </c>
      <c r="F89" s="101">
        <f>COUNTIFS(เรื่องร้องเรียน!E:E,"2",เรื่องร้องเรียน!AO:AO,"8",เรื่องร้องเรียน!AN:AN,"ราษฎร์บูรณะ",เรื่องร้องเรียน!CL:CL,"1")</f>
        <v>0</v>
      </c>
      <c r="G89" s="101">
        <f>COUNTIFS(เรื่องร้องเรียน!E:E,"3",เรื่องร้องเรียน!AO:AO,"8",เรื่องร้องเรียน!AN:AN,"ราษฎร์บูรณะ")</f>
        <v>0</v>
      </c>
      <c r="H89" s="101">
        <f>COUNTIFS(เรื่องร้องเรียน!E:E,"3",เรื่องร้องเรียน!AO:AO,"8",เรื่องร้องเรียน!AN:AN,"ราษฎร์บูรณะ",เรื่องร้องเรียน!CL:CL,"1")</f>
        <v>0</v>
      </c>
      <c r="I89" s="101">
        <f>COUNTIFS(เรื่องร้องเรียน!E:E,"4",เรื่องร้องเรียน!AO:AO,"8",เรื่องร้องเรียน!AN:AN,"ราษฎร์บูรณะ")</f>
        <v>0</v>
      </c>
      <c r="J89" s="101">
        <f>COUNTIFS(เรื่องร้องเรียน!E:E,"4",เรื่องร้องเรียน!AO:AO,"8",เรื่องร้องเรียน!AN:AN,"ราษฎร์บูรณะ",เรื่องร้องเรียน!CL:CL,"1")</f>
        <v>0</v>
      </c>
      <c r="K89" s="102"/>
      <c r="L89" s="102"/>
      <c r="M89" s="101">
        <f t="shared" si="12"/>
        <v>0</v>
      </c>
      <c r="N89" s="103">
        <f t="shared" si="12"/>
        <v>0</v>
      </c>
      <c r="O89" s="104">
        <f>COUNTIFS(เรื่องร้องเรียน!E:E,"1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P89" s="101">
        <f>COUNTIFS(เรื่องร้องเรียน!E:E,"2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Q89" s="101">
        <f>COUNTIFS(เรื่องร้องเรียน!E:E,"3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R89" s="101">
        <f>COUNTIFS(เรื่องร้องเรียน!E:E,"4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S89" s="102"/>
      <c r="T89" s="109">
        <f t="shared" si="13"/>
        <v>0</v>
      </c>
      <c r="U89" s="110">
        <f t="shared" si="11"/>
        <v>0</v>
      </c>
    </row>
    <row r="90" spans="1:21">
      <c r="A90" s="107"/>
      <c r="B90" s="108" t="s">
        <v>83</v>
      </c>
      <c r="C90" s="100">
        <f>COUNTIFS(เรื่องร้องเรียน!E:E,"1",เรื่องร้องเรียน!AO:AO,"8",เรื่องร้องเรียน!AN:AN,"สมเด็จเจ้าพระยา")</f>
        <v>0</v>
      </c>
      <c r="D90" s="101">
        <f>COUNTIFS(เรื่องร้องเรียน!E:E,"1",เรื่องร้องเรียน!AO:AO,"8",เรื่องร้องเรียน!AN:AN,"สมเด็จเจ้าพระยา",เรื่องร้องเรียน!CL:CL,"1")</f>
        <v>0</v>
      </c>
      <c r="E90" s="101">
        <f>COUNTIFS(เรื่องร้องเรียน!E:E,"2",เรื่องร้องเรียน!AO:AO,"8",เรื่องร้องเรียน!AN:AN,"สมเด็จเจ้าพระยา")</f>
        <v>0</v>
      </c>
      <c r="F90" s="10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COUNTIFS(เรื่องร้องเรียน!E:E,"2",เรื่องร้องเรียน!AO:AO,"8",เรื่องร้องเรียน!AN:AN,"สมเด็จเจ้าพระยา",เรื่องร้องเรียน!CL:CL,"1")</f>
        <v>0</v>
      </c>
      <c r="G90" s="101">
        <f>COUNTIFS(เรื่องร้องเรียน!E:E,"3",เรื่องร้องเรียน!AO:AO,"8",เรื่องร้องเรียน!AN:AN,"สมเด็จเจ้าพระยา")</f>
        <v>0</v>
      </c>
      <c r="H90" s="101">
        <f>COUNTIFS(เรื่องร้องเรียน!E:E,"3",เรื่องร้องเรียน!AO:AO,"8",เรื่องร้องเรียน!AN:AN,"สมเด็จเจ้าพระยา",เรื่องร้องเรียน!CL:CL,"1")</f>
        <v>0</v>
      </c>
      <c r="I90" s="101">
        <f>COUNTIFS(เรื่องร้องเรียน!E:E,"4",เรื่องร้องเรียน!AO:AO,"8",เรื่องร้องเรียน!AN:AN,"สมเด็จเจ้าพระยา")</f>
        <v>0</v>
      </c>
      <c r="J90" s="101">
        <f>COUNTIFS(เรื่องร้องเรียน!E:E,"4",เรื่องร้องเรียน!AO:AO,"8",เรื่องร้องเรียน!AN:AN,"สมเด็จเจ้าพระยา",เรื่องร้องเรียน!CL:CL,"1")</f>
        <v>0</v>
      </c>
      <c r="K90" s="102"/>
      <c r="L90" s="102"/>
      <c r="M90" s="101">
        <f t="shared" si="12"/>
        <v>0</v>
      </c>
      <c r="N90" s="103">
        <f t="shared" si="12"/>
        <v>0</v>
      </c>
      <c r="O90" s="104">
        <f>COUNTIFS(เรื่องร้องเรียน!E:E,"1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P90" s="10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Q90" s="101">
        <f>COUNTIFS(เรื่องร้องเรียน!E:E,"3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R90" s="101">
        <f>COUNTIFS(เรื่องร้องเรียน!E:E,"4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S90" s="102"/>
      <c r="T90" s="109">
        <f t="shared" si="13"/>
        <v>0</v>
      </c>
      <c r="U90" s="110">
        <f t="shared" si="11"/>
        <v>0</v>
      </c>
    </row>
    <row r="91" spans="1:21">
      <c r="A91" s="107"/>
      <c r="B91" s="108" t="s">
        <v>197</v>
      </c>
      <c r="C91" s="100">
        <f>COUNTIFS(เรื่องร้องเรียน!E:E,"1",เรื่องร้องเรียน!AO:AO,"8",เรื่องร้องเรียน!AN:AN,"สำเหร่")</f>
        <v>0</v>
      </c>
      <c r="D91" s="101">
        <f>COUNTIFS(เรื่องร้องเรียน!E:E,"1",เรื่องร้องเรียน!AO:AO,"8",เรื่องร้องเรียน!AN:AN,"สำเหร่",เรื่องร้องเรียน!CL:CL,"1")</f>
        <v>0</v>
      </c>
      <c r="E91" s="101">
        <f>COUNTIFS(เรื่องร้องเรียน!E:E,"2",เรื่องร้องเรียน!AO:AO,"8",เรื่องร้องเรียน!AN:AN,"สำเหร่")</f>
        <v>0</v>
      </c>
      <c r="F91" s="101">
        <f>COUNTIFS(เรื่องร้องเรียน!E:E,"2",เรื่องร้องเรียน!AO:AO,"8",เรื่องร้องเรียน!AN:AN,"สำเหร่",เรื่องร้องเรียน!CL:CL,"1")</f>
        <v>0</v>
      </c>
      <c r="G91" s="101">
        <f>COUNTIFS(เรื่องร้องเรียน!E:E,"3",เรื่องร้องเรียน!AO:AO,"8",เรื่องร้องเรียน!AN:AN,"สำเหร่")</f>
        <v>0</v>
      </c>
      <c r="H91" s="101">
        <f>COUNTIFS(เรื่องร้องเรียน!E:E,"3",เรื่องร้องเรียน!AO:AO,"8",เรื่องร้องเรียน!AN:AN,"สำเหร่",เรื่องร้องเรียน!CL:CL,"1")</f>
        <v>0</v>
      </c>
      <c r="I91" s="101">
        <f>COUNTIFS(เรื่องร้องเรียน!E:E,"4",เรื่องร้องเรียน!AO:AO,"8",เรื่องร้องเรียน!AN:AN,"สำเหร่")</f>
        <v>0</v>
      </c>
      <c r="J91" s="101">
        <f>COUNTIFS(เรื่องร้องเรียน!E:E,"4",เรื่องร้องเรียน!AO:AO,"8",เรื่องร้องเรียน!AN:AN,"สำเหร่",เรื่องร้องเรียน!CL:CL,"1")</f>
        <v>0</v>
      </c>
      <c r="K91" s="102"/>
      <c r="L91" s="102"/>
      <c r="M91" s="101">
        <f t="shared" si="12"/>
        <v>0</v>
      </c>
      <c r="N91" s="103">
        <f t="shared" si="12"/>
        <v>0</v>
      </c>
      <c r="O91" s="104">
        <f>COUNTIFS(เรื่องร้องเรียน!E:E,"1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P91" s="101">
        <f>COUNTIFS(เรื่องร้องเรียน!E:E,"2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Q91" s="101">
        <f>COUNTIFS(เรื่องร้องเรียน!E:E,"3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R91" s="101">
        <f>COUNTIFS(เรื่องร้องเรียน!E:E,"4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S91" s="102"/>
      <c r="T91" s="109">
        <f t="shared" si="13"/>
        <v>0</v>
      </c>
      <c r="U91" s="110">
        <f t="shared" si="11"/>
        <v>0</v>
      </c>
    </row>
    <row r="92" spans="1:21">
      <c r="A92" s="107"/>
      <c r="B92" s="108" t="s">
        <v>105</v>
      </c>
      <c r="C92" s="100">
        <f>COUNTIFS(เรื่องร้องเรียน!E:E,"1",เรื่องร้องเรียน!AO:AO,"8",เรื่องร้องเรียน!AN:AN,"บางคอแหลม")</f>
        <v>0</v>
      </c>
      <c r="D92" s="101">
        <f>COUNTIFS(เรื่องร้องเรียน!E:E,"1",เรื่องร้องเรียน!AO:AO,"8",เรื่องร้องเรียน!AN:AN,"บางคอแหลม",เรื่องร้องเรียน!CL:CL,"1")</f>
        <v>0</v>
      </c>
      <c r="E92" s="101">
        <f>COUNTIFS(เรื่องร้องเรียน!E:E,"2",เรื่องร้องเรียน!AO:AO,"8",เรื่องร้องเรียน!AN:AN,"บางคอแหลม")</f>
        <v>0</v>
      </c>
      <c r="F92" s="101">
        <f>COUNTIFS(เรื่องร้องเรียน!E:E,"2",เรื่องร้องเรียน!AO:AO,"8",เรื่องร้องเรียน!AN:AN,"บางคอแหลม",เรื่องร้องเรียน!CL:CL,"1")</f>
        <v>0</v>
      </c>
      <c r="G92" s="101">
        <f>COUNTIFS(เรื่องร้องเรียน!E:E,"3",เรื่องร้องเรียน!AO:AO,"8",เรื่องร้องเรียน!AN:AN,"บางคอแหลม")</f>
        <v>0</v>
      </c>
      <c r="H92" s="101">
        <f>COUNTIFS(เรื่องร้องเรียน!E:E,"3",เรื่องร้องเรียน!AO:AO,"8",เรื่องร้องเรียน!AN:AN,"บางคอแหลม",เรื่องร้องเรียน!CL:CL,"1")</f>
        <v>0</v>
      </c>
      <c r="I92" s="101">
        <f>COUNTIFS(เรื่องร้องเรียน!E:E,"4",เรื่องร้องเรียน!AO:AO,"8",เรื่องร้องเรียน!AN:AN,"บางคอแหลม")</f>
        <v>0</v>
      </c>
      <c r="J92" s="101">
        <f>COUNTIFS(เรื่องร้องเรียน!E:E,"4",เรื่องร้องเรียน!AO:AO,"8",เรื่องร้องเรียน!AN:AN,"บางคอแหลม",เรื่องร้องเรียน!CL:CL,"1")</f>
        <v>0</v>
      </c>
      <c r="K92" s="102"/>
      <c r="L92" s="102"/>
      <c r="M92" s="101">
        <f t="shared" si="12"/>
        <v>0</v>
      </c>
      <c r="N92" s="103">
        <f t="shared" si="12"/>
        <v>0</v>
      </c>
      <c r="O92" s="104">
        <f>COUNTIFS(เรื่องร้องเรียน!E:E,"1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P92" s="101">
        <f>COUNTIFS(เรื่องร้องเรียน!E:E,"2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Q92" s="101">
        <f>COUNTIFS(เรื่องร้องเรียน!E:E,"3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R92" s="101">
        <f>COUNTIFS(เรื่องร้องเรียน!E:E,"4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S92" s="102"/>
      <c r="T92" s="109">
        <f t="shared" si="13"/>
        <v>0</v>
      </c>
      <c r="U92" s="110">
        <f t="shared" si="11"/>
        <v>0</v>
      </c>
    </row>
    <row r="93" spans="1:21" ht="21.6" thickBot="1">
      <c r="A93" s="111"/>
      <c r="B93" s="112" t="s">
        <v>198</v>
      </c>
      <c r="C93" s="120">
        <f>COUNTIFS(เรื่องร้องเรียน!E:E,"1",เรื่องร้องเรียน!AO:AO,"8",เรื่องร้องเรียน!AN:AN,"ปากคลองสาน")</f>
        <v>0</v>
      </c>
      <c r="D93" s="117">
        <f>COUNTIFS(เรื่องร้องเรียน!E:E,"1",เรื่องร้องเรียน!AO:AO,"8",เรื่องร้องเรียน!AN:AN,"ปากคลองสาน",เรื่องร้องเรียน!CL:CL,"1")</f>
        <v>0</v>
      </c>
      <c r="E93" s="117">
        <f>COUNTIFS(เรื่องร้องเรียน!E:E,"2",เรื่องร้องเรียน!AO:AO,"8",เรื่องร้องเรียน!AN:AN,"ปากคลองสาน")</f>
        <v>0</v>
      </c>
      <c r="F93" s="117">
        <f>COUNTIFS(เรื่องร้องเรียน!E:E,"2",เรื่องร้องเรียน!AO:AO,"8",เรื่องร้องเรียน!AN:AN,"ปากคลองสาน",เรื่องร้องเรียน!CL:CL,"1")</f>
        <v>0</v>
      </c>
      <c r="G93" s="117">
        <f>COUNTIFS(เรื่องร้องเรียน!E:E,"3",เรื่องร้องเรียน!AO:AO,"8",เรื่องร้องเรียน!AN:AN,"ปากคลองสาน")</f>
        <v>0</v>
      </c>
      <c r="H93" s="117">
        <f>COUNTIFS(เรื่องร้องเรียน!E:E,"3",เรื่องร้องเรียน!AO:AO,"8",เรื่องร้องเรียน!AN:AN,"ปากคลองสาน",เรื่องร้องเรียน!CL:CL,"1")</f>
        <v>0</v>
      </c>
      <c r="I93" s="117">
        <f>COUNTIFS(เรื่องร้องเรียน!E:E,"4",เรื่องร้องเรียน!AO:AO,"8",เรื่องร้องเรียน!AN:AN,"ปากคลองสาน")</f>
        <v>0</v>
      </c>
      <c r="J93" s="117">
        <f>COUNTIFS(เรื่องร้องเรียน!E:E,"4",เรื่องร้องเรียน!AO:AO,"8",เรื่องร้องเรียน!AN:AN,"ปากคลองสาน",เรื่องร้องเรียน!CL:CL,"1")</f>
        <v>0</v>
      </c>
      <c r="K93" s="121"/>
      <c r="L93" s="121"/>
      <c r="M93" s="117">
        <f t="shared" si="12"/>
        <v>0</v>
      </c>
      <c r="N93" s="122">
        <f t="shared" si="12"/>
        <v>0</v>
      </c>
      <c r="O93" s="123">
        <f>COUNTIFS(เรื่องร้องเรียน!E:E,"1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P93" s="117">
        <f>COUNTIFS(เรื่องร้องเรียน!E:E,"2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Q93" s="117">
        <f>COUNTIFS(เรื่องร้องเรียน!E:E,"3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R93" s="117">
        <f>COUNTIFS(เรื่องร้องเรียน!E:E,"4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S93" s="121"/>
      <c r="T93" s="117">
        <f t="shared" si="13"/>
        <v>0</v>
      </c>
      <c r="U93" s="118">
        <f t="shared" si="11"/>
        <v>0</v>
      </c>
    </row>
    <row r="94" spans="1:21" ht="21.6" thickBot="1">
      <c r="A94" s="89">
        <v>9</v>
      </c>
      <c r="B94" s="90"/>
      <c r="C94" s="91">
        <f>SUM(C95:C104)</f>
        <v>0</v>
      </c>
      <c r="D94" s="92">
        <f t="shared" ref="D94:R94" si="15">SUM(D95:D104)</f>
        <v>0</v>
      </c>
      <c r="E94" s="92">
        <f t="shared" si="15"/>
        <v>0</v>
      </c>
      <c r="F94" s="92">
        <f t="shared" si="15"/>
        <v>0</v>
      </c>
      <c r="G94" s="92">
        <f t="shared" si="15"/>
        <v>0</v>
      </c>
      <c r="H94" s="92">
        <f t="shared" si="15"/>
        <v>0</v>
      </c>
      <c r="I94" s="92">
        <f t="shared" si="15"/>
        <v>0</v>
      </c>
      <c r="J94" s="92">
        <f t="shared" si="15"/>
        <v>0</v>
      </c>
      <c r="K94" s="93"/>
      <c r="L94" s="93"/>
      <c r="M94" s="92">
        <f t="shared" si="12"/>
        <v>0</v>
      </c>
      <c r="N94" s="94">
        <f t="shared" si="12"/>
        <v>0</v>
      </c>
      <c r="O94" s="95">
        <f t="shared" si="15"/>
        <v>0</v>
      </c>
      <c r="P94" s="92">
        <f t="shared" si="15"/>
        <v>0</v>
      </c>
      <c r="Q94" s="92">
        <f t="shared" si="15"/>
        <v>0</v>
      </c>
      <c r="R94" s="92">
        <f t="shared" si="15"/>
        <v>0</v>
      </c>
      <c r="S94" s="93"/>
      <c r="T94" s="92">
        <f t="shared" si="13"/>
        <v>0</v>
      </c>
      <c r="U94" s="88">
        <f t="shared" si="11"/>
        <v>0</v>
      </c>
    </row>
    <row r="95" spans="1:21">
      <c r="A95" s="98"/>
      <c r="B95" s="99" t="s">
        <v>112</v>
      </c>
      <c r="C95" s="100">
        <f>COUNTIFS(เรื่องร้องเรียน!E:E,"1",เรื่องร้องเรียน!AO:AO,"9",เรื่องร้องเรียน!AN:AN,"ท่าข้าม")</f>
        <v>0</v>
      </c>
      <c r="D95" s="101">
        <f>COUNTIFS(เรื่องร้องเรียน!E:E,"1",เรื่องร้องเรียน!AO:AO,"9",เรื่องร้องเรียน!AN:AN,"ท่าข้าม",เรื่องร้องเรียน!CL:CL,"1")</f>
        <v>0</v>
      </c>
      <c r="E95" s="101">
        <f>COUNTIFS(เรื่องร้องเรียน!E:E,"2",เรื่องร้องเรียน!AO:AO,"9",เรื่องร้องเรียน!AN:AN,"ท่าข้าม")</f>
        <v>0</v>
      </c>
      <c r="F95" s="101">
        <f>COUNTIFS(เรื่องร้องเรียน!E:E,"2",เรื่องร้องเรียน!AO:AO,"9",เรื่องร้องเรียน!AN:AN,"ท่าข้าม",เรื่องร้องเรียน!CL:CL,"1")</f>
        <v>0</v>
      </c>
      <c r="G95" s="101">
        <f>COUNTIFS(เรื่องร้องเรียน!E:E,"3",เรื่องร้องเรียน!AO:AO,"9",เรื่องร้องเรียน!AN:AN,"ท่าข้าม")</f>
        <v>0</v>
      </c>
      <c r="H95" s="101">
        <f>COUNTIFS(เรื่องร้องเรียน!E:E,"3",เรื่องร้องเรียน!AO:AO,"9",เรื่องร้องเรียน!AN:AN,"ท่าข้าม",เรื่องร้องเรียน!CL:CL,"1")</f>
        <v>0</v>
      </c>
      <c r="I95" s="101">
        <f>COUNTIFS(เรื่องร้องเรียน!E:E,"4",เรื่องร้องเรียน!AO:AO,"9",เรื่องร้องเรียน!AN:AN,"ท่าข้าม")</f>
        <v>0</v>
      </c>
      <c r="J95" s="101">
        <f>COUNTIFS(เรื่องร้องเรียน!E:E,"4",เรื่องร้องเรียน!AO:AO,"9",เรื่องร้องเรียน!AN:AN,"ท่าข้าม",เรื่องร้องเรียน!CL:CL,"1")</f>
        <v>0</v>
      </c>
      <c r="K95" s="102"/>
      <c r="L95" s="102"/>
      <c r="M95" s="101">
        <f t="shared" si="12"/>
        <v>0</v>
      </c>
      <c r="N95" s="103">
        <f t="shared" si="12"/>
        <v>0</v>
      </c>
      <c r="O95" s="104">
        <f>COUNTIFS(เรื่องร้องเรียน!E:E,"1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P95" s="101">
        <f>COUNTIFS(เรื่องร้องเรียน!E:E,"2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Q95" s="101">
        <f>COUNTIFS(เรื่องร้องเรียน!E:E,"3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R95" s="101">
        <f>COUNTIFS(เรื่องร้องเรียน!E:E,"4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S95" s="102"/>
      <c r="T95" s="101">
        <f t="shared" si="13"/>
        <v>0</v>
      </c>
      <c r="U95" s="119">
        <f t="shared" si="11"/>
        <v>0</v>
      </c>
    </row>
    <row r="96" spans="1:21">
      <c r="A96" s="107"/>
      <c r="B96" s="108" t="s">
        <v>121</v>
      </c>
      <c r="C96" s="100">
        <f>COUNTIFS(เรื่องร้องเรียน!E:E,"1",เรื่องร้องเรียน!AO:AO,"9",เรื่องร้องเรียน!AN:AN,"เทียนทะเล")</f>
        <v>0</v>
      </c>
      <c r="D96" s="101">
        <f>COUNTIFS(เรื่องร้องเรียน!E:E,"1",เรื่องร้องเรียน!AO:AO,"9",เรื่องร้องเรียน!AN:AN,"เทียนทะเล",เรื่องร้องเรียน!CL:CL,"1")</f>
        <v>0</v>
      </c>
      <c r="E96" s="101">
        <f>COUNTIFS(เรื่องร้องเรียน!E:E,"2",เรื่องร้องเรียน!AO:AO,"9",เรื่องร้องเรียน!AN:AN,"เทียนทะเล")</f>
        <v>0</v>
      </c>
      <c r="F96" s="101">
        <f>COUNTIFS(เรื่องร้องเรียน!E:E,"2",เรื่องร้องเรียน!AO:AO,"9",เรื่องร้องเรียน!AN:AN,"เทียนทะเล",เรื่องร้องเรียน!CL:CL,"1")</f>
        <v>0</v>
      </c>
      <c r="G96" s="101">
        <f>COUNTIFS(เรื่องร้องเรียน!E:E,"3",เรื่องร้องเรียน!AO:AO,"9",เรื่องร้องเรียน!AN:AN,"เทียนทะเล")</f>
        <v>0</v>
      </c>
      <c r="H96" s="101">
        <f>COUNTIFS(เรื่องร้องเรียน!E:E,"3",เรื่องร้องเรียน!AO:AO,"9",เรื่องร้องเรียน!AN:AN,"เทียนทะเล",เรื่องร้องเรียน!CL:CL,"1")</f>
        <v>0</v>
      </c>
      <c r="I96" s="101">
        <f>COUNTIFS(เรื่องร้องเรียน!E:E,"4",เรื่องร้องเรียน!AO:AO,"9",เรื่องร้องเรียน!AN:AN,"เทียนทะเล")</f>
        <v>0</v>
      </c>
      <c r="J96" s="101">
        <f>COUNTIFS(เรื่องร้องเรียน!E:E,"4",เรื่องร้องเรียน!AO:AO,"9",เรื่องร้องเรียน!AN:AN,"เทียนทะเล",เรื่องร้องเรียน!CL:CL,"1")</f>
        <v>0</v>
      </c>
      <c r="K96" s="102"/>
      <c r="L96" s="102"/>
      <c r="M96" s="101">
        <f t="shared" si="12"/>
        <v>0</v>
      </c>
      <c r="N96" s="103">
        <f t="shared" si="12"/>
        <v>0</v>
      </c>
      <c r="O96" s="104">
        <f>COUNTIFS(เรื่องร้องเรียน!E:E,"1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P96" s="101">
        <f>COUNTIFS(เรื่องร้องเรียน!E:E,"2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Q96" s="101">
        <f>COUNTIFS(เรื่องร้องเรียน!E:E,"3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R96" s="101">
        <f>COUNTIFS(เรื่องร้องเรียน!E:E,"4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S96" s="102"/>
      <c r="T96" s="109">
        <f t="shared" si="13"/>
        <v>0</v>
      </c>
      <c r="U96" s="110">
        <f t="shared" si="11"/>
        <v>0</v>
      </c>
    </row>
    <row r="97" spans="1:21">
      <c r="A97" s="107"/>
      <c r="B97" s="108" t="s">
        <v>71</v>
      </c>
      <c r="C97" s="100">
        <f>COUNTIFS(เรื่องร้องเรียน!E:E,"1",เรื่องร้องเรียน!AO:AO,"9",เรื่องร้องเรียน!AN:AN,"บางขุนเทียน")</f>
        <v>0</v>
      </c>
      <c r="D97" s="101">
        <f>COUNTIFS(เรื่องร้องเรียน!E:E,"1",เรื่องร้องเรียน!AO:AO,"9",เรื่องร้องเรียน!AN:AN,"บางขุนเทียน",เรื่องร้องเรียน!CL:CL,"1")</f>
        <v>0</v>
      </c>
      <c r="E97" s="101">
        <f>COUNTIFS(เรื่องร้องเรียน!E:E,"2",เรื่องร้องเรียน!AO:AO,"9",เรื่องร้องเรียน!AN:AN,"บางขุนเทียน")</f>
        <v>0</v>
      </c>
      <c r="F97" s="101">
        <f>COUNTIFS(เรื่องร้องเรียน!E:E,"2",เรื่องร้องเรียน!AO:AO,"9",เรื่องร้องเรียน!AN:AN,"บางขุนเทียน",เรื่องร้องเรียน!CL:CL,"1")</f>
        <v>0</v>
      </c>
      <c r="G97" s="101">
        <f>COUNTIFS(เรื่องร้องเรียน!E:E,"3",เรื่องร้องเรียน!AO:AO,"9",เรื่องร้องเรียน!AN:AN,"บางขุนเทียน")</f>
        <v>0</v>
      </c>
      <c r="H97" s="101">
        <f>COUNTIFS(เรื่องร้องเรียน!E:E,"3",เรื่องร้องเรียน!AO:AO,"9",เรื่องร้องเรียน!AN:AN,"บางขุนเทียน",เรื่องร้องเรียน!CL:CL,"1")</f>
        <v>0</v>
      </c>
      <c r="I97" s="101">
        <f>COUNTIFS(เรื่องร้องเรียน!E:E,"4",เรื่องร้องเรียน!AO:AO,"9",เรื่องร้องเรียน!AN:AN,"บางขุนเทียน")</f>
        <v>0</v>
      </c>
      <c r="J97" s="101">
        <f>COUNTIFS(เรื่องร้องเรียน!E:E,"4",เรื่องร้องเรียน!AO:AO,"9",เรื่องร้องเรียน!AN:AN,"บางขุนเทียน",เรื่องร้องเรียน!CL:CL,"1")</f>
        <v>0</v>
      </c>
      <c r="K97" s="102"/>
      <c r="L97" s="102"/>
      <c r="M97" s="101">
        <f t="shared" si="12"/>
        <v>0</v>
      </c>
      <c r="N97" s="103">
        <f t="shared" si="12"/>
        <v>0</v>
      </c>
      <c r="O97" s="104">
        <f>COUNTIFS(เรื่องร้องเรียน!E:E,"1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P97" s="101">
        <f>COUNTIFS(เรื่องร้องเรียน!E:E,"2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Q97" s="101">
        <f>COUNTIFS(เรื่องร้องเรียน!E:E,"3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R97" s="101">
        <f>COUNTIFS(เรื่องร้องเรียน!E:E,"4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S97" s="102"/>
      <c r="T97" s="109">
        <f t="shared" si="13"/>
        <v>0</v>
      </c>
      <c r="U97" s="110">
        <f t="shared" si="11"/>
        <v>0</v>
      </c>
    </row>
    <row r="98" spans="1:21">
      <c r="A98" s="107"/>
      <c r="B98" s="108" t="s">
        <v>94</v>
      </c>
      <c r="C98" s="100">
        <f>COUNTIFS(เรื่องร้องเรียน!E:E,"1",เรื่องร้องเรียน!AO:AO,"9",เรื่องร้องเรียน!AN:AN,"บางบอน")</f>
        <v>0</v>
      </c>
      <c r="D98" s="101">
        <f>COUNTIFS(เรื่องร้องเรียน!E:E,"1",เรื่องร้องเรียน!AO:AO,"9",เรื่องร้องเรียน!AN:AN,"บางบอน",เรื่องร้องเรียน!CL:CL,"1")</f>
        <v>0</v>
      </c>
      <c r="E98" s="101">
        <f>COUNTIFS(เรื่องร้องเรียน!E:E,"2",เรื่องร้องเรียน!AO:AO,"9",เรื่องร้องเรียน!AN:AN,"บางบอน")</f>
        <v>0</v>
      </c>
      <c r="F98" s="101">
        <f>COUNTIFS(เรื่องร้องเรียน!E:E,"2",เรื่องร้องเรียน!AO:AO,"9",เรื่องร้องเรียน!AN:AN,"บางบอน",เรื่องร้องเรียน!CL:CL,"1")</f>
        <v>0</v>
      </c>
      <c r="G98" s="101">
        <f>COUNTIFS(เรื่องร้องเรียน!E:E,"3",เรื่องร้องเรียน!AO:AO,"9",เรื่องร้องเรียน!AN:AN,"บางบอน")</f>
        <v>0</v>
      </c>
      <c r="H98" s="101">
        <f>COUNTIFS(เรื่องร้องเรียน!E:E,"3",เรื่องร้องเรียน!AO:AO,"9",เรื่องร้องเรียน!AN:AN,"บางบอน",เรื่องร้องเรียน!CL:CL,"1")</f>
        <v>0</v>
      </c>
      <c r="I98" s="101">
        <f>COUNTIFS(เรื่องร้องเรียน!E:E,"4",เรื่องร้องเรียน!AO:AO,"9",เรื่องร้องเรียน!AN:AN,"บางบอน")</f>
        <v>0</v>
      </c>
      <c r="J98" s="101">
        <f>COUNTIFS(เรื่องร้องเรียน!E:E,"4",เรื่องร้องเรียน!AO:AO,"9",เรื่องร้องเรียน!AN:AN,"บางบอน",เรื่องร้องเรียน!CL:CL,"1")</f>
        <v>0</v>
      </c>
      <c r="K98" s="102"/>
      <c r="L98" s="102"/>
      <c r="M98" s="101">
        <f t="shared" si="12"/>
        <v>0</v>
      </c>
      <c r="N98" s="103">
        <f t="shared" si="12"/>
        <v>0</v>
      </c>
      <c r="O98" s="104">
        <f>COUNTIFS(เรื่องร้องเรียน!E:E,"1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P98" s="101">
        <f>COUNTIFS(เรื่องร้องเรียน!E:E,"2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Q98" s="101">
        <f>COUNTIFS(เรื่องร้องเรียน!E:E,"3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R98" s="101">
        <f>COUNTIFS(เรื่องร้องเรียน!E:E,"4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S98" s="102"/>
      <c r="T98" s="109">
        <f t="shared" si="13"/>
        <v>0</v>
      </c>
      <c r="U98" s="110">
        <f t="shared" si="11"/>
        <v>0</v>
      </c>
    </row>
    <row r="99" spans="1:21">
      <c r="A99" s="107"/>
      <c r="B99" s="108" t="s">
        <v>76</v>
      </c>
      <c r="C99" s="100">
        <f>COUNTIFS(เรื่องร้องเรียน!E:E,"1",เรื่องร้องเรียน!AO:AO,"9",เรื่องร้องเรียน!AN:AN,"เพชรเกษม")</f>
        <v>0</v>
      </c>
      <c r="D99" s="101">
        <f>COUNTIFS(เรื่องร้องเรียน!E:E,"1",เรื่องร้องเรียน!AO:AO,"9",เรื่องร้องเรียน!AN:AN,"เพชรเกษม",เรื่องร้องเรียน!CL:CL,"1")</f>
        <v>0</v>
      </c>
      <c r="E99" s="101">
        <f>COUNTIFS(เรื่องร้องเรียน!E:E,"2",เรื่องร้องเรียน!AO:AO,"9",เรื่องร้องเรียน!AN:AN,"เพชรเกษม")</f>
        <v>0</v>
      </c>
      <c r="F99" s="101">
        <f>COUNTIFS(เรื่องร้องเรียน!E:E,"2",เรื่องร้องเรียน!AO:AO,"9",เรื่องร้องเรียน!AN:AN,"เพชรเกษม",เรื่องร้องเรียน!CL:CL,"1")</f>
        <v>0</v>
      </c>
      <c r="G99" s="101">
        <f>COUNTIFS(เรื่องร้องเรียน!E:E,"3",เรื่องร้องเรียน!AO:AO,"9",เรื่องร้องเรียน!AN:AN,"เพชรเกษม")</f>
        <v>0</v>
      </c>
      <c r="H99" s="101">
        <f>COUNTIFS(เรื่องร้องเรียน!E:E,"3",เรื่องร้องเรียน!AO:AO,"9",เรื่องร้องเรียน!AN:AN,"เพชรเกษม",เรื่องร้องเรียน!CL:CL,"1")</f>
        <v>0</v>
      </c>
      <c r="I99" s="101">
        <f>COUNTIFS(เรื่องร้องเรียน!E:E,"4",เรื่องร้องเรียน!AO:AO,"9",เรื่องร้องเรียน!AN:AN,"เพชรเกษม")</f>
        <v>0</v>
      </c>
      <c r="J99" s="101">
        <f>COUNTIFS(เรื่องร้องเรียน!E:E,"4",เรื่องร้องเรียน!AO:AO,"9",เรื่องร้องเรียน!AN:AN,"เพชรเกษม",เรื่องร้องเรียน!CL:CL,"1")</f>
        <v>0</v>
      </c>
      <c r="K99" s="102"/>
      <c r="L99" s="102"/>
      <c r="M99" s="101">
        <f t="shared" si="12"/>
        <v>0</v>
      </c>
      <c r="N99" s="103">
        <f t="shared" si="12"/>
        <v>0</v>
      </c>
      <c r="O99" s="104">
        <f>COUNTIFS(เรื่องร้องเรียน!E:E,"1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P99" s="101">
        <f>COUNTIFS(เรื่องร้องเรียน!E:E,"2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Q99" s="101">
        <f>COUNTIFS(เรื่องร้องเรียน!E:E,"3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R99" s="101">
        <f>COUNTIFS(เรื่องร้องเรียน!E:E,"4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S99" s="102"/>
      <c r="T99" s="109">
        <f t="shared" si="13"/>
        <v>0</v>
      </c>
      <c r="U99" s="110">
        <f t="shared" si="11"/>
        <v>0</v>
      </c>
    </row>
    <row r="100" spans="1:21">
      <c r="A100" s="107"/>
      <c r="B100" s="108" t="s">
        <v>199</v>
      </c>
      <c r="C100" s="100">
        <f>COUNTIFS(เรื่องร้องเรียน!E:E,"1",เรื่องร้องเรียน!AO:AO,"9",เรื่องร้องเรียน!AN:AN,"ภาษีเจริญ")</f>
        <v>0</v>
      </c>
      <c r="D100" s="101">
        <f>COUNTIFS(เรื่องร้องเรียน!E:E,"1",เรื่องร้องเรียน!AO:AO,"9",เรื่องร้องเรียน!AN:AN,"ภาษีเจริญ",เรื่องร้องเรียน!CL:CL,"1")</f>
        <v>0</v>
      </c>
      <c r="E100" s="101">
        <f>COUNTIFS(เรื่องร้องเรียน!E:E,"2",เรื่องร้องเรียน!AO:AO,"9",เรื่องร้องเรียน!AN:AN,"ภาษีเจริญ")</f>
        <v>0</v>
      </c>
      <c r="F100" s="101">
        <f>COUNTIFS(เรื่องร้องเรียน!E:E,"2",เรื่องร้องเรียน!AO:AO,"9",เรื่องร้องเรียน!AN:AN,"ภาษีเจริญ",เรื่องร้องเรียน!CL:CL,"1")</f>
        <v>0</v>
      </c>
      <c r="G100" s="101">
        <f>COUNTIFS(เรื่องร้องเรียน!E:E,"3",เรื่องร้องเรียน!AO:AO,"9",เรื่องร้องเรียน!AN:AN,"ภาษีเจริญ")</f>
        <v>0</v>
      </c>
      <c r="H100" s="101">
        <f>COUNTIFS(เรื่องร้องเรียน!E:E,"3",เรื่องร้องเรียน!AO:AO,"9",เรื่องร้องเรียน!AN:AN,"ภาษีเจริญ",เรื่องร้องเรียน!CL:CL,"1")</f>
        <v>0</v>
      </c>
      <c r="I100" s="101">
        <f>COUNTIFS(เรื่องร้องเรียน!E:E,"4",เรื่องร้องเรียน!AO:AO,"9",เรื่องร้องเรียน!AN:AN,"ภาษีเจริญ")</f>
        <v>0</v>
      </c>
      <c r="J100" s="101">
        <f>COUNTIFS(เรื่องร้องเรียน!E:E,"4",เรื่องร้องเรียน!AO:AO,"9",เรื่องร้องเรียน!AN:AN,"ภาษีเจริญ",เรื่องร้องเรียน!CL:CL,"1")</f>
        <v>0</v>
      </c>
      <c r="K100" s="102"/>
      <c r="L100" s="102"/>
      <c r="M100" s="101">
        <f t="shared" si="12"/>
        <v>0</v>
      </c>
      <c r="N100" s="103">
        <f t="shared" si="12"/>
        <v>0</v>
      </c>
      <c r="O100" s="104">
        <f>COUNTIFS(เรื่องร้องเรียน!E:E,"1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P100" s="101">
        <f>COUNTIFS(เรื่องร้องเรียน!E:E,"2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Q100" s="101">
        <f>COUNTIFS(เรื่องร้องเรียน!E:E,"3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R100" s="101">
        <f>COUNTIFS(เรื่องร้องเรียน!E:E,"4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S100" s="102"/>
      <c r="T100" s="109">
        <f t="shared" si="13"/>
        <v>0</v>
      </c>
      <c r="U100" s="110">
        <f t="shared" si="11"/>
        <v>0</v>
      </c>
    </row>
    <row r="101" spans="1:21">
      <c r="A101" s="107"/>
      <c r="B101" s="108" t="s">
        <v>70</v>
      </c>
      <c r="C101" s="100">
        <f>COUNTIFS(เรื่องร้องเรียน!E:E,"1",เรื่องร้องเรียน!AO:AO,"9",เรื่องร้องเรียน!AN:AN,"แสมดำ")</f>
        <v>0</v>
      </c>
      <c r="D101" s="101">
        <f>COUNTIFS(เรื่องร้องเรียน!E:E,"1",เรื่องร้องเรียน!AO:AO,"9",เรื่องร้องเรียน!AN:AN,"แสมดำ",เรื่องร้องเรียน!CL:CL,"1")</f>
        <v>0</v>
      </c>
      <c r="E101" s="101">
        <f>COUNTIFS(เรื่องร้องเรียน!E:E,"2",เรื่องร้องเรียน!AO:AO,"9",เรื่องร้องเรียน!AN:AN,"แสมดำ")</f>
        <v>0</v>
      </c>
      <c r="F101" s="101">
        <f>COUNTIFS(เรื่องร้องเรียน!E:E,"2",เรื่องร้องเรียน!AO:AO,"9",เรื่องร้องเรียน!AN:AN,"แสมดำ",เรื่องร้องเรียน!CL:CL,"1")</f>
        <v>0</v>
      </c>
      <c r="G101" s="101">
        <f>COUNTIFS(เรื่องร้องเรียน!E:E,"3",เรื่องร้องเรียน!AO:AO,"9",เรื่องร้องเรียน!AN:AN,"แสมดำ")</f>
        <v>0</v>
      </c>
      <c r="H101" s="101">
        <f>COUNTIFS(เรื่องร้องเรียน!E:E,"3",เรื่องร้องเรียน!AO:AO,"9",เรื่องร้องเรียน!AN:AN,"แสมดำ",เรื่องร้องเรียน!CL:CL,"1")</f>
        <v>0</v>
      </c>
      <c r="I101" s="101">
        <f>COUNTIFS(เรื่องร้องเรียน!E:E,"4",เรื่องร้องเรียน!AO:AO,"9",เรื่องร้องเรียน!AN:AN,"แสมดำ")</f>
        <v>0</v>
      </c>
      <c r="J101" s="101">
        <f>COUNTIFS(เรื่องร้องเรียน!E:E,"4",เรื่องร้องเรียน!AO:AO,"9",เรื่องร้องเรียน!AN:AN,"แสมดำ",เรื่องร้องเรียน!CL:CL,"1")</f>
        <v>0</v>
      </c>
      <c r="K101" s="102"/>
      <c r="L101" s="102"/>
      <c r="M101" s="101">
        <f t="shared" si="12"/>
        <v>0</v>
      </c>
      <c r="N101" s="103">
        <f t="shared" si="12"/>
        <v>0</v>
      </c>
      <c r="O101" s="104">
        <f>COUNTIFS(เรื่องร้องเรียน!E:E,"1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P101" s="101">
        <f>COUNTIFS(เรื่องร้องเรียน!E:E,"2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Q101" s="101">
        <f>COUNTIFS(เรื่องร้องเรียน!E:E,"3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R101" s="101">
        <f>COUNTIFS(เรื่องร้องเรียน!E:E,"4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S101" s="102"/>
      <c r="T101" s="109">
        <f t="shared" si="13"/>
        <v>0</v>
      </c>
      <c r="U101" s="110">
        <f t="shared" si="11"/>
        <v>0</v>
      </c>
    </row>
    <row r="102" spans="1:21">
      <c r="A102" s="107"/>
      <c r="B102" s="108" t="s">
        <v>93</v>
      </c>
      <c r="C102" s="100">
        <f>COUNTIFS(เรื่องร้องเรียน!E:E,"1",เรื่องร้องเรียน!AO:AO,"9",เรื่องร้องเรียน!AN:AN,"หนองแขม")</f>
        <v>0</v>
      </c>
      <c r="D102" s="101">
        <f>COUNTIFS(เรื่องร้องเรียน!E:E,"1",เรื่องร้องเรียน!AO:AO,"9",เรื่องร้องเรียน!AN:AN,"หนองแขม",เรื่องร้องเรียน!CL:CL,"1")</f>
        <v>0</v>
      </c>
      <c r="E102" s="101">
        <f>COUNTIFS(เรื่องร้องเรียน!E:E,"2",เรื่องร้องเรียน!AO:AO,"9",เรื่องร้องเรียน!AN:AN,"หนองแขม")</f>
        <v>0</v>
      </c>
      <c r="F102" s="101">
        <f>COUNTIFS(เรื่องร้องเรียน!E:E,"2",เรื่องร้องเรียน!AO:AO,"9",เรื่องร้องเรียน!AN:AN,"หนองแขม",เรื่องร้องเรียน!CL:CL,"1")</f>
        <v>0</v>
      </c>
      <c r="G102" s="101">
        <f>COUNTIFS(เรื่องร้องเรียน!E:E,"3",เรื่องร้องเรียน!AO:AO,"9",เรื่องร้องเรียน!AN:AN,"หนองแขม")</f>
        <v>0</v>
      </c>
      <c r="H102" s="101">
        <f>COUNTIFS(เรื่องร้องเรียน!E:E,"3",เรื่องร้องเรียน!AO:AO,"9",เรื่องร้องเรียน!AN:AN,"หนองแขม",เรื่องร้องเรียน!CL:CL,"1")</f>
        <v>0</v>
      </c>
      <c r="I102" s="101">
        <f>COUNTIFS(เรื่องร้องเรียน!E:E,"4",เรื่องร้องเรียน!AO:AO,"9",เรื่องร้องเรียน!AN:AN,"หนองแขม")</f>
        <v>0</v>
      </c>
      <c r="J102" s="101">
        <f>COUNTIFS(เรื่องร้องเรียน!E:E,"4",เรื่องร้องเรียน!AO:AO,"9",เรื่องร้องเรียน!AN:AN,"หนองแขม",เรื่องร้องเรียน!CL:CL,"1")</f>
        <v>0</v>
      </c>
      <c r="K102" s="102"/>
      <c r="L102" s="102"/>
      <c r="M102" s="101">
        <f t="shared" si="12"/>
        <v>0</v>
      </c>
      <c r="N102" s="103">
        <f t="shared" si="12"/>
        <v>0</v>
      </c>
      <c r="O102" s="104">
        <f>COUNTIFS(เรื่องร้องเรียน!E:E,"1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P102" s="101">
        <f>COUNTIFS(เรื่องร้องเรียน!E:E,"2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Q102" s="101">
        <f>COUNTIFS(เรื่องร้องเรียน!E:E,"3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R102" s="101">
        <f>COUNTIFS(เรื่องร้องเรียน!E:E,"4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S102" s="102"/>
      <c r="T102" s="109">
        <f t="shared" si="13"/>
        <v>0</v>
      </c>
      <c r="U102" s="110">
        <f t="shared" si="11"/>
        <v>0</v>
      </c>
    </row>
    <row r="103" spans="1:21">
      <c r="A103" s="107"/>
      <c r="B103" s="108" t="s">
        <v>135</v>
      </c>
      <c r="C103" s="100">
        <f>COUNTIFS(เรื่องร้องเรียน!E:E,"1",เรื่องร้องเรียน!AO:AO,"9",เรื่องร้องเรียน!AN:AN,"หนองค้างพลู")</f>
        <v>0</v>
      </c>
      <c r="D103" s="101">
        <f>COUNTIFS(เรื่องร้องเรียน!E:E,"1",เรื่องร้องเรียน!AO:AO,"9",เรื่องร้องเรียน!AN:AN,"หนองค้างพลู",เรื่องร้องเรียน!CL:CL,"1")</f>
        <v>0</v>
      </c>
      <c r="E103" s="101">
        <f>COUNTIFS(เรื่องร้องเรียน!E:E,"2",เรื่องร้องเรียน!AO:AO,"9",เรื่องร้องเรียน!AN:AN,"หนองค้างพลู")</f>
        <v>0</v>
      </c>
      <c r="F103" s="101">
        <f>COUNTIFS(เรื่องร้องเรียน!E:E,"2",เรื่องร้องเรียน!AO:AO,"9",เรื่องร้องเรียน!AN:AN,"หนองค้างพลู",เรื่องร้องเรียน!CL:CL,"1")</f>
        <v>0</v>
      </c>
      <c r="G103" s="101">
        <f>COUNTIFS(เรื่องร้องเรียน!E:E,"3",เรื่องร้องเรียน!AO:AO,"9",เรื่องร้องเรียน!AN:AN,"หนองค้างพลู")</f>
        <v>0</v>
      </c>
      <c r="H103" s="101">
        <f>COUNTIFS(เรื่องร้องเรียน!E:E,"3",เรื่องร้องเรียน!AO:AO,"9",เรื่องร้องเรียน!AN:AN,"หนองค้างพลู",เรื่องร้องเรียน!CL:CL,"1")</f>
        <v>0</v>
      </c>
      <c r="I103" s="101">
        <f>COUNTIFS(เรื่องร้องเรียน!E:E,"4",เรื่องร้องเรียน!AO:AO,"9",เรื่องร้องเรียน!AN:AN,"หนองค้างพลู")</f>
        <v>0</v>
      </c>
      <c r="J103" s="101">
        <f>COUNTIFS(เรื่องร้องเรียน!E:E,"4",เรื่องร้องเรียน!AO:AO,"9",เรื่องร้องเรียน!AN:AN,"หนองค้างพลู",เรื่องร้องเรียน!CL:CL,"1")</f>
        <v>0</v>
      </c>
      <c r="K103" s="102"/>
      <c r="L103" s="102"/>
      <c r="M103" s="101">
        <f t="shared" si="12"/>
        <v>0</v>
      </c>
      <c r="N103" s="103">
        <f t="shared" si="12"/>
        <v>0</v>
      </c>
      <c r="O103" s="104">
        <f>COUNTIFS(เรื่องร้องเรียน!E:E,"1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P103" s="101">
        <f>COUNTIFS(เรื่องร้องเรียน!E:E,"2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Q103" s="101">
        <f>COUNTIFS(เรื่องร้องเรียน!E:E,"3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R103" s="101">
        <f>COUNTIFS(เรื่องร้องเรียน!E:E,"4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S103" s="102"/>
      <c r="T103" s="109">
        <f t="shared" si="13"/>
        <v>0</v>
      </c>
      <c r="U103" s="110">
        <f t="shared" si="11"/>
        <v>0</v>
      </c>
    </row>
    <row r="104" spans="1:21" ht="21.6" thickBot="1">
      <c r="A104" s="230"/>
      <c r="B104" s="244" t="s">
        <v>92</v>
      </c>
      <c r="C104" s="245">
        <f>COUNTIFS(เรื่องร้องเรียน!E:E,"1",เรื่องร้องเรียน!AO:AO,"9",เรื่องร้องเรียน!AN:AN,"หลักสอง")</f>
        <v>0</v>
      </c>
      <c r="D104" s="124">
        <f>COUNTIFS(เรื่องร้องเรียน!E:E,"1",เรื่องร้องเรียน!AO:AO,"9",เรื่องร้องเรียน!AN:AN,"หลักสอง",เรื่องร้องเรียน!CL:CL,"1")</f>
        <v>0</v>
      </c>
      <c r="E104" s="124">
        <f>COUNTIFS(เรื่องร้องเรียน!E:E,"2",เรื่องร้องเรียน!AO:AO,"9",เรื่องร้องเรียน!AN:AN,"หลักสอง")</f>
        <v>0</v>
      </c>
      <c r="F104" s="124">
        <f>COUNTIFS(เรื่องร้องเรียน!E:E,"2",เรื่องร้องเรียน!AO:AO,"9",เรื่องร้องเรียน!AN:AN,"หลักสอง",เรื่องร้องเรียน!CL:CL,"1")</f>
        <v>0</v>
      </c>
      <c r="G104" s="124">
        <f>COUNTIFS(เรื่องร้องเรียน!E:E,"3",เรื่องร้องเรียน!AO:AO,"9",เรื่องร้องเรียน!AN:AN,"หลักสอง")</f>
        <v>0</v>
      </c>
      <c r="H104" s="124">
        <f>COUNTIFS(เรื่องร้องเรียน!E:E,"3",เรื่องร้องเรียน!AO:AO,"9",เรื่องร้องเรียน!AN:AN,"หลักสอง",เรื่องร้องเรียน!CL:CL,"1")</f>
        <v>0</v>
      </c>
      <c r="I104" s="124">
        <f>COUNTIFS(เรื่องร้องเรียน!E:E,"4",เรื่องร้องเรียน!AO:AO,"9",เรื่องร้องเรียน!AN:AN,"หลักสอง")</f>
        <v>0</v>
      </c>
      <c r="J104" s="124">
        <f>COUNTIFS(เรื่องร้องเรียน!E:E,"4",เรื่องร้องเรียน!AO:AO,"9",เรื่องร้องเรียน!AN:AN,"หลักสอง",เรื่องร้องเรียน!CL:CL,"1")</f>
        <v>0</v>
      </c>
      <c r="K104" s="232"/>
      <c r="L104" s="232"/>
      <c r="M104" s="124">
        <f t="shared" si="12"/>
        <v>0</v>
      </c>
      <c r="N104" s="158">
        <f t="shared" si="12"/>
        <v>0</v>
      </c>
      <c r="O104" s="231">
        <f>COUNTIFS(เรื่องร้องเรียน!E:E,"1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P104" s="124">
        <f>COUNTIFS(เรื่องร้องเรียน!E:E,"2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Q104" s="124">
        <f>COUNTIFS(เรื่องร้องเรียน!E:E,"3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R104" s="124">
        <f>COUNTIFS(เรื่องร้องเรียน!E:E,"4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S104" s="232"/>
      <c r="T104" s="124">
        <f t="shared" si="13"/>
        <v>0</v>
      </c>
      <c r="U104" s="125">
        <f t="shared" si="11"/>
        <v>0</v>
      </c>
    </row>
    <row r="1430" spans="27:27">
      <c r="AA1430" s="41" t="s">
        <v>102</v>
      </c>
    </row>
  </sheetData>
  <mergeCells count="19">
    <mergeCell ref="A1:T1"/>
    <mergeCell ref="A2:T2"/>
    <mergeCell ref="A3:A5"/>
    <mergeCell ref="B3:B5"/>
    <mergeCell ref="C3:N3"/>
    <mergeCell ref="O3:T3"/>
    <mergeCell ref="R4:R5"/>
    <mergeCell ref="S4:S5"/>
    <mergeCell ref="T4:T5"/>
    <mergeCell ref="U3:U5"/>
    <mergeCell ref="C4:D4"/>
    <mergeCell ref="E4:F4"/>
    <mergeCell ref="G4:H4"/>
    <mergeCell ref="I4:J4"/>
    <mergeCell ref="K4:L4"/>
    <mergeCell ref="M4:N4"/>
    <mergeCell ref="O4:O5"/>
    <mergeCell ref="P4:P5"/>
    <mergeCell ref="Q4:Q5"/>
  </mergeCells>
  <pageMargins left="0.39370078740157483" right="0.15748031496062992" top="0.86614173228346458" bottom="1.3779527559055118" header="0.31496062992125984" footer="0.94488188976377963"/>
  <pageSetup paperSize="9" scale="75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85AD-0B09-4A4C-A9A1-3188791C9866}">
  <sheetPr>
    <tabColor theme="8" tint="0.59999389629810485"/>
  </sheetPr>
  <dimension ref="A1:AB1430"/>
  <sheetViews>
    <sheetView zoomScale="90" zoomScaleNormal="90" workbookViewId="0">
      <pane ySplit="5" topLeftCell="A6" activePane="bottomLeft" state="frozen"/>
      <selection pane="bottomLeft" activeCell="R8" sqref="R8"/>
    </sheetView>
  </sheetViews>
  <sheetFormatPr defaultColWidth="9" defaultRowHeight="21"/>
  <cols>
    <col min="1" max="1" width="5.109375" style="126" customWidth="1"/>
    <col min="2" max="2" width="14.88671875" style="10" customWidth="1"/>
    <col min="3" max="11" width="4.88671875" style="10" customWidth="1"/>
    <col min="12" max="13" width="6.33203125" style="10" customWidth="1"/>
    <col min="14" max="15" width="6.6640625" style="10" customWidth="1"/>
    <col min="16" max="21" width="6.109375" style="10" customWidth="1"/>
    <col min="22" max="22" width="7.109375" style="10" customWidth="1"/>
    <col min="23" max="24" width="6.21875" style="10" customWidth="1"/>
    <col min="25" max="16384" width="9" style="10"/>
  </cols>
  <sheetData>
    <row r="1" spans="1:25" s="71" customFormat="1">
      <c r="A1" s="729" t="s">
        <v>263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</row>
    <row r="2" spans="1:25" s="71" customFormat="1" ht="21.6" thickBot="1">
      <c r="A2" s="744" t="s">
        <v>254</v>
      </c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744"/>
      <c r="X2" s="744"/>
    </row>
    <row r="3" spans="1:25" ht="21.6" thickBot="1">
      <c r="A3" s="759" t="s">
        <v>6</v>
      </c>
      <c r="B3" s="762" t="s">
        <v>5</v>
      </c>
      <c r="C3" s="765" t="s">
        <v>145</v>
      </c>
      <c r="D3" s="766"/>
      <c r="E3" s="766"/>
      <c r="F3" s="766"/>
      <c r="G3" s="766"/>
      <c r="H3" s="766"/>
      <c r="I3" s="766"/>
      <c r="J3" s="766"/>
      <c r="K3" s="766"/>
      <c r="L3" s="766"/>
      <c r="M3" s="766"/>
      <c r="N3" s="766"/>
      <c r="O3" s="762"/>
      <c r="P3" s="776" t="s">
        <v>160</v>
      </c>
      <c r="Q3" s="777"/>
      <c r="R3" s="777"/>
      <c r="S3" s="777"/>
      <c r="T3" s="778"/>
      <c r="U3" s="778"/>
      <c r="V3" s="783" t="s">
        <v>161</v>
      </c>
      <c r="W3" s="772" t="s">
        <v>60</v>
      </c>
      <c r="X3" s="773" t="s">
        <v>232</v>
      </c>
    </row>
    <row r="4" spans="1:25" ht="21.6" thickBot="1">
      <c r="A4" s="760"/>
      <c r="B4" s="763"/>
      <c r="C4" s="767" t="s">
        <v>162</v>
      </c>
      <c r="D4" s="768"/>
      <c r="E4" s="768"/>
      <c r="F4" s="769" t="s">
        <v>163</v>
      </c>
      <c r="G4" s="769"/>
      <c r="H4" s="769"/>
      <c r="I4" s="758" t="s">
        <v>164</v>
      </c>
      <c r="J4" s="758"/>
      <c r="K4" s="758"/>
      <c r="L4" s="325" t="s">
        <v>165</v>
      </c>
      <c r="M4" s="326" t="s">
        <v>166</v>
      </c>
      <c r="N4" s="770" t="s">
        <v>152</v>
      </c>
      <c r="O4" s="771"/>
      <c r="P4" s="786" t="s">
        <v>162</v>
      </c>
      <c r="Q4" s="779" t="s">
        <v>163</v>
      </c>
      <c r="R4" s="779" t="s">
        <v>164</v>
      </c>
      <c r="S4" s="779" t="s">
        <v>165</v>
      </c>
      <c r="T4" s="779" t="s">
        <v>166</v>
      </c>
      <c r="U4" s="781" t="s">
        <v>152</v>
      </c>
      <c r="V4" s="784"/>
      <c r="W4" s="772"/>
      <c r="X4" s="773"/>
    </row>
    <row r="5" spans="1:25" ht="42.6" thickBot="1">
      <c r="A5" s="761"/>
      <c r="B5" s="764"/>
      <c r="C5" s="300" t="s">
        <v>37</v>
      </c>
      <c r="D5" s="301" t="s">
        <v>38</v>
      </c>
      <c r="E5" s="302" t="s">
        <v>39</v>
      </c>
      <c r="F5" s="303" t="s">
        <v>37</v>
      </c>
      <c r="G5" s="303" t="s">
        <v>38</v>
      </c>
      <c r="H5" s="304" t="s">
        <v>39</v>
      </c>
      <c r="I5" s="305" t="s">
        <v>37</v>
      </c>
      <c r="J5" s="305" t="s">
        <v>38</v>
      </c>
      <c r="K5" s="306" t="s">
        <v>39</v>
      </c>
      <c r="L5" s="307" t="s">
        <v>147</v>
      </c>
      <c r="M5" s="308" t="s">
        <v>147</v>
      </c>
      <c r="N5" s="309" t="s">
        <v>147</v>
      </c>
      <c r="O5" s="346" t="s">
        <v>11</v>
      </c>
      <c r="P5" s="787"/>
      <c r="Q5" s="780"/>
      <c r="R5" s="780"/>
      <c r="S5" s="780"/>
      <c r="T5" s="780"/>
      <c r="U5" s="782"/>
      <c r="V5" s="785"/>
      <c r="W5" s="772"/>
      <c r="X5" s="773"/>
    </row>
    <row r="6" spans="1:25" s="71" customFormat="1" ht="21.6" thickBot="1">
      <c r="A6" s="774" t="s">
        <v>233</v>
      </c>
      <c r="B6" s="775"/>
      <c r="C6" s="297">
        <f>SUM(C8,C18,C30,C42,C51,C61,C70,C82,C94)</f>
        <v>0</v>
      </c>
      <c r="D6" s="295">
        <f>SUM(D8,D18,D30,D42,D51,D61,D70,D82,D94)</f>
        <v>0</v>
      </c>
      <c r="E6" s="295">
        <f>SUM(E8,E18,E30,E42,E51,E61,E70,E82,E94)</f>
        <v>0</v>
      </c>
      <c r="F6" s="295">
        <f t="shared" ref="F6:L6" si="0">SUM(F8,F18,F30,F42,F51,F61,F70,F82,F94)</f>
        <v>0</v>
      </c>
      <c r="G6" s="295">
        <f t="shared" si="0"/>
        <v>0</v>
      </c>
      <c r="H6" s="295">
        <f t="shared" si="0"/>
        <v>0</v>
      </c>
      <c r="I6" s="295">
        <f t="shared" si="0"/>
        <v>0</v>
      </c>
      <c r="J6" s="295">
        <f t="shared" si="0"/>
        <v>0</v>
      </c>
      <c r="K6" s="295">
        <f t="shared" si="0"/>
        <v>0</v>
      </c>
      <c r="L6" s="295">
        <f t="shared" si="0"/>
        <v>0</v>
      </c>
      <c r="M6" s="295">
        <f>SUM(M7,M8,M18,M30,M42,M51,M61,M70,M82,M94)</f>
        <v>0</v>
      </c>
      <c r="N6" s="296">
        <f>SUM(N7,N8,N18,N30,N42,N51,N61,N70,N82,N94)</f>
        <v>0</v>
      </c>
      <c r="O6" s="347">
        <f>SUM(O7,O8,O18,O30,O42,O51,O61,O70,O82,O94)</f>
        <v>0</v>
      </c>
      <c r="P6" s="294">
        <f>SUM(P8,P18,P30,P42,P51,P61,P70,P82,P94)</f>
        <v>0</v>
      </c>
      <c r="Q6" s="295">
        <f>SUM(Q8,Q18,Q30,Q42,Q51,Q61,Q70,Q82,Q94)</f>
        <v>0</v>
      </c>
      <c r="R6" s="295">
        <f>SUM(R8,R18,R30,R42,R51,R61,R70,R82,R94)</f>
        <v>0</v>
      </c>
      <c r="S6" s="295">
        <f>SUM(S8,S18,S30,S42,S51,S61,S70,S82,S94)</f>
        <v>0</v>
      </c>
      <c r="T6" s="295">
        <f>SUM(T7,T8,T18,T30,T42,T51,T61,T70,T82,T94)</f>
        <v>0</v>
      </c>
      <c r="U6" s="298">
        <f>SUM(U7,U8,U18,U30,U42,U51,U61,U70,U82,U94)</f>
        <v>0</v>
      </c>
      <c r="V6" s="445">
        <f>N6-O6-U6</f>
        <v>0</v>
      </c>
      <c r="W6" s="337">
        <f>SUM(W8,W18,W30,W42,W51,W61,W70,W82,W94,)</f>
        <v>0</v>
      </c>
      <c r="X6" s="338">
        <f>SUM(X8,X18,X30,X42,X51,X61,X70,X82,X94,)</f>
        <v>0</v>
      </c>
    </row>
    <row r="7" spans="1:25" s="71" customFormat="1" ht="21.6" thickBot="1">
      <c r="A7" s="756" t="s">
        <v>20</v>
      </c>
      <c r="B7" s="757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299">
        <f>COUNTIFS(เรื่องร้องเรียน!E:E,"5",เรื่องร้องเรียน!AO:AO,"&gt;=1")</f>
        <v>0</v>
      </c>
      <c r="N7" s="327">
        <f>SUM(C7,F7,I7,L7,M7)</f>
        <v>0</v>
      </c>
      <c r="O7" s="348">
        <f>COUNTIFS(เรื่องร้องเรียน!E:E,"5",เรื่องร้องเรียน!CL:CL,"1")</f>
        <v>0</v>
      </c>
      <c r="P7" s="331"/>
      <c r="Q7" s="330"/>
      <c r="R7" s="330"/>
      <c r="S7" s="330"/>
      <c r="T7" s="299">
        <f>COUNTIFS(เรื่องร้องเรียน!E:E,"5",เรื่องร้องเรียน!AO:AO,"&gt;=1",เรื่องร้องเรียน!AQ:AQ,"1",เรื่องร้องเรียน!CL:CL,"")</f>
        <v>0</v>
      </c>
      <c r="U7" s="310">
        <f>SUM(P7:T7)</f>
        <v>0</v>
      </c>
      <c r="V7" s="328">
        <f t="shared" ref="V7:V70" si="1">N7-O7-U7</f>
        <v>0</v>
      </c>
      <c r="W7" s="351"/>
      <c r="X7" s="352"/>
    </row>
    <row r="8" spans="1:25" ht="21.6" thickBot="1">
      <c r="A8" s="320">
        <v>1</v>
      </c>
      <c r="B8" s="286"/>
      <c r="C8" s="283">
        <f>SUM(C9:C17)</f>
        <v>0</v>
      </c>
      <c r="D8" s="284">
        <f t="shared" ref="D8:S8" si="2">SUM(D9:D17)</f>
        <v>0</v>
      </c>
      <c r="E8" s="284">
        <f t="shared" si="2"/>
        <v>0</v>
      </c>
      <c r="F8" s="284">
        <f t="shared" si="2"/>
        <v>0</v>
      </c>
      <c r="G8" s="284">
        <f t="shared" si="2"/>
        <v>0</v>
      </c>
      <c r="H8" s="284">
        <f t="shared" si="2"/>
        <v>0</v>
      </c>
      <c r="I8" s="284">
        <f t="shared" si="2"/>
        <v>0</v>
      </c>
      <c r="J8" s="284">
        <f t="shared" si="2"/>
        <v>0</v>
      </c>
      <c r="K8" s="284">
        <f t="shared" si="2"/>
        <v>0</v>
      </c>
      <c r="L8" s="284">
        <f t="shared" si="2"/>
        <v>0</v>
      </c>
      <c r="M8" s="332"/>
      <c r="N8" s="311">
        <f>SUM(N9:N17)</f>
        <v>0</v>
      </c>
      <c r="O8" s="349">
        <f>SUM(O9:O17)</f>
        <v>0</v>
      </c>
      <c r="P8" s="283">
        <f t="shared" si="2"/>
        <v>0</v>
      </c>
      <c r="Q8" s="284">
        <f t="shared" si="2"/>
        <v>0</v>
      </c>
      <c r="R8" s="284">
        <f t="shared" si="2"/>
        <v>0</v>
      </c>
      <c r="S8" s="284">
        <f t="shared" si="2"/>
        <v>0</v>
      </c>
      <c r="T8" s="332"/>
      <c r="U8" s="287">
        <f t="shared" ref="U8:U71" si="3">SUM(P8:T8)</f>
        <v>0</v>
      </c>
      <c r="V8" s="315">
        <f t="shared" si="1"/>
        <v>0</v>
      </c>
      <c r="W8" s="341">
        <f>SUM(W9:W17)</f>
        <v>0</v>
      </c>
      <c r="X8" s="342">
        <f>SUM(X9:X17)</f>
        <v>0</v>
      </c>
      <c r="Y8" s="19"/>
    </row>
    <row r="9" spans="1:25">
      <c r="A9" s="321"/>
      <c r="B9" s="99" t="s">
        <v>167</v>
      </c>
      <c r="C9" s="353">
        <f>COUNTIFS(เรื่องร้องเรียน!E:E,"1",เรื่องร้องเรียน!AO:AO,"1",เรื่องร้องเรียน!AN:AN,"ชนะสงคราม",เรื่องร้องเรียน!T:T,"1")</f>
        <v>0</v>
      </c>
      <c r="D9" s="354">
        <f>COUNTIFS(เรื่องร้องเรียน!E:E,"1",เรื่องร้องเรียน!AO:AO,"1",เรื่องร้องเรียน!AN:AN,"ชนะสงคราม",เรื่องร้องเรียน!U:U,"1")</f>
        <v>0</v>
      </c>
      <c r="E9" s="354">
        <f>COUNTIFS(เรื่องร้องเรียน!E:E,"1",เรื่องร้องเรียน!AO:AO,"1",เรื่องร้องเรียน!AN:AN,"ชนะสงคราม",เรื่องร้องเรียน!V:V,"1")</f>
        <v>0</v>
      </c>
      <c r="F9" s="355">
        <f>COUNTIFS(เรื่องร้องเรียน!E:E,"2",เรื่องร้องเรียน!AO:AO,"1",เรื่องร้องเรียน!AN:AN,"ชนะสงคราม",เรื่องร้องเรียน!T:T,"1")</f>
        <v>0</v>
      </c>
      <c r="G9" s="355">
        <f>COUNTIFS(เรื่องร้องเรียน!E:E,"2",เรื่องร้องเรียน!AO:AO,"1",เรื่องร้องเรียน!AN:AN,"ชนะสงคราม",เรื่องร้องเรียน!U:U,"1")</f>
        <v>0</v>
      </c>
      <c r="H9" s="355">
        <f>COUNTIFS(เรื่องร้องเรียน!E:E,"2",เรื่องร้องเรียน!AO:AO,"1",เรื่องร้องเรียน!AN:AN,"ชนะสงคราม",เรื่องร้องเรียน!V:V,"1")</f>
        <v>0</v>
      </c>
      <c r="I9" s="356">
        <f>COUNTIFS(เรื่องร้องเรียน!E:E,"3",เรื่องร้องเรียน!AO:AO,"1",เรื่องร้องเรียน!AN:AN,"ชนะสงคราม",เรื่องร้องเรียน!T:T,"1")</f>
        <v>0</v>
      </c>
      <c r="J9" s="356">
        <f>COUNTIFS(เรื่องร้องเรียน!E:E,"3",เรื่องร้องเรียน!AO:AO,"1",เรื่องร้องเรียน!AN:AN,"ชนะสงคราม",เรื่องร้องเรียน!U:U,"1")</f>
        <v>0</v>
      </c>
      <c r="K9" s="356">
        <f>COUNTIFS(เรื่องร้องเรียน!E:E,"3",เรื่องร้องเรียน!AO:AO,"1",เรื่องร้องเรียน!AN:AN,"ชนะสงคราม",เรื่องร้องเรียน!V:V,"1")</f>
        <v>0</v>
      </c>
      <c r="L9" s="357">
        <f>COUNTIFS(เรื่องร้องเรียน!E:E,"4",เรื่องร้องเรียน!AO:AO,"1",เรื่องร้องเรียน!AN:AN,"ชนะสงคราม")</f>
        <v>0</v>
      </c>
      <c r="M9" s="358"/>
      <c r="N9" s="312">
        <f t="shared" ref="N9:N17" si="4">SUM(C9:L9)</f>
        <v>0</v>
      </c>
      <c r="O9" s="366">
        <f>COUNTIFS(เรื่องร้องเรียน!AO:AO,"1",เรื่องร้องเรียน!AN:AN,"ชนะสงคราม",เรื่องร้องเรียน!CL:CL,"1")</f>
        <v>0</v>
      </c>
      <c r="P9" s="368">
        <f>COUNTIFS(เรื่องร้องเรียน!E:E,"1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Q9" s="105">
        <f>COUNTIFS(เรื่องร้องเรียน!E:E,"2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R9" s="105">
        <f>COUNTIFS(เรื่องร้องเรียน!E:E,"3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S9" s="105">
        <f>COUNTIFS(เรื่องร้องเรียน!E:E,"4",เรื่องร้องเรียน!AO:AO,"1",เรื่องร้องเรียน!AN:AN,"ชนะสงคราม",เรื่องร้องเรียน!AQ:AQ,"1",เรื่องร้องเรียน!CL:CL,"")</f>
        <v>0</v>
      </c>
      <c r="T9" s="369"/>
      <c r="U9" s="240">
        <f t="shared" si="3"/>
        <v>0</v>
      </c>
      <c r="V9" s="316">
        <f t="shared" si="1"/>
        <v>0</v>
      </c>
      <c r="W9" s="339">
        <f>COUNTIFS(เรื่องร้องเรียน!AO:AO,"1",เรื่องร้องเรียน!AN:AN,"ชนะสงคราม",เรื่องร้องเรียน!CT:CT,"บำบัด")</f>
        <v>0</v>
      </c>
      <c r="X9" s="340">
        <f>COUNTIFS(เรื่องร้องเรียน!AO:AO,"1",เรื่องร้องเรียน!AN:AN,"ชนะสงคราม",เรื่องร้องเรียน!CT:CT,"อาการทางจิต")</f>
        <v>0</v>
      </c>
    </row>
    <row r="10" spans="1:25">
      <c r="A10" s="322"/>
      <c r="B10" s="108" t="s">
        <v>86</v>
      </c>
      <c r="C10" s="359">
        <f>COUNTIFS(เรื่องร้องเรียน!E:E,"1",เรื่องร้องเรียน!AO:AO,"1",เรื่องร้องเรียน!AN:AN,"ดินแดง",เรื่องร้องเรียน!T:T,"1")</f>
        <v>0</v>
      </c>
      <c r="D10" s="360">
        <f>COUNTIFS(เรื่องร้องเรียน!E:E,"1",เรื่องร้องเรียน!AO:AO,"1",เรื่องร้องเรียน!AN:AN,"ดินแดง",เรื่องร้องเรียน!U:U,"1")</f>
        <v>0</v>
      </c>
      <c r="E10" s="360">
        <f>COUNTIFS(เรื่องร้องเรียน!E:E,"1",เรื่องร้องเรียน!AO:AO,"1",เรื่องร้องเรียน!AN:AN,"ดินแดง",เรื่องร้องเรียน!V:V,"1")</f>
        <v>0</v>
      </c>
      <c r="F10" s="361">
        <f>COUNTIFS(เรื่องร้องเรียน!E:E,"2",เรื่องร้องเรียน!AO:AO,"1",เรื่องร้องเรียน!AN:AN,"ดินแดง",เรื่องร้องเรียน!T:T,"1")</f>
        <v>0</v>
      </c>
      <c r="G10" s="361">
        <f>COUNTIFS(เรื่องร้องเรียน!E:E,"2",เรื่องร้องเรียน!AO:AO,"1",เรื่องร้องเรียน!AN:AN,"ดินแดง",เรื่องร้องเรียน!U:U,"1")</f>
        <v>0</v>
      </c>
      <c r="H10" s="361">
        <f>COUNTIFS(เรื่องร้องเรียน!E:E,"2",เรื่องร้องเรียน!AO:AO,"1",เรื่องร้องเรียน!AN:AN,"ดินแดง",เรื่องร้องเรียน!V:V,"1")</f>
        <v>0</v>
      </c>
      <c r="I10" s="362">
        <f>COUNTIFS(เรื่องร้องเรียน!E:E,"3",เรื่องร้องเรียน!AO:AO,"1",เรื่องร้องเรียน!AN:AN,"ดินแดง",เรื่องร้องเรียน!T:T,"1")</f>
        <v>0</v>
      </c>
      <c r="J10" s="362">
        <f>COUNTIFS(เรื่องร้องเรียน!E:E,"3",เรื่องร้องเรียน!AO:AO,"1",เรื่องร้องเรียน!AN:AN,"ดินแดง",เรื่องร้องเรียน!U:U,"1")</f>
        <v>0</v>
      </c>
      <c r="K10" s="362">
        <f>COUNTIFS(เรื่องร้องเรียน!E:E,"3",เรื่องร้องเรียน!AO:AO,"1",เรื่องร้องเรียน!AN:AN,"ดินแดง",เรื่องร้องเรียน!V:V,"1")</f>
        <v>0</v>
      </c>
      <c r="L10" s="363">
        <f>COUNTIFS(เรื่องร้องเรียน!E:E,"4",เรื่องร้องเรียน!AO:AO,"1",เรื่องร้องเรียน!AN:AN,"ดินแดง")</f>
        <v>0</v>
      </c>
      <c r="M10" s="364"/>
      <c r="N10" s="313">
        <f t="shared" si="4"/>
        <v>0</v>
      </c>
      <c r="O10" s="367">
        <f>COUNTIFS(เรื่องร้องเรียน!AO:AO,"1",เรื่องร้องเรียน!AN:AN,"ดินแดง",เรื่องร้องเรียน!CL:CL,"1")</f>
        <v>0</v>
      </c>
      <c r="P10" s="370">
        <f>COUNTIFS(เรื่องร้องเรียน!E:E,"1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Q10" s="109">
        <f>COUNTIFS(เรื่องร้องเรียน!E:E,"2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R10" s="109">
        <f>COUNTIFS(เรื่องร้องเรียน!E:E,"3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S10" s="109">
        <f>COUNTIFS(เรื่องร้องเรียน!E:E,"4",เรื่องร้องเรียน!AO:AO,"1",เรื่องร้องเรียน!AN:AN,"ดินแดง",เรื่องร้องเรียน!AQ:AQ,"1",เรื่องร้องเรียน!CL:CL,"")</f>
        <v>0</v>
      </c>
      <c r="T10" s="371"/>
      <c r="U10" s="241">
        <f t="shared" si="3"/>
        <v>0</v>
      </c>
      <c r="V10" s="317">
        <f t="shared" si="1"/>
        <v>0</v>
      </c>
      <c r="W10" s="339">
        <f>COUNTIFS(เรื่องร้องเรียน!AO:AO,"1",เรื่องร้องเรียน!AN:AN,"ดินแดง",เรื่องร้องเรียน!CT:CT,"บำบัด")</f>
        <v>0</v>
      </c>
      <c r="X10" s="334">
        <f>COUNTIFS(เรื่องร้องเรียน!AO:AO,"1",เรื่องร้องเรียน!AN:AN,"ดินแดง",เรื่องร้องเรียน!CT:CT,"อาการทางจิต")</f>
        <v>0</v>
      </c>
    </row>
    <row r="11" spans="1:25">
      <c r="A11" s="322"/>
      <c r="B11" s="108" t="s">
        <v>168</v>
      </c>
      <c r="C11" s="359">
        <f>COUNTIFS(เรื่องร้องเรียน!E:E,"1",เรื่องร้องเรียน!AO:AO,"1",เรื่องร้องเรียน!AN:AN,"ดุสิต",เรื่องร้องเรียน!T:T,"1")</f>
        <v>0</v>
      </c>
      <c r="D11" s="360">
        <f>COUNTIFS(เรื่องร้องเรียน!E:E,"1",เรื่องร้องเรียน!AO:AO,"1",เรื่องร้องเรียน!AN:AN,"ดุสิต",เรื่องร้องเรียน!U:U,"1")</f>
        <v>0</v>
      </c>
      <c r="E11" s="360">
        <f>COUNTIFS(เรื่องร้องเรียน!E:E,"1",เรื่องร้องเรียน!AO:AO,"1",เรื่องร้องเรียน!AN:AN,"ดุสิต",เรื่องร้องเรียน!V:V,"1")</f>
        <v>0</v>
      </c>
      <c r="F11" s="361">
        <f>COUNTIFS(เรื่องร้องเรียน!E:E,"2",เรื่องร้องเรียน!AO:AO,"1",เรื่องร้องเรียน!AN:AN,"ดุสิต",เรื่องร้องเรียน!T:T,"1")</f>
        <v>0</v>
      </c>
      <c r="G11" s="361">
        <f>COUNTIFS(เรื่องร้องเรียน!E:E,"2",เรื่องร้องเรียน!AO:AO,"1",เรื่องร้องเรียน!AN:AN,"ดุสิต",เรื่องร้องเรียน!U:U,"1")</f>
        <v>0</v>
      </c>
      <c r="H11" s="361">
        <f>COUNTIFS(เรื่องร้องเรียน!E:E,"2",เรื่องร้องเรียน!AO:AO,"1",เรื่องร้องเรียน!AN:AN,"ดุสิต",เรื่องร้องเรียน!V:V,"1")</f>
        <v>0</v>
      </c>
      <c r="I11" s="362">
        <f>COUNTIFS(เรื่องร้องเรียน!E:E,"3",เรื่องร้องเรียน!AO:AO,"1",เรื่องร้องเรียน!AN:AN,"ดุสิต",เรื่องร้องเรียน!T:T,"1")</f>
        <v>0</v>
      </c>
      <c r="J11" s="362">
        <f>COUNTIFS(เรื่องร้องเรียน!E:E,"3",เรื่องร้องเรียน!AO:AO,"1",เรื่องร้องเรียน!AN:AN,"ดุสิต",เรื่องร้องเรียน!U:U,"1")</f>
        <v>0</v>
      </c>
      <c r="K11" s="362">
        <f>COUNTIFS(เรื่องร้องเรียน!E:E,"3",เรื่องร้องเรียน!AO:AO,"1",เรื่องร้องเรียน!AN:AN,"ดุสิต",เรื่องร้องเรียน!V:V,"1")</f>
        <v>0</v>
      </c>
      <c r="L11" s="363">
        <f>COUNTIFS(เรื่องร้องเรียน!E:E,"4",เรื่องร้องเรียน!AO:AO,"1",เรื่องร้องเรียน!AN:AN,"ดุสิต")</f>
        <v>0</v>
      </c>
      <c r="M11" s="364"/>
      <c r="N11" s="313">
        <f t="shared" si="4"/>
        <v>0</v>
      </c>
      <c r="O11" s="367">
        <f>COUNTIFS(เรื่องร้องเรียน!AO:AO,"1",เรื่องร้องเรียน!AN:AN,"ดุสิต",เรื่องร้องเรียน!CL:CL,"1")</f>
        <v>0</v>
      </c>
      <c r="P11" s="370">
        <f>COUNTIFS(เรื่องร้องเรียน!E:E,"1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Q11" s="109">
        <f>COUNTIFS(เรื่องร้องเรียน!E:E,"2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R11" s="109">
        <f>COUNTIFS(เรื่องร้องเรียน!E:E,"3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S11" s="109">
        <f>COUNTIFS(เรื่องร้องเรียน!E:E,"4",เรื่องร้องเรียน!AO:AO,"1",เรื่องร้องเรียน!AN:AN,"ดุสิต",เรื่องร้องเรียน!AQ:AQ,"1",เรื่องร้องเรียน!CL:CL,"")</f>
        <v>0</v>
      </c>
      <c r="T11" s="371"/>
      <c r="U11" s="241">
        <f t="shared" si="3"/>
        <v>0</v>
      </c>
      <c r="V11" s="317">
        <f t="shared" si="1"/>
        <v>0</v>
      </c>
      <c r="W11" s="339">
        <f>COUNTIFS(เรื่องร้องเรียน!AO:AO,"1",เรื่องร้องเรียน!AN:AN,"ดุสิต",เรื่องร้องเรียน!CT:CT,"บำบัด")</f>
        <v>0</v>
      </c>
      <c r="X11" s="334">
        <f>COUNTIFS(เรื่องร้องเรียน!AO:AO,"1",เรื่องร้องเรียน!AN:AN,"ดุสิต",เรื่องร้องเรียน!CT:CT,"อาการทางจิต")</f>
        <v>0</v>
      </c>
    </row>
    <row r="12" spans="1:25">
      <c r="A12" s="322"/>
      <c r="B12" s="108" t="s">
        <v>169</v>
      </c>
      <c r="C12" s="359">
        <f>COUNTIFS(เรื่องร้องเรียน!E:E,"1",เรื่องร้องเรียน!AO:AO,"1",เรื่องร้องเรียน!AN:AN,"นางเลิ้ง",เรื่องร้องเรียน!T:T,"1")</f>
        <v>0</v>
      </c>
      <c r="D12" s="360">
        <f>COUNTIFS(เรื่องร้องเรียน!E:E,"1",เรื่องร้องเรียน!AO:AO,"1",เรื่องร้องเรียน!AN:AN,"นางเลิ้ง",เรื่องร้องเรียน!U:U,"1")</f>
        <v>0</v>
      </c>
      <c r="E12" s="360">
        <f>COUNTIFS(เรื่องร้องเรียน!E:E,"1",เรื่องร้องเรียน!AO:AO,"1",เรื่องร้องเรียน!AN:AN,"นางเลิ้ง",เรื่องร้องเรียน!V:V,"1")</f>
        <v>0</v>
      </c>
      <c r="F12" s="361">
        <f>COUNTIFS(เรื่องร้องเรียน!E:E,"2",เรื่องร้องเรียน!AO:AO,"1",เรื่องร้องเรียน!AN:AN,"นางเลิ้ง",เรื่องร้องเรียน!T:T,"1")</f>
        <v>0</v>
      </c>
      <c r="G12" s="361">
        <f>COUNTIFS(เรื่องร้องเรียน!E:E,"2",เรื่องร้องเรียน!AO:AO,"1",เรื่องร้องเรียน!AN:AN,"นางเลิ้ง",เรื่องร้องเรียน!U:U,"1")</f>
        <v>0</v>
      </c>
      <c r="H12" s="361">
        <f>COUNTIFS(เรื่องร้องเรียน!E:E,"2",เรื่องร้องเรียน!AO:AO,"1",เรื่องร้องเรียน!AN:AN,"นางเลิ้ง",เรื่องร้องเรียน!V:V,"1")</f>
        <v>0</v>
      </c>
      <c r="I12" s="362">
        <f>COUNTIFS(เรื่องร้องเรียน!E:E,"3",เรื่องร้องเรียน!AO:AO,"1",เรื่องร้องเรียน!AN:AN,"นางเลิ้ง",เรื่องร้องเรียน!T:T,"1")</f>
        <v>0</v>
      </c>
      <c r="J12" s="362">
        <f>COUNTIFS(เรื่องร้องเรียน!E:E,"3",เรื่องร้องเรียน!AO:AO,"1",เรื่องร้องเรียน!AN:AN,"นางเลิ้ง",เรื่องร้องเรียน!U:U,"1")</f>
        <v>0</v>
      </c>
      <c r="K12" s="362">
        <f>COUNTIFS(เรื่องร้องเรียน!E:E,"3",เรื่องร้องเรียน!AO:AO,"1",เรื่องร้องเรียน!AN:AN,"นางเลิ้ง",เรื่องร้องเรียน!V:V,"1")</f>
        <v>0</v>
      </c>
      <c r="L12" s="363">
        <f>COUNTIFS(เรื่องร้องเรียน!E:E,"4",เรื่องร้องเรียน!AO:AO,"1",เรื่องร้องเรียน!AN:AN,"นางเลิ้ง")</f>
        <v>0</v>
      </c>
      <c r="M12" s="364"/>
      <c r="N12" s="313">
        <f t="shared" si="4"/>
        <v>0</v>
      </c>
      <c r="O12" s="367">
        <f>COUNTIFS(เรื่องร้องเรียน!AO:AO,"1",เรื่องร้องเรียน!AN:AN,"นางเลิ้ง",เรื่องร้องเรียน!CL:CL,"1")</f>
        <v>0</v>
      </c>
      <c r="P12" s="370">
        <f>COUNTIFS(เรื่องร้องเรียน!E:E,"1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Q12" s="109">
        <f>COUNTIFS(เรื่องร้องเรียน!E:E,"2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R12" s="109">
        <f>COUNTIFS(เรื่องร้องเรียน!E:E,"3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S12" s="109">
        <f>COUNTIFS(เรื่องร้องเรียน!E:E,"4",เรื่องร้องเรียน!AO:AO,"1",เรื่องร้องเรียน!AN:AN,"นางเลิ้ง",เรื่องร้องเรียน!AQ:AQ,"1",เรื่องร้องเรียน!CL:CL,"")</f>
        <v>0</v>
      </c>
      <c r="T12" s="371"/>
      <c r="U12" s="241">
        <f t="shared" si="3"/>
        <v>0</v>
      </c>
      <c r="V12" s="317">
        <f t="shared" si="1"/>
        <v>0</v>
      </c>
      <c r="W12" s="339">
        <f>COUNTIFS(เรื่องร้องเรียน!AO:AO,"1",เรื่องร้องเรียน!AN:AN,"นางเลิ้ง",เรื่องร้องเรียน!CT:CT,"บำบัด")</f>
        <v>0</v>
      </c>
      <c r="X12" s="334">
        <f>COUNTIFS(เรื่องร้องเรียน!AO:AO,"1",เรื่องร้องเรียน!AN:AN,"นางเลิ้ง",เรื่องร้องเรียน!CT:CT,"อาการทางจิต")</f>
        <v>0</v>
      </c>
    </row>
    <row r="13" spans="1:25">
      <c r="A13" s="322"/>
      <c r="B13" s="108" t="s">
        <v>89</v>
      </c>
      <c r="C13" s="359">
        <f>COUNTIFS(เรื่องร้องเรียน!E:E,"1",เรื่องร้องเรียน!AO:AO,"1",เรื่องร้องเรียน!AN:AN,"พญาไท",เรื่องร้องเรียน!T:T,"1")</f>
        <v>0</v>
      </c>
      <c r="D13" s="360">
        <f>COUNTIFS(เรื่องร้องเรียน!E:E,"1",เรื่องร้องเรียน!AO:AO,"1",เรื่องร้องเรียน!AN:AN,"พญาไท",เรื่องร้องเรียน!U:U,"1")</f>
        <v>0</v>
      </c>
      <c r="E13" s="360">
        <f>COUNTIFS(เรื่องร้องเรียน!E:E,"1",เรื่องร้องเรียน!AO:AO,"1",เรื่องร้องเรียน!AN:AN,"พญาไท",เรื่องร้องเรียน!V:V,"1")</f>
        <v>0</v>
      </c>
      <c r="F13" s="361">
        <f>COUNTIFS(เรื่องร้องเรียน!E:E,"2",เรื่องร้องเรียน!AO:AO,"1",เรื่องร้องเรียน!AN:AN,"พญาไท",เรื่องร้องเรียน!T:T,"1")</f>
        <v>0</v>
      </c>
      <c r="G13" s="361">
        <f>COUNTIFS(เรื่องร้องเรียน!E:E,"2",เรื่องร้องเรียน!AO:AO,"1",เรื่องร้องเรียน!AN:AN,"พญาไท",เรื่องร้องเรียน!U:U,"1")</f>
        <v>0</v>
      </c>
      <c r="H13" s="361">
        <f>COUNTIFS(เรื่องร้องเรียน!E:E,"2",เรื่องร้องเรียน!AO:AO,"1",เรื่องร้องเรียน!AN:AN,"พญาไท",เรื่องร้องเรียน!V:V,"1")</f>
        <v>0</v>
      </c>
      <c r="I13" s="362">
        <f>COUNTIFS(เรื่องร้องเรียน!E:E,"3",เรื่องร้องเรียน!AO:AO,"1",เรื่องร้องเรียน!AN:AN,"พญาไท",เรื่องร้องเรียน!T:T,"1")</f>
        <v>0</v>
      </c>
      <c r="J13" s="362">
        <f>COUNTIFS(เรื่องร้องเรียน!E:E,"3",เรื่องร้องเรียน!AO:AO,"1",เรื่องร้องเรียน!AN:AN,"พญาไท",เรื่องร้องเรียน!U:U,"1")</f>
        <v>0</v>
      </c>
      <c r="K13" s="362">
        <f>COUNTIFS(เรื่องร้องเรียน!E:E,"3",เรื่องร้องเรียน!AO:AO,"1",เรื่องร้องเรียน!AN:AN,"พญาไท",เรื่องร้องเรียน!V:V,"1")</f>
        <v>0</v>
      </c>
      <c r="L13" s="363">
        <f>COUNTIFS(เรื่องร้องเรียน!E:E,"4",เรื่องร้องเรียน!AO:AO,"1",เรื่องร้องเรียน!AN:AN,"พญาไท")</f>
        <v>0</v>
      </c>
      <c r="M13" s="364"/>
      <c r="N13" s="313">
        <f t="shared" si="4"/>
        <v>0</v>
      </c>
      <c r="O13" s="367">
        <f>COUNTIFS(เรื่องร้องเรียน!AO:AO,"1",เรื่องร้องเรียน!AN:AN,"พญาไท",เรื่องร้องเรียน!CL:CL,"1")</f>
        <v>0</v>
      </c>
      <c r="P13" s="370">
        <f>COUNTIFS(เรื่องร้องเรียน!E:E,"1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Q13" s="109">
        <f>COUNTIFS(เรื่องร้องเรียน!E:E,"2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R13" s="109">
        <f>COUNTIFS(เรื่องร้องเรียน!E:E,"3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S13" s="109">
        <f>COUNTIFS(เรื่องร้องเรียน!E:E,"4",เรื่องร้องเรียน!AO:AO,"1",เรื่องร้องเรียน!AN:AN,"พญาไท",เรื่องร้องเรียน!AQ:AQ,"1",เรื่องร้องเรียน!CL:CL,"")</f>
        <v>0</v>
      </c>
      <c r="T13" s="371"/>
      <c r="U13" s="241">
        <f t="shared" si="3"/>
        <v>0</v>
      </c>
      <c r="V13" s="317">
        <f t="shared" si="1"/>
        <v>0</v>
      </c>
      <c r="W13" s="339">
        <f>COUNTIFS(เรื่องร้องเรียน!AO:AO,"1",เรื่องร้องเรียน!AN:AN,"พญาไท",เรื่องร้องเรียน!CT:CT,"บำบัด")</f>
        <v>0</v>
      </c>
      <c r="X13" s="334">
        <f>COUNTIFS(เรื่องร้องเรียน!AO:AO,"1",เรื่องร้องเรียน!AN:AN,"พญาไท",เรื่องร้องเรียน!CT:CT,"อาการทางจิต")</f>
        <v>0</v>
      </c>
    </row>
    <row r="14" spans="1:25">
      <c r="A14" s="322"/>
      <c r="B14" s="108" t="s">
        <v>170</v>
      </c>
      <c r="C14" s="359">
        <f>COUNTIFS(เรื่องร้องเรียน!E:E,"1",เรื่องร้องเรียน!AO:AO,"1",เรื่องร้องเรียน!AN:AN,"มักกะสัน",เรื่องร้องเรียน!T:T,"1")</f>
        <v>0</v>
      </c>
      <c r="D14" s="360">
        <f>COUNTIFS(เรื่องร้องเรียน!E:E,"1",เรื่องร้องเรียน!AO:AO,"1",เรื่องร้องเรียน!AN:AN,"มักกะสัน",เรื่องร้องเรียน!U:U,"1")</f>
        <v>0</v>
      </c>
      <c r="E14" s="360">
        <f>COUNTIFS(เรื่องร้องเรียน!E:E,"1",เรื่องร้องเรียน!AO:AO,"1",เรื่องร้องเรียน!AN:AN,"มักกะสัน",เรื่องร้องเรียน!V:V,"1")</f>
        <v>0</v>
      </c>
      <c r="F14" s="361">
        <f>COUNTIFS(เรื่องร้องเรียน!E:E,"2",เรื่องร้องเรียน!AO:AO,"1",เรื่องร้องเรียน!AN:AN,"มักกะสัน",เรื่องร้องเรียน!T:T,"1")</f>
        <v>0</v>
      </c>
      <c r="G14" s="361">
        <f>COUNTIFS(เรื่องร้องเรียน!E:E,"2",เรื่องร้องเรียน!AO:AO,"1",เรื่องร้องเรียน!AN:AN,"มักกะสัน",เรื่องร้องเรียน!U:U,"1")</f>
        <v>0</v>
      </c>
      <c r="H14" s="361">
        <f>COUNTIFS(เรื่องร้องเรียน!E:E,"2",เรื่องร้องเรียน!AO:AO,"1",เรื่องร้องเรียน!AN:AN,"มักกะสัน",เรื่องร้องเรียน!V:V,"1")</f>
        <v>0</v>
      </c>
      <c r="I14" s="362">
        <f>COUNTIFS(เรื่องร้องเรียน!E:E,"3",เรื่องร้องเรียน!AO:AO,"1",เรื่องร้องเรียน!AN:AN,"มักกะสัน",เรื่องร้องเรียน!T:T,"1")</f>
        <v>0</v>
      </c>
      <c r="J14" s="362">
        <f>COUNTIFS(เรื่องร้องเรียน!E:E,"3",เรื่องร้องเรียน!AO:AO,"1",เรื่องร้องเรียน!AN:AN,"มักกะสัน",เรื่องร้องเรียน!U:U,"1")</f>
        <v>0</v>
      </c>
      <c r="K14" s="362">
        <f>COUNTIFS(เรื่องร้องเรียน!E:E,"3",เรื่องร้องเรียน!AO:AO,"1",เรื่องร้องเรียน!AN:AN,"มักกะสัน",เรื่องร้องเรียน!V:V,"1")</f>
        <v>0</v>
      </c>
      <c r="L14" s="363">
        <f>COUNTIFS(เรื่องร้องเรียน!E:E,"4",เรื่องร้องเรียน!AO:AO,"1",เรื่องร้องเรียน!AN:AN,"มักกะสัน")</f>
        <v>0</v>
      </c>
      <c r="M14" s="364"/>
      <c r="N14" s="313">
        <f t="shared" si="4"/>
        <v>0</v>
      </c>
      <c r="O14" s="367">
        <f>COUNTIFS(เรื่องร้องเรียน!AO:AO,"1",เรื่องร้องเรียน!AN:AN,"มักกะสัน",เรื่องร้องเรียน!CL:CL,"1")</f>
        <v>0</v>
      </c>
      <c r="P14" s="370">
        <f>COUNTIFS(เรื่องร้องเรียน!E:E,"1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Q14" s="109">
        <f>COUNTIFS(เรื่องร้องเรียน!E:E,"2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R14" s="109">
        <f>COUNTIFS(เรื่องร้องเรียน!E:E,"3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S14" s="109">
        <f>COUNTIFS(เรื่องร้องเรียน!E:E,"4",เรื่องร้องเรียน!AO:AO,"1",เรื่องร้องเรียน!AN:AN,"มักกะสัน",เรื่องร้องเรียน!AQ:AQ,"1",เรื่องร้องเรียน!CL:CL,"")</f>
        <v>0</v>
      </c>
      <c r="T14" s="371"/>
      <c r="U14" s="241">
        <f t="shared" si="3"/>
        <v>0</v>
      </c>
      <c r="V14" s="317">
        <f t="shared" si="1"/>
        <v>0</v>
      </c>
      <c r="W14" s="339">
        <f>COUNTIFS(เรื่องร้องเรียน!AO:AO,"1",เรื่องร้องเรียน!AN:AN,"มักกะสัน",เรื่องร้องเรียน!CT:CT,"บำบัด")</f>
        <v>0</v>
      </c>
      <c r="X14" s="334">
        <f>COUNTIFS(เรื่องร้องเรียน!AO:AO,"1",เรื่องร้องเรียน!AN:AN,"มักกะสัน",เรื่องร้องเรียน!CT:CT,"อาการทางจิต")</f>
        <v>0</v>
      </c>
    </row>
    <row r="15" spans="1:25">
      <c r="A15" s="322"/>
      <c r="B15" s="108" t="s">
        <v>171</v>
      </c>
      <c r="C15" s="359">
        <f>COUNTIFS(เรื่องร้องเรียน!E:E,"1",เรื่องร้องเรียน!AO:AO,"1",เรื่องร้องเรียน!AN:AN,"สามเสน",เรื่องร้องเรียน!T:T,"1")</f>
        <v>0</v>
      </c>
      <c r="D15" s="360">
        <f>COUNTIFS(เรื่องร้องเรียน!E:E,"1",เรื่องร้องเรียน!AO:AO,"1",เรื่องร้องเรียน!AN:AN,"สามเสน",เรื่องร้องเรียน!U:U,"1")</f>
        <v>0</v>
      </c>
      <c r="E15" s="360">
        <f>COUNTIFS(เรื่องร้องเรียน!E:E,"1",เรื่องร้องเรียน!AO:AO,"1",เรื่องร้องเรียน!AN:AN,"สามเสน",เรื่องร้องเรียน!V:V,"1")</f>
        <v>0</v>
      </c>
      <c r="F15" s="361">
        <f>COUNTIFS(เรื่องร้องเรียน!E:E,"2",เรื่องร้องเรียน!AO:AO,"1",เรื่องร้องเรียน!AN:AN,"สามเสน",เรื่องร้องเรียน!T:T,"1")</f>
        <v>0</v>
      </c>
      <c r="G15" s="361">
        <f>COUNTIFS(เรื่องร้องเรียน!E:E,"2",เรื่องร้องเรียน!AO:AO,"1",เรื่องร้องเรียน!AN:AN,"สามเสน",เรื่องร้องเรียน!U:U,"1")</f>
        <v>0</v>
      </c>
      <c r="H15" s="361">
        <f>COUNTIFS(เรื่องร้องเรียน!E:E,"2",เรื่องร้องเรียน!AO:AO,"1",เรื่องร้องเรียน!AN:AN,"สามเสน",เรื่องร้องเรียน!V:V,"1")</f>
        <v>0</v>
      </c>
      <c r="I15" s="362">
        <f>COUNTIFS(เรื่องร้องเรียน!E:E,"3",เรื่องร้องเรียน!AO:AO,"1",เรื่องร้องเรียน!AN:AN,"สามเสน",เรื่องร้องเรียน!T:T,"1")</f>
        <v>0</v>
      </c>
      <c r="J15" s="362">
        <f>COUNTIFS(เรื่องร้องเรียน!E:E,"3",เรื่องร้องเรียน!AO:AO,"1",เรื่องร้องเรียน!AN:AN,"สามเสน",เรื่องร้องเรียน!U:U,"1")</f>
        <v>0</v>
      </c>
      <c r="K15" s="362">
        <f>COUNTIFS(เรื่องร้องเรียน!E:E,"3",เรื่องร้องเรียน!AO:AO,"1",เรื่องร้องเรียน!AN:AN,"สามเสน",เรื่องร้องเรียน!V:V,"1")</f>
        <v>0</v>
      </c>
      <c r="L15" s="363">
        <f>COUNTIFS(เรื่องร้องเรียน!E:E,"4",เรื่องร้องเรียน!AO:AO,"1",เรื่องร้องเรียน!AN:AN,"สามเสน")</f>
        <v>0</v>
      </c>
      <c r="M15" s="364"/>
      <c r="N15" s="313">
        <f t="shared" si="4"/>
        <v>0</v>
      </c>
      <c r="O15" s="367">
        <f>COUNTIFS(เรื่องร้องเรียน!AO:AO,"1",เรื่องร้องเรียน!AN:AN,"สามเสน",เรื่องร้องเรียน!CL:CL,"1")</f>
        <v>0</v>
      </c>
      <c r="P15" s="370">
        <f>COUNTIFS(เรื่องร้องเรียน!E:E,"1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Q15" s="109">
        <f>COUNTIFS(เรื่องร้องเรียน!E:E,"2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R15" s="109">
        <f>COUNTIFS(เรื่องร้องเรียน!E:E,"3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S15" s="109">
        <f>COUNTIFS(เรื่องร้องเรียน!E:E,"4",เรื่องร้องเรียน!AO:AO,"1",เรื่องร้องเรียน!AN:AN,"สามเสน",เรื่องร้องเรียน!AQ:AQ,"1",เรื่องร้องเรียน!CL:CL,"")</f>
        <v>0</v>
      </c>
      <c r="T15" s="371"/>
      <c r="U15" s="241">
        <f t="shared" si="3"/>
        <v>0</v>
      </c>
      <c r="V15" s="317">
        <f t="shared" si="1"/>
        <v>0</v>
      </c>
      <c r="W15" s="339">
        <f>COUNTIFS(เรื่องร้องเรียน!AO:AO,"1",เรื่องร้องเรียน!AN:AN,"สามเสน",เรื่องร้องเรียน!CT:CT,"บำบัด")</f>
        <v>0</v>
      </c>
      <c r="X15" s="334">
        <f>COUNTIFS(เรื่องร้องเรียน!AO:AO,"1",เรื่องร้องเรียน!AN:AN,"สามเสน",เรื่องร้องเรียน!CT:CT,"อาการทางจิต")</f>
        <v>0</v>
      </c>
    </row>
    <row r="16" spans="1:25">
      <c r="A16" s="322"/>
      <c r="B16" s="108" t="s">
        <v>140</v>
      </c>
      <c r="C16" s="359">
        <f>COUNTIFS(เรื่องร้องเรียน!E:E,"1",เรื่องร้องเรียน!AO:AO,"1",เรื่องร้องเรียน!AN:AN,"ห้วยขวาง",เรื่องร้องเรียน!T:T,"1")</f>
        <v>0</v>
      </c>
      <c r="D16" s="360">
        <f>COUNTIFS(เรื่องร้องเรียน!E:E,"1",เรื่องร้องเรียน!AO:AO,"1",เรื่องร้องเรียน!AN:AN,"ห้วยขวาง",เรื่องร้องเรียน!U:U,"1")</f>
        <v>0</v>
      </c>
      <c r="E16" s="360">
        <f>COUNTIFS(เรื่องร้องเรียน!E:E,"1",เรื่องร้องเรียน!AO:AO,"1",เรื่องร้องเรียน!AN:AN,"ห้วยขวาง",เรื่องร้องเรียน!V:V,"1")</f>
        <v>0</v>
      </c>
      <c r="F16" s="361">
        <f>COUNTIFS(เรื่องร้องเรียน!E:E,"2",เรื่องร้องเรียน!AO:AO,"1",เรื่องร้องเรียน!AN:AN,"ห้วยขวาง",เรื่องร้องเรียน!T:T,"1")</f>
        <v>0</v>
      </c>
      <c r="G16" s="361">
        <f>COUNTIFS(เรื่องร้องเรียน!E:E,"2",เรื่องร้องเรียน!AO:AO,"1",เรื่องร้องเรียน!AN:AN,"ห้วยขวาง",เรื่องร้องเรียน!U:U,"1")</f>
        <v>0</v>
      </c>
      <c r="H16" s="361">
        <f>COUNTIFS(เรื่องร้องเรียน!E:E,"2",เรื่องร้องเรียน!AO:AO,"1",เรื่องร้องเรียน!AN:AN,"ห้วยขวาง",เรื่องร้องเรียน!V:V,"1")</f>
        <v>0</v>
      </c>
      <c r="I16" s="362">
        <f>COUNTIFS(เรื่องร้องเรียน!E:E,"3",เรื่องร้องเรียน!AO:AO,"1",เรื่องร้องเรียน!AN:AN,"ห้วยขวาง",เรื่องร้องเรียน!T:T,"1")</f>
        <v>0</v>
      </c>
      <c r="J16" s="362">
        <f>COUNTIFS(เรื่องร้องเรียน!E:E,"3",เรื่องร้องเรียน!AO:AO,"1",เรื่องร้องเรียน!AN:AN,"ห้วยขวาง",เรื่องร้องเรียน!U:U,"1")</f>
        <v>0</v>
      </c>
      <c r="K16" s="362">
        <f>COUNTIFS(เรื่องร้องเรียน!E:E,"3",เรื่องร้องเรียน!AO:AO,"1",เรื่องร้องเรียน!AN:AN,"ห้วยขวาง",เรื่องร้องเรียน!V:V,"1")</f>
        <v>0</v>
      </c>
      <c r="L16" s="363">
        <f>COUNTIFS(เรื่องร้องเรียน!E:E,"4",เรื่องร้องเรียน!AO:AO,"1",เรื่องร้องเรียน!AN:AN,"ห้วยขวาง")</f>
        <v>0</v>
      </c>
      <c r="M16" s="364"/>
      <c r="N16" s="313">
        <f t="shared" si="4"/>
        <v>0</v>
      </c>
      <c r="O16" s="367">
        <f>COUNTIFS(เรื่องร้องเรียน!AO:AO,"1",เรื่องร้องเรียน!AN:AN,"ห้วยขวาง",เรื่องร้องเรียน!CL:CL,"1")</f>
        <v>0</v>
      </c>
      <c r="P16" s="370">
        <f>COUNTIFS(เรื่องร้องเรียน!E:E,"1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Q16" s="109">
        <f>COUNTIFS(เรื่องร้องเรียน!E:E,"2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R16" s="109">
        <f>COUNTIFS(เรื่องร้องเรียน!E:E,"3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S16" s="109">
        <f>COUNTIFS(เรื่องร้องเรียน!E:E,"4",เรื่องร้องเรียน!AO:AO,"1",เรื่องร้องเรียน!AN:AN,"ห้วยขวาง",เรื่องร้องเรียน!AQ:AQ,"1",เรื่องร้องเรียน!CL:CL,"")</f>
        <v>0</v>
      </c>
      <c r="T16" s="371"/>
      <c r="U16" s="241">
        <f t="shared" si="3"/>
        <v>0</v>
      </c>
      <c r="V16" s="317">
        <f t="shared" si="1"/>
        <v>0</v>
      </c>
      <c r="W16" s="339">
        <f>COUNTIFS(เรื่องร้องเรียน!AO:AO,"1",เรื่องร้องเรียน!AN:AN,"ห้วยขวาง",เรื่องร้องเรียน!CT:CT,"บำบัด")</f>
        <v>0</v>
      </c>
      <c r="X16" s="334">
        <f>COUNTIFS(เรื่องร้องเรียน!AO:AO,"1",เรื่องร้องเรียน!AN:AN,"ห้วยขวาง",เรื่องร้องเรียน!CT:CT,"อาการทางจิต")</f>
        <v>0</v>
      </c>
    </row>
    <row r="17" spans="1:25" ht="24" customHeight="1" thickBot="1">
      <c r="A17" s="323"/>
      <c r="B17" s="112" t="s">
        <v>172</v>
      </c>
      <c r="C17" s="289">
        <f>COUNTIFS(เรื่องร้องเรียน!E:E,"1",เรื่องร้องเรียน!AO:AO,"1",เรื่องร้องเรียน!AN:AN,"บางโพ",เรื่องร้องเรียน!T:T,"1")</f>
        <v>0</v>
      </c>
      <c r="D17" s="290">
        <f>COUNTIFS(เรื่องร้องเรียน!E:E,"1",เรื่องร้องเรียน!AO:AO,"1",เรื่องร้องเรียน!AN:AN,"บางโพ",เรื่องร้องเรียน!U:U,"1")</f>
        <v>0</v>
      </c>
      <c r="E17" s="290">
        <f>COUNTIFS(เรื่องร้องเรียน!E:E,"1",เรื่องร้องเรียน!AO:AO,"1",เรื่องร้องเรียน!AN:AN,"บางโพ",เรื่องร้องเรียน!V:V,"1")</f>
        <v>0</v>
      </c>
      <c r="F17" s="291">
        <f>COUNTIFS(เรื่องร้องเรียน!E:E,"2",เรื่องร้องเรียน!AO:AO,"1",เรื่องร้องเรียน!AN:AN,"บางโพ",เรื่องร้องเรียน!T:T,"1")</f>
        <v>0</v>
      </c>
      <c r="G17" s="291">
        <f>COUNTIFS(เรื่องร้องเรียน!E:E,"2",เรื่องร้องเรียน!AO:AO,"1",เรื่องร้องเรียน!AN:AN,"บางโพ",เรื่องร้องเรียน!U:U,"1")</f>
        <v>0</v>
      </c>
      <c r="H17" s="291">
        <f>COUNTIFS(เรื่องร้องเรียน!E:E,"2",เรื่องร้องเรียน!AO:AO,"1",เรื่องร้องเรียน!AN:AN,"บางโพ",เรื่องร้องเรียน!V:V,"1")</f>
        <v>0</v>
      </c>
      <c r="I17" s="292">
        <f>COUNTIFS(เรื่องร้องเรียน!E:E,"3",เรื่องร้องเรียน!AO:AO,"1",เรื่องร้องเรียน!AN:AN,"บางโพ",เรื่องร้องเรียน!T:T,"1")</f>
        <v>0</v>
      </c>
      <c r="J17" s="292">
        <f>COUNTIFS(เรื่องร้องเรียน!E:E,"3",เรื่องร้องเรียน!AO:AO,"1",เรื่องร้องเรียน!AN:AN,"บางโพ",เรื่องร้องเรียน!U:U,"1")</f>
        <v>0</v>
      </c>
      <c r="K17" s="292">
        <f>COUNTIFS(เรื่องร้องเรียน!E:E,"3",เรื่องร้องเรียน!AO:AO,"1",เรื่องร้องเรียน!AN:AN,"บางโพ",เรื่องร้องเรียน!V:V,"1")</f>
        <v>0</v>
      </c>
      <c r="L17" s="293">
        <f>COUNTIFS(เรื่องร้องเรียน!E:E,"4",เรื่องร้องเรียน!AO:AO,"1",เรื่องร้องเรียน!AN:AN,"บางโพ")</f>
        <v>0</v>
      </c>
      <c r="M17" s="365"/>
      <c r="N17" s="314">
        <f t="shared" si="4"/>
        <v>0</v>
      </c>
      <c r="O17" s="350">
        <f>COUNTIFS(เรื่องร้องเรียน!AO:AO,"1",เรื่องร้องเรียน!AN:AN,"บางโพ",เรื่องร้องเรียน!CL:CL,"1")</f>
        <v>0</v>
      </c>
      <c r="P17" s="245">
        <f>COUNTIFS(เรื่องร้องเรียน!E:E,"1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Q17" s="124">
        <f>COUNTIFS(เรื่องร้องเรียน!E:E,"2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R17" s="124">
        <f>COUNTIFS(เรื่องร้องเรียน!E:E,"3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S17" s="124">
        <f>COUNTIFS(เรื่องร้องเรียน!E:E,"4",เรื่องร้องเรียน!AO:AO,"1",เรื่องร้องเรียน!AN:AN,"บางโพ",เรื่องร้องเรียน!AQ:AQ,"1",เรื่องร้องเรียน!CL:CL,"")</f>
        <v>0</v>
      </c>
      <c r="T17" s="333"/>
      <c r="U17" s="237">
        <f t="shared" si="3"/>
        <v>0</v>
      </c>
      <c r="V17" s="318">
        <f t="shared" si="1"/>
        <v>0</v>
      </c>
      <c r="W17" s="343">
        <f>COUNTIFS(เรื่องร้องเรียน!AO:AO,"1",เรื่องร้องเรียน!AN:AN,"บางโพ",เรื่องร้องเรียน!CT:CT,"บำบัด")</f>
        <v>0</v>
      </c>
      <c r="X17" s="334">
        <f>COUNTIFS(เรื่องร้องเรียน!AO:AO,"1",เรื่องร้องเรียน!AN:AN,"บางโพ",เรื่องร้องเรียน!CT:CT,"อาการทางจิต")</f>
        <v>0</v>
      </c>
    </row>
    <row r="18" spans="1:25" ht="21.6" thickBot="1">
      <c r="A18" s="320">
        <v>2</v>
      </c>
      <c r="B18" s="282"/>
      <c r="C18" s="283">
        <f>SUM(C19:C29)</f>
        <v>0</v>
      </c>
      <c r="D18" s="284">
        <f t="shared" ref="D18:S18" si="5">SUM(D19:D29)</f>
        <v>0</v>
      </c>
      <c r="E18" s="284">
        <f t="shared" si="5"/>
        <v>0</v>
      </c>
      <c r="F18" s="284">
        <f t="shared" si="5"/>
        <v>0</v>
      </c>
      <c r="G18" s="284">
        <f t="shared" si="5"/>
        <v>0</v>
      </c>
      <c r="H18" s="284">
        <f t="shared" si="5"/>
        <v>0</v>
      </c>
      <c r="I18" s="284">
        <f t="shared" si="5"/>
        <v>0</v>
      </c>
      <c r="J18" s="284">
        <f t="shared" si="5"/>
        <v>0</v>
      </c>
      <c r="K18" s="284">
        <f t="shared" si="5"/>
        <v>0</v>
      </c>
      <c r="L18" s="284">
        <f t="shared" si="5"/>
        <v>0</v>
      </c>
      <c r="M18" s="332"/>
      <c r="N18" s="311">
        <f>SUM(N19:N29)</f>
        <v>0</v>
      </c>
      <c r="O18" s="349">
        <f>SUM(O19:O29)</f>
        <v>0</v>
      </c>
      <c r="P18" s="285">
        <f t="shared" si="5"/>
        <v>0</v>
      </c>
      <c r="Q18" s="284">
        <f t="shared" si="5"/>
        <v>0</v>
      </c>
      <c r="R18" s="284">
        <f t="shared" si="5"/>
        <v>0</v>
      </c>
      <c r="S18" s="284">
        <f t="shared" si="5"/>
        <v>0</v>
      </c>
      <c r="T18" s="332"/>
      <c r="U18" s="287">
        <f t="shared" si="3"/>
        <v>0</v>
      </c>
      <c r="V18" s="315">
        <f t="shared" si="1"/>
        <v>0</v>
      </c>
      <c r="W18" s="341">
        <f>SUM(W19:W29)</f>
        <v>0</v>
      </c>
      <c r="X18" s="342">
        <f>SUM(X19:X29)</f>
        <v>0</v>
      </c>
    </row>
    <row r="19" spans="1:25">
      <c r="A19" s="321"/>
      <c r="B19" s="99" t="s">
        <v>77</v>
      </c>
      <c r="C19" s="353">
        <f>COUNTIFS(เรื่องร้องเรียน!E:E,"1",เรื่องร้องเรียน!AO:AO,"2",เรื่องร้องเรียน!AN:AN,"คันนายาว",เรื่องร้องเรียน!T:T,"1")</f>
        <v>0</v>
      </c>
      <c r="D19" s="354">
        <f>COUNTIFS(เรื่องร้องเรียน!E:E,"1",เรื่องร้องเรียน!AO:AO,"2",เรื่องร้องเรียน!AN:AN,"คันนายาว",เรื่องร้องเรียน!U:U,"1")</f>
        <v>0</v>
      </c>
      <c r="E19" s="354">
        <f>COUNTIFS(เรื่องร้องเรียน!E:E,"1",เรื่องร้องเรียน!AO:AO,"2",เรื่องร้องเรียน!AN:AN,"คันนายาว",เรื่องร้องเรียน!V:V,"1")</f>
        <v>0</v>
      </c>
      <c r="F19" s="355">
        <f>COUNTIFS(เรื่องร้องเรียน!E:E,"2",เรื่องร้องเรียน!AO:AO,"2",เรื่องร้องเรียน!AN:AN,"คันนายาว",เรื่องร้องเรียน!T:T,"1")</f>
        <v>0</v>
      </c>
      <c r="G19" s="355">
        <f>COUNTIFS(เรื่องร้องเรียน!E:E,"2",เรื่องร้องเรียน!AO:AO,"2",เรื่องร้องเรียน!AN:AN,"คันนายาว",เรื่องร้องเรียน!U:U,"1")</f>
        <v>0</v>
      </c>
      <c r="H19" s="355">
        <f>COUNTIFS(เรื่องร้องเรียน!E:E,"2",เรื่องร้องเรียน!AO:AO,"2",เรื่องร้องเรียน!AN:AN,"คันนายาว",เรื่องร้องเรียน!V:V,"1")</f>
        <v>0</v>
      </c>
      <c r="I19" s="356">
        <f>COUNTIFS(เรื่องร้องเรียน!E:E,"3",เรื่องร้องเรียน!AO:AO,"2",เรื่องร้องเรียน!AN:AN,"คันนายาว",เรื่องร้องเรียน!T:T,"1")</f>
        <v>0</v>
      </c>
      <c r="J19" s="356">
        <f>COUNTIFS(เรื่องร้องเรียน!E:E,"3",เรื่องร้องเรียน!AO:AO,"2",เรื่องร้องเรียน!AN:AN,"คันนายาว",เรื่องร้องเรียน!U:U,"1")</f>
        <v>0</v>
      </c>
      <c r="K19" s="356">
        <f>COUNTIFS(เรื่องร้องเรียน!E:E,"3",เรื่องร้องเรียน!AO:AO,"2",เรื่องร้องเรียน!AN:AN,"คันนายาว",เรื่องร้องเรียน!V:V,"1")</f>
        <v>0</v>
      </c>
      <c r="L19" s="357">
        <f>COUNTIFS(เรื่องร้องเรียน!E:E,"4",เรื่องร้องเรียน!AO:AO,"2",เรื่องร้องเรียน!AN:AN,"คันนายาว")</f>
        <v>0</v>
      </c>
      <c r="M19" s="358"/>
      <c r="N19" s="312">
        <f t="shared" ref="N19:N29" si="6">SUM(C19:L19)</f>
        <v>0</v>
      </c>
      <c r="O19" s="366">
        <f>COUNTIFS(เรื่องร้องเรียน!AO:AO,"2",เรื่องร้องเรียน!AN:AN,"คันนายาว",เรื่องร้องเรียน!CL:CL,"1")</f>
        <v>0</v>
      </c>
      <c r="P19" s="368">
        <f>COUNTIFS(เรื่องร้องเรียน!E:E,"1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Q19" s="105">
        <f>COUNTIFS(เรื่องร้องเรียน!E:E,"2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R19" s="105">
        <f>COUNTIFS(เรื่องร้องเรียน!E:E,"3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S19" s="105">
        <f>COUNTIFS(เรื่องร้องเรียน!E:E,"4",เรื่องร้องเรียน!AO:AO,"2",เรื่องร้องเรียน!AN:AN,"คันนายาว",เรื่องร้องเรียน!AQ:AQ,"1",เรื่องร้องเรียน!CL:CL,"")</f>
        <v>0</v>
      </c>
      <c r="T19" s="369"/>
      <c r="U19" s="240">
        <f t="shared" si="3"/>
        <v>0</v>
      </c>
      <c r="V19" s="316">
        <f t="shared" si="1"/>
        <v>0</v>
      </c>
      <c r="W19" s="344">
        <f>COUNTIFS(เรื่องร้องเรียน!AO:AO,"2",เรื่องร้องเรียน!AN:AN,"คันนายาว",เรื่องร้องเรียน!CT:CT,"บำบัด")</f>
        <v>0</v>
      </c>
      <c r="X19" s="345">
        <f>COUNTIFS(เรื่องร้องเรียน!AO:AO,"2",เรื่องร้องเรียน!AN:AN,"คันนายาว",เรื่องร้องเรียน!CT:CT,"อาการทางจิต")</f>
        <v>0</v>
      </c>
    </row>
    <row r="20" spans="1:25">
      <c r="A20" s="322"/>
      <c r="B20" s="108" t="s">
        <v>69</v>
      </c>
      <c r="C20" s="359">
        <f>COUNTIFS(เรื่องร้องเรียน!E:E,"1",เรื่องร้องเรียน!AO:AO,"2",เรื่องร้องเรียน!AN:AN,"โคกคราม",เรื่องร้องเรียน!T:T,"1")</f>
        <v>0</v>
      </c>
      <c r="D20" s="360">
        <f>COUNTIFS(เรื่องร้องเรียน!E:E,"1",เรื่องร้องเรียน!AO:AO,"2",เรื่องร้องเรียน!AN:AN,"โคกคราม",เรื่องร้องเรียน!U:U,"1")</f>
        <v>0</v>
      </c>
      <c r="E20" s="360">
        <f>COUNTIFS(เรื่องร้องเรียน!E:E,"1",เรื่องร้องเรียน!AO:AO,"2",เรื่องร้องเรียน!AN:AN,"โคกคราม",เรื่องร้องเรียน!V:V,"1")</f>
        <v>0</v>
      </c>
      <c r="F20" s="361">
        <f>COUNTIFS(เรื่องร้องเรียน!E:E,"2",เรื่องร้องเรียน!AO:AO,"2",เรื่องร้องเรียน!AN:AN,"โคกคราม",เรื่องร้องเรียน!T:T,"1")</f>
        <v>0</v>
      </c>
      <c r="G20" s="361">
        <f>COUNTIFS(เรื่องร้องเรียน!E:E,"2",เรื่องร้องเรียน!AO:AO,"2",เรื่องร้องเรียน!AN:AN,"โคกคราม",เรื่องร้องเรียน!U:U,"1")</f>
        <v>0</v>
      </c>
      <c r="H20" s="361">
        <f>COUNTIFS(เรื่องร้องเรียน!E:E,"2",เรื่องร้องเรียน!AO:AO,"2",เรื่องร้องเรียน!AN:AN,"โคกคราม",เรื่องร้องเรียน!V:V,"1")</f>
        <v>0</v>
      </c>
      <c r="I20" s="362">
        <f>COUNTIFS(เรื่องร้องเรียน!E:E,"3",เรื่องร้องเรียน!AO:AO,"2",เรื่องร้องเรียน!AN:AN,"โคกคราม",เรื่องร้องเรียน!T:T,"1")</f>
        <v>0</v>
      </c>
      <c r="J20" s="362">
        <f>COUNTIFS(เรื่องร้องเรียน!E:E,"3",เรื่องร้องเรียน!AO:AO,"2",เรื่องร้องเรียน!AN:AN,"โคกคราม",เรื่องร้องเรียน!U:U,"1")</f>
        <v>0</v>
      </c>
      <c r="K20" s="362">
        <f>COUNTIFS(เรื่องร้องเรียน!E:E,"3",เรื่องร้องเรียน!AO:AO,"2",เรื่องร้องเรียน!AN:AN,"โคกคราม",เรื่องร้องเรียน!V:V,"1")</f>
        <v>0</v>
      </c>
      <c r="L20" s="363">
        <f>COUNTIFS(เรื่องร้องเรียน!E:E,"4",เรื่องร้องเรียน!AO:AO,"2",เรื่องร้องเรียน!AN:AN,"โคกคราม")</f>
        <v>0</v>
      </c>
      <c r="M20" s="364"/>
      <c r="N20" s="313">
        <f t="shared" si="6"/>
        <v>0</v>
      </c>
      <c r="O20" s="367">
        <f>COUNTIFS(เรื่องร้องเรียน!AO:AO,"2",เรื่องร้องเรียน!AN:AN,"โคกคราม",เรื่องร้องเรียน!CL:CL,"1")</f>
        <v>0</v>
      </c>
      <c r="P20" s="370">
        <f>COUNTIFS(เรื่องร้องเรียน!E:E,"1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Q20" s="109">
        <f>COUNTIFS(เรื่องร้องเรียน!E:E,"2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R20" s="109">
        <f>COUNTIFS(เรื่องร้องเรียน!E:E,"3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S20" s="109">
        <f>COUNTIFS(เรื่องร้องเรียน!E:E,"4",เรื่องร้องเรียน!AO:AO,"2",เรื่องร้องเรียน!AN:AN,"โคกคราม",เรื่องร้องเรียน!AQ:AQ,"1",เรื่องร้องเรียน!CL:CL,"")</f>
        <v>0</v>
      </c>
      <c r="T20" s="371"/>
      <c r="U20" s="241">
        <f t="shared" si="3"/>
        <v>0</v>
      </c>
      <c r="V20" s="317">
        <f t="shared" si="1"/>
        <v>0</v>
      </c>
      <c r="W20" s="339">
        <f>COUNTIFS(เรื่องร้องเรียน!AO:AO,"2",เรื่องร้องเรียน!AN:AN,"โคกคราม",เรื่องร้องเรียน!CT:CT,"บำบัด")</f>
        <v>0</v>
      </c>
      <c r="X20" s="334">
        <f>COUNTIFS(เรื่องร้องเรียน!AO:AO,"2",เรื่องร้องเรียน!AN:AN,"โคกคราม",เรื่องร้องเรียน!CT:CT,"อาการทางจิต")</f>
        <v>0</v>
      </c>
      <c r="Y20" s="444" t="s">
        <v>251</v>
      </c>
    </row>
    <row r="21" spans="1:25">
      <c r="A21" s="322"/>
      <c r="B21" s="108" t="s">
        <v>95</v>
      </c>
      <c r="C21" s="359">
        <f>COUNTIFS(เรื่องร้องเรียน!E:E,"1",เรื่องร้องเรียน!AO:AO,"2",เรื่องร้องเรียน!AN:AN,"ดอนเมือง",เรื่องร้องเรียน!T:T,"1")</f>
        <v>0</v>
      </c>
      <c r="D21" s="360">
        <f>COUNTIFS(เรื่องร้องเรียน!E:E,"1",เรื่องร้องเรียน!AO:AO,"2",เรื่องร้องเรียน!AN:AN,"ดอนเมือง",เรื่องร้องเรียน!U:U,"1")</f>
        <v>0</v>
      </c>
      <c r="E21" s="360">
        <f>COUNTIFS(เรื่องร้องเรียน!E:E,"1",เรื่องร้องเรียน!AO:AO,"2",เรื่องร้องเรียน!AN:AN,"ดอนเมือง",เรื่องร้องเรียน!V:V,"1")</f>
        <v>0</v>
      </c>
      <c r="F21" s="361">
        <f>COUNTIFS(เรื่องร้องเรียน!E:E,"2",เรื่องร้องเรียน!AO:AO,"2",เรื่องร้องเรียน!AN:AN,"ดอนเมือง",เรื่องร้องเรียน!T:T,"1")</f>
        <v>0</v>
      </c>
      <c r="G21" s="361">
        <f>COUNTIFS(เรื่องร้องเรียน!E:E,"2",เรื่องร้องเรียน!AO:AO,"2",เรื่องร้องเรียน!AN:AN,"ดอนเมือง",เรื่องร้องเรียน!U:U,"1")</f>
        <v>0</v>
      </c>
      <c r="H21" s="361">
        <f>COUNTIFS(เรื่องร้องเรียน!E:E,"2",เรื่องร้องเรียน!AO:AO,"2",เรื่องร้องเรียน!AN:AN,"ดอนเมือง",เรื่องร้องเรียน!V:V,"1")</f>
        <v>0</v>
      </c>
      <c r="I21" s="362">
        <f>COUNTIFS(เรื่องร้องเรียน!E:E,"3",เรื่องร้องเรียน!AO:AO,"2",เรื่องร้องเรียน!AN:AN,"ดอนเมือง",เรื่องร้องเรียน!T:T,"1")</f>
        <v>0</v>
      </c>
      <c r="J21" s="362">
        <f>COUNTIFS(เรื่องร้องเรียน!E:E,"3",เรื่องร้องเรียน!AO:AO,"2",เรื่องร้องเรียน!AN:AN,"ดอนเมือง",เรื่องร้องเรียน!U:U,"1")</f>
        <v>0</v>
      </c>
      <c r="K21" s="362">
        <f>COUNTIFS(เรื่องร้องเรียน!E:E,"3",เรื่องร้องเรียน!AO:AO,"2",เรื่องร้องเรียน!AN:AN,"ดอนเมือง",เรื่องร้องเรียน!V:V,"1")</f>
        <v>0</v>
      </c>
      <c r="L21" s="363">
        <f>COUNTIFS(เรื่องร้องเรียน!E:E,"4",เรื่องร้องเรียน!AO:AO,"2",เรื่องร้องเรียน!AN:AN,"ดอนเมือง")</f>
        <v>0</v>
      </c>
      <c r="M21" s="364"/>
      <c r="N21" s="313">
        <f t="shared" si="6"/>
        <v>0</v>
      </c>
      <c r="O21" s="367">
        <f>COUNTIFS(เรื่องร้องเรียน!AO:AO,"2",เรื่องร้องเรียน!AN:AN,"ดอนเมือง",เรื่องร้องเรียน!CL:CL,"1")</f>
        <v>0</v>
      </c>
      <c r="P21" s="370">
        <f>COUNTIFS(เรื่องร้องเรียน!E:E,"1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Q21" s="109">
        <f>COUNTIFS(เรื่องร้องเรียน!E:E,"2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R21" s="109">
        <f>COUNTIFS(เรื่องร้องเรียน!E:E,"3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S21" s="109">
        <f>COUNTIFS(เรื่องร้องเรียน!E:E,"4",เรื่องร้องเรียน!AO:AO,"2",เรื่องร้องเรียน!AN:AN,"ดอนเมือง",เรื่องร้องเรียน!AQ:AQ,"1",เรื่องร้องเรียน!CL:CL,"")</f>
        <v>0</v>
      </c>
      <c r="T21" s="371"/>
      <c r="U21" s="241">
        <f t="shared" si="3"/>
        <v>0</v>
      </c>
      <c r="V21" s="317">
        <f t="shared" si="1"/>
        <v>0</v>
      </c>
      <c r="W21" s="339">
        <f>COUNTIFS(เรื่องร้องเรียน!AO:AO,"2",เรื่องร้องเรียน!AN:AN,"ดอนเมือง",เรื่องร้องเรียน!CT:CT,"บำบัด")</f>
        <v>0</v>
      </c>
      <c r="X21" s="334">
        <f>COUNTIFS(เรื่องร้องเรียน!AO:AO,"2",เรื่องร้องเรียน!AN:AN,"ดอนเมือง",เรื่องร้องเรียน!CT:CT,"อาการทางจิต")</f>
        <v>0</v>
      </c>
    </row>
    <row r="22" spans="1:25">
      <c r="A22" s="322"/>
      <c r="B22" s="108" t="s">
        <v>134</v>
      </c>
      <c r="C22" s="359">
        <f>COUNTIFS(เรื่องร้องเรียน!E:E,"1",เรื่องร้องเรียน!AO:AO,"2",เรื่องร้องเรียน!AN:AN,"เตาปูน",เรื่องร้องเรียน!T:T,"1")</f>
        <v>0</v>
      </c>
      <c r="D22" s="360">
        <f>COUNTIFS(เรื่องร้องเรียน!E:E,"1",เรื่องร้องเรียน!AO:AO,"2",เรื่องร้องเรียน!AN:AN,"เตาปูน",เรื่องร้องเรียน!U:U,"1")</f>
        <v>0</v>
      </c>
      <c r="E22" s="360">
        <f>COUNTIFS(เรื่องร้องเรียน!E:E,"1",เรื่องร้องเรียน!AO:AO,"2",เรื่องร้องเรียน!AN:AN,"เตาปูน",เรื่องร้องเรียน!V:V,"1")</f>
        <v>0</v>
      </c>
      <c r="F22" s="361">
        <f>COUNTIFS(เรื่องร้องเรียน!E:E,"2",เรื่องร้องเรียน!AO:AO,"2",เรื่องร้องเรียน!AN:AN,"เตาปูน",เรื่องร้องเรียน!T:T,"1")</f>
        <v>0</v>
      </c>
      <c r="G22" s="361">
        <f>COUNTIFS(เรื่องร้องเรียน!E:E,"2",เรื่องร้องเรียน!AO:AO,"2",เรื่องร้องเรียน!AN:AN,"เตาปูน",เรื่องร้องเรียน!U:U,"1")</f>
        <v>0</v>
      </c>
      <c r="H22" s="361">
        <f>COUNTIFS(เรื่องร้องเรียน!E:E,"2",เรื่องร้องเรียน!AO:AO,"2",เรื่องร้องเรียน!AN:AN,"เตาปูน",เรื่องร้องเรียน!V:V,"1")</f>
        <v>0</v>
      </c>
      <c r="I22" s="362">
        <f>COUNTIFS(เรื่องร้องเรียน!E:E,"3",เรื่องร้องเรียน!AO:AO,"2",เรื่องร้องเรียน!AN:AN,"เตาปูน",เรื่องร้องเรียน!T:T,"1")</f>
        <v>0</v>
      </c>
      <c r="J22" s="362">
        <f>COUNTIFS(เรื่องร้องเรียน!E:E,"3",เรื่องร้องเรียน!AO:AO,"2",เรื่องร้องเรียน!AN:AN,"เตาปูน",เรื่องร้องเรียน!U:U,"1")</f>
        <v>0</v>
      </c>
      <c r="K22" s="362">
        <f>COUNTIFS(เรื่องร้องเรียน!E:E,"3",เรื่องร้องเรียน!AO:AO,"2",เรื่องร้องเรียน!AN:AN,"เตาปูน",เรื่องร้องเรียน!V:V,"1")</f>
        <v>0</v>
      </c>
      <c r="L22" s="363">
        <f>COUNTIFS(เรื่องร้องเรียน!E:E,"4",เรื่องร้องเรียน!AO:AO,"2",เรื่องร้องเรียน!AN:AN,"เตาปูน")</f>
        <v>0</v>
      </c>
      <c r="M22" s="364"/>
      <c r="N22" s="313">
        <f t="shared" si="6"/>
        <v>0</v>
      </c>
      <c r="O22" s="367">
        <f>COUNTIFS(เรื่องร้องเรียน!AO:AO,"2",เรื่องร้องเรียน!AN:AN,"เตาปูน",เรื่องร้องเรียน!CL:CL,"1")</f>
        <v>0</v>
      </c>
      <c r="P22" s="370">
        <f>COUNTIFS(เรื่องร้องเรียน!E:E,"1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Q22" s="109">
        <f>COUNTIFS(เรื่องร้องเรียน!E:E,"2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R22" s="109">
        <f>COUNTIFS(เรื่องร้องเรียน!E:E,"3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S22" s="109">
        <f>COUNTIFS(เรื่องร้องเรียน!E:E,"4",เรื่องร้องเรียน!AO:AO,"2",เรื่องร้องเรียน!AN:AN,"เตาปูน",เรื่องร้องเรียน!AQ:AQ,"1",เรื่องร้องเรียน!CL:CL,"")</f>
        <v>0</v>
      </c>
      <c r="T22" s="371"/>
      <c r="U22" s="241">
        <f t="shared" si="3"/>
        <v>0</v>
      </c>
      <c r="V22" s="317">
        <f t="shared" si="1"/>
        <v>0</v>
      </c>
      <c r="W22" s="339">
        <f>COUNTIFS(เรื่องร้องเรียน!AO:AO,"2",เรื่องร้องเรียน!AN:AN,"เตาปูน",เรื่องร้องเรียน!CT:CT,"บำบัด")</f>
        <v>0</v>
      </c>
      <c r="X22" s="334">
        <f>COUNTIFS(เรื่องร้องเรียน!AO:AO,"2",เรื่องร้องเรียน!AN:AN,"เตาปูน",เรื่องร้องเรียน!CT:CT,"อาการทางจิต")</f>
        <v>0</v>
      </c>
    </row>
    <row r="23" spans="1:25">
      <c r="A23" s="322"/>
      <c r="B23" s="108" t="s">
        <v>117</v>
      </c>
      <c r="C23" s="359">
        <f>COUNTIFS(เรื่องร้องเรียน!E:E,"1",เรื่องร้องเรียน!AO:AO,"2",เรื่องร้องเรียน!AN:AN,"ทุ่งสองห้อง",เรื่องร้องเรียน!T:T,"1")</f>
        <v>0</v>
      </c>
      <c r="D23" s="360">
        <f>COUNTIFS(เรื่องร้องเรียน!E:E,"1",เรื่องร้องเรียน!AO:AO,"2",เรื่องร้องเรียน!AN:AN,"ทุ่งสองห้อง",เรื่องร้องเรียน!U:U,"1")</f>
        <v>0</v>
      </c>
      <c r="E23" s="360">
        <f>COUNTIFS(เรื่องร้องเรียน!E:E,"1",เรื่องร้องเรียน!AO:AO,"2",เรื่องร้องเรียน!AN:AN,"ทุ่งสองห้อง",เรื่องร้องเรียน!V:V,"1")</f>
        <v>0</v>
      </c>
      <c r="F23" s="361">
        <f>COUNTIFS(เรื่องร้องเรียน!E:E,"2",เรื่องร้องเรียน!AO:AO,"2",เรื่องร้องเรียน!AN:AN,"ทุ่งสองห้อง",เรื่องร้องเรียน!T:T,"1")</f>
        <v>0</v>
      </c>
      <c r="G23" s="361">
        <f>COUNTIFS(เรื่องร้องเรียน!E:E,"2",เรื่องร้องเรียน!AO:AO,"2",เรื่องร้องเรียน!AN:AN,"ทุ่งสองห้อง",เรื่องร้องเรียน!U:U,"1")</f>
        <v>0</v>
      </c>
      <c r="H23" s="361">
        <f>COUNTIFS(เรื่องร้องเรียน!E:E,"2",เรื่องร้องเรียน!AO:AO,"2",เรื่องร้องเรียน!AN:AN,"ทุ่งสองห้อง",เรื่องร้องเรียน!V:V,"1")</f>
        <v>0</v>
      </c>
      <c r="I23" s="362">
        <f>COUNTIFS(เรื่องร้องเรียน!E:E,"3",เรื่องร้องเรียน!AO:AO,"2",เรื่องร้องเรียน!AN:AN,"ทุ่งสองห้อง",เรื่องร้องเรียน!T:T,"1")</f>
        <v>0</v>
      </c>
      <c r="J23" s="362">
        <f>COUNTIFS(เรื่องร้องเรียน!E:E,"3",เรื่องร้องเรียน!AO:AO,"2",เรื่องร้องเรียน!AN:AN,"ทุ่งสองห้อง",เรื่องร้องเรียน!U:U,"1")</f>
        <v>0</v>
      </c>
      <c r="K23" s="362">
        <f>COUNTIFS(เรื่องร้องเรียน!E:E,"3",เรื่องร้องเรียน!AO:AO,"2",เรื่องร้องเรียน!AN:AN,"ทุ่งสองห้อง",เรื่องร้องเรียน!V:V,"1")</f>
        <v>0</v>
      </c>
      <c r="L23" s="363">
        <f>COUNTIFS(เรื่องร้องเรียน!E:E,"4",เรื่องร้องเรียน!AO:AO,"2",เรื่องร้องเรียน!AN:AN,"ทุ่งสองห้อง")</f>
        <v>0</v>
      </c>
      <c r="M23" s="364"/>
      <c r="N23" s="313">
        <f t="shared" si="6"/>
        <v>0</v>
      </c>
      <c r="O23" s="367">
        <f>COUNTIFS(เรื่องร้องเรียน!AO:AO,"2",เรื่องร้องเรียน!AN:AN,"ทุ่งสองห้อง",เรื่องร้องเรียน!CL:CL,"1")</f>
        <v>0</v>
      </c>
      <c r="P23" s="370">
        <f>COUNTIFS(เรื่องร้องเรียน!E:E,"1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Q23" s="109">
        <f>COUNTIFS(เรื่องร้องเรียน!E:E,"2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R23" s="109">
        <f>COUNTIFS(เรื่องร้องเรียน!E:E,"3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S23" s="109">
        <f>COUNTIFS(เรื่องร้องเรียน!E:E,"4",เรื่องร้องเรียน!AO:AO,"2",เรื่องร้องเรียน!AN:AN,"ทุ่งสองห้อง",เรื่องร้องเรียน!AQ:AQ,"1",เรื่องร้องเรียน!CL:CL,"")</f>
        <v>0</v>
      </c>
      <c r="T23" s="371"/>
      <c r="U23" s="241">
        <f t="shared" si="3"/>
        <v>0</v>
      </c>
      <c r="V23" s="317">
        <f t="shared" si="1"/>
        <v>0</v>
      </c>
      <c r="W23" s="339">
        <f>COUNTIFS(เรื่องร้องเรียน!AO:AO,"2",เรื่องร้องเรียน!AN:AN,"ทุ่งสองห้อง",เรื่องร้องเรียน!CT:CT,"บำบัด")</f>
        <v>0</v>
      </c>
      <c r="X23" s="334">
        <f>COUNTIFS(เรื่องร้องเรียน!AO:AO,"2",เรื่องร้องเรียน!AN:AN,"ทุ่งสองห้อง",เรื่องร้องเรียน!CT:CT,"อาการทางจิต")</f>
        <v>0</v>
      </c>
    </row>
    <row r="24" spans="1:25">
      <c r="A24" s="322"/>
      <c r="B24" s="108" t="s">
        <v>107</v>
      </c>
      <c r="C24" s="359">
        <f>COUNTIFS(เรื่องร้องเรียน!E:E,"1",เรื่องร้องเรียน!AO:AO,"2",เรื่องร้องเรียน!AN:AN,"บางเขน",เรื่องร้องเรียน!T:T,"1")</f>
        <v>0</v>
      </c>
      <c r="D24" s="360">
        <f>COUNTIFS(เรื่องร้องเรียน!E:E,"1",เรื่องร้องเรียน!AO:AO,"2",เรื่องร้องเรียน!AN:AN,"บางเขน",เรื่องร้องเรียน!U:U,"1")</f>
        <v>0</v>
      </c>
      <c r="E24" s="360">
        <f>COUNTIFS(เรื่องร้องเรียน!E:E,"1",เรื่องร้องเรียน!AO:AO,"2",เรื่องร้องเรียน!AN:AN,"บางเขน",เรื่องร้องเรียน!V:V,"1")</f>
        <v>0</v>
      </c>
      <c r="F24" s="361">
        <f>COUNTIFS(เรื่องร้องเรียน!E:E,"2",เรื่องร้องเรียน!AO:AO,"2",เรื่องร้องเรียน!AN:AN,"บางเขน",เรื่องร้องเรียน!T:T,"1")</f>
        <v>0</v>
      </c>
      <c r="G24" s="361">
        <f>COUNTIFS(เรื่องร้องเรียน!E:E,"2",เรื่องร้องเรียน!AO:AO,"2",เรื่องร้องเรียน!AN:AN,"บางเขน",เรื่องร้องเรียน!U:U,"1")</f>
        <v>0</v>
      </c>
      <c r="H24" s="361">
        <f>COUNTIFS(เรื่องร้องเรียน!E:E,"2",เรื่องร้องเรียน!AO:AO,"2",เรื่องร้องเรียน!AN:AN,"บางเขน",เรื่องร้องเรียน!V:V,"1")</f>
        <v>0</v>
      </c>
      <c r="I24" s="362">
        <f>COUNTIFS(เรื่องร้องเรียน!E:E,"3",เรื่องร้องเรียน!AO:AO,"2",เรื่องร้องเรียน!AN:AN,"บางเขน",เรื่องร้องเรียน!T:T,"1")</f>
        <v>0</v>
      </c>
      <c r="J24" s="362">
        <f>COUNTIFS(เรื่องร้องเรียน!E:E,"3",เรื่องร้องเรียน!AO:AO,"2",เรื่องร้องเรียน!AN:AN,"บางเขน",เรื่องร้องเรียน!U:U,"1")</f>
        <v>0</v>
      </c>
      <c r="K24" s="362">
        <f>COUNTIFS(เรื่องร้องเรียน!E:E,"3",เรื่องร้องเรียน!AO:AO,"2",เรื่องร้องเรียน!AN:AN,"บางเขน",เรื่องร้องเรียน!V:V,"1")</f>
        <v>0</v>
      </c>
      <c r="L24" s="363">
        <f>COUNTIFS(เรื่องร้องเรียน!E:E,"4",เรื่องร้องเรียน!AO:AO,"2",เรื่องร้องเรียน!AN:AN,"บางเขน")</f>
        <v>0</v>
      </c>
      <c r="M24" s="364"/>
      <c r="N24" s="313">
        <f t="shared" si="6"/>
        <v>0</v>
      </c>
      <c r="O24" s="367">
        <f>COUNTIFS(เรื่องร้องเรียน!AO:AO,"2",เรื่องร้องเรียน!AN:AN,"บางเขน",เรื่องร้องเรียน!CL:CL,"1")</f>
        <v>0</v>
      </c>
      <c r="P24" s="370">
        <f>COUNTIFS(เรื่องร้องเรียน!E:E,"1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Q24" s="109">
        <f>COUNTIFS(เรื่องร้องเรียน!E:E,"2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R24" s="109">
        <f>COUNTIFS(เรื่องร้องเรียน!E:E,"3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S24" s="109">
        <f>COUNTIFS(เรื่องร้องเรียน!E:E,"4",เรื่องร้องเรียน!AO:AO,"2",เรื่องร้องเรียน!AN:AN,"บางเขน",เรื่องร้องเรียน!AQ:AQ,"1",เรื่องร้องเรียน!CL:CL,"")</f>
        <v>0</v>
      </c>
      <c r="T24" s="371"/>
      <c r="U24" s="241">
        <f t="shared" si="3"/>
        <v>0</v>
      </c>
      <c r="V24" s="317">
        <f t="shared" si="1"/>
        <v>0</v>
      </c>
      <c r="W24" s="339">
        <f>COUNTIFS(เรื่องร้องเรียน!AO:AO,"2",เรื่องร้องเรียน!AN:AN,"บางเขน",เรื่องร้องเรียน!CT:CT,"บำบัด")</f>
        <v>0</v>
      </c>
      <c r="X24" s="334">
        <f>COUNTIFS(เรื่องร้องเรียน!AO:AO,"2",เรื่องร้องเรียน!AN:AN,"บางเขน",เรื่องร้องเรียน!CT:CT,"อาการทางจิต")</f>
        <v>0</v>
      </c>
    </row>
    <row r="25" spans="1:25">
      <c r="A25" s="322"/>
      <c r="B25" s="108" t="s">
        <v>133</v>
      </c>
      <c r="C25" s="359">
        <f>COUNTIFS(เรื่องร้องเรียน!E:E,"1",เรื่องร้องเรียน!AO:AO,"2",เรื่องร้องเรียน!AN:AN,"บางซื่อ",เรื่องร้องเรียน!T:T,"1")</f>
        <v>0</v>
      </c>
      <c r="D25" s="360">
        <f>COUNTIFS(เรื่องร้องเรียน!E:E,"1",เรื่องร้องเรียน!AO:AO,"2",เรื่องร้องเรียน!AN:AN,"บางซื่อ",เรื่องร้องเรียน!U:U,"1")</f>
        <v>0</v>
      </c>
      <c r="E25" s="360">
        <f>COUNTIFS(เรื่องร้องเรียน!E:E,"1",เรื่องร้องเรียน!AO:AO,"2",เรื่องร้องเรียน!AN:AN,"บางซื่อ",เรื่องร้องเรียน!V:V,"1")</f>
        <v>0</v>
      </c>
      <c r="F25" s="361">
        <f>COUNTIFS(เรื่องร้องเรียน!E:E,"2",เรื่องร้องเรียน!AO:AO,"2",เรื่องร้องเรียน!AN:AN,"บางซื่อ",เรื่องร้องเรียน!T:T,"1")</f>
        <v>0</v>
      </c>
      <c r="G25" s="361">
        <f>COUNTIFS(เรื่องร้องเรียน!E:E,"2",เรื่องร้องเรียน!AO:AO,"2",เรื่องร้องเรียน!AN:AN,"บางซื่อ",เรื่องร้องเรียน!U:U,"1")</f>
        <v>0</v>
      </c>
      <c r="H25" s="361">
        <f>COUNTIFS(เรื่องร้องเรียน!E:E,"2",เรื่องร้องเรียน!AO:AO,"2",เรื่องร้องเรียน!AN:AN,"บางซื่อ",เรื่องร้องเรียน!V:V,"1")</f>
        <v>0</v>
      </c>
      <c r="I25" s="362">
        <f>COUNTIFS(เรื่องร้องเรียน!E:E,"3",เรื่องร้องเรียน!AO:AO,"2",เรื่องร้องเรียน!AN:AN,"บางซื่อ",เรื่องร้องเรียน!T:T,"1")</f>
        <v>0</v>
      </c>
      <c r="J25" s="362">
        <f>COUNTIFS(เรื่องร้องเรียน!E:E,"3",เรื่องร้องเรียน!AO:AO,"2",เรื่องร้องเรียน!AN:AN,"บางซื่อ",เรื่องร้องเรียน!U:U,"1")</f>
        <v>0</v>
      </c>
      <c r="K25" s="362">
        <f>COUNTIFS(เรื่องร้องเรียน!E:E,"3",เรื่องร้องเรียน!AO:AO,"2",เรื่องร้องเรียน!AN:AN,"บางซื่อ",เรื่องร้องเรียน!V:V,"1")</f>
        <v>0</v>
      </c>
      <c r="L25" s="363">
        <f>COUNTIFS(เรื่องร้องเรียน!E:E,"4",เรื่องร้องเรียน!AO:AO,"2",เรื่องร้องเรียน!AN:AN,"บางซื่อ")</f>
        <v>0</v>
      </c>
      <c r="M25" s="364"/>
      <c r="N25" s="313">
        <f t="shared" si="6"/>
        <v>0</v>
      </c>
      <c r="O25" s="367">
        <f>COUNTIFS(เรื่องร้องเรียน!AO:AO,"2",เรื่องร้องเรียน!AN:AN,"บางซื่อ",เรื่องร้องเรียน!CL:CL,"1")</f>
        <v>0</v>
      </c>
      <c r="P25" s="370">
        <f>COUNTIFS(เรื่องร้องเรียน!E:E,"1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Q25" s="109">
        <f>COUNTIFS(เรื่องร้องเรียน!E:E,"2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R25" s="109">
        <f>COUNTIFS(เรื่องร้องเรียน!E:E,"3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S25" s="109">
        <f>COUNTIFS(เรื่องร้องเรียน!E:E,"4",เรื่องร้องเรียน!AO:AO,"2",เรื่องร้องเรียน!AN:AN,"บางซื่อ",เรื่องร้องเรียน!AQ:AQ,"1",เรื่องร้องเรียน!CL:CL,"")</f>
        <v>0</v>
      </c>
      <c r="T25" s="371"/>
      <c r="U25" s="241">
        <f t="shared" si="3"/>
        <v>0</v>
      </c>
      <c r="V25" s="317">
        <f t="shared" si="1"/>
        <v>0</v>
      </c>
      <c r="W25" s="339">
        <f>COUNTIFS(เรื่องร้องเรียน!AO:AO,"2",เรื่องร้องเรียน!AN:AN,"บางซื่อ",เรื่องร้องเรียน!CT:CT,"บำบัด")</f>
        <v>0</v>
      </c>
      <c r="X25" s="334">
        <f>COUNTIFS(เรื่องร้องเรียน!AO:AO,"2",เรื่องร้องเรียน!AN:AN,"บางซื่อ",เรื่องร้องเรียน!CT:CT,"อาการทางจิต")</f>
        <v>0</v>
      </c>
    </row>
    <row r="26" spans="1:25">
      <c r="A26" s="322"/>
      <c r="B26" s="108" t="s">
        <v>173</v>
      </c>
      <c r="C26" s="359">
        <f>COUNTIFS(เรื่องร้องเรียน!E:E,"1",เรื่องร้องเรียน!AO:AO,"2",เรื่องร้องเรียน!AN:AN,"ประชาชื่น",เรื่องร้องเรียน!T:T,"1")</f>
        <v>0</v>
      </c>
      <c r="D26" s="360">
        <f>COUNTIFS(เรื่องร้องเรียน!E:E,"1",เรื่องร้องเรียน!AO:AO,"2",เรื่องร้องเรียน!AN:AN,"ประชาชื่น",เรื่องร้องเรียน!U:U,"1")</f>
        <v>0</v>
      </c>
      <c r="E26" s="360">
        <f>COUNTIFS(เรื่องร้องเรียน!E:E,"1",เรื่องร้องเรียน!AO:AO,"2",เรื่องร้องเรียน!AN:AN,"ประชาชื่น",เรื่องร้องเรียน!V:V,"1")</f>
        <v>0</v>
      </c>
      <c r="F26" s="361">
        <f>COUNTIFS(เรื่องร้องเรียน!E:E,"2",เรื่องร้องเรียน!AO:AO,"2",เรื่องร้องเรียน!AN:AN,"ประชาชื่น",เรื่องร้องเรียน!T:T,"1")</f>
        <v>0</v>
      </c>
      <c r="G26" s="361">
        <f>COUNTIFS(เรื่องร้องเรียน!E:E,"2",เรื่องร้องเรียน!AO:AO,"2",เรื่องร้องเรียน!AN:AN,"ประชาชื่น",เรื่องร้องเรียน!U:U,"1")</f>
        <v>0</v>
      </c>
      <c r="H26" s="361">
        <f>COUNTIFS(เรื่องร้องเรียน!E:E,"2",เรื่องร้องเรียน!AO:AO,"2",เรื่องร้องเรียน!AN:AN,"ประชาชื่น",เรื่องร้องเรียน!V:V,"1")</f>
        <v>0</v>
      </c>
      <c r="I26" s="362">
        <f>COUNTIFS(เรื่องร้องเรียน!E:E,"3",เรื่องร้องเรียน!AO:AO,"2",เรื่องร้องเรียน!AN:AN,"ประชาชื่น",เรื่องร้องเรียน!T:T,"1")</f>
        <v>0</v>
      </c>
      <c r="J26" s="362">
        <f>COUNTIFS(เรื่องร้องเรียน!E:E,"3",เรื่องร้องเรียน!AO:AO,"2",เรื่องร้องเรียน!AN:AN,"ประชาชื่น",เรื่องร้องเรียน!U:U,"1")</f>
        <v>0</v>
      </c>
      <c r="K26" s="362">
        <f>COUNTIFS(เรื่องร้องเรียน!E:E,"3",เรื่องร้องเรียน!AO:AO,"2",เรื่องร้องเรียน!AN:AN,"ประชาชื่น",เรื่องร้องเรียน!V:V,"1")</f>
        <v>0</v>
      </c>
      <c r="L26" s="363">
        <f>COUNTIFS(เรื่องร้องเรียน!E:E,"4",เรื่องร้องเรียน!AO:AO,"2",เรื่องร้องเรียน!AN:AN,"ประชาชื่น")</f>
        <v>0</v>
      </c>
      <c r="M26" s="364"/>
      <c r="N26" s="313">
        <f t="shared" si="6"/>
        <v>0</v>
      </c>
      <c r="O26" s="367">
        <f>COUNTIFS(เรื่องร้องเรียน!AO:AO,"2",เรื่องร้องเรียน!AN:AN,"ประชาชื่น",เรื่องร้องเรียน!CL:CL,"1")</f>
        <v>0</v>
      </c>
      <c r="P26" s="370">
        <f>COUNTIFS(เรื่องร้องเรียน!E:E,"1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Q26" s="109">
        <f>COUNTIFS(เรื่องร้องเรียน!E:E,"2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R26" s="109">
        <f>COUNTIFS(เรื่องร้องเรียน!E:E,"3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S26" s="109">
        <f>COUNTIFS(เรื่องร้องเรียน!E:E,"4",เรื่องร้องเรียน!AO:AO,"2",เรื่องร้องเรียน!AN:AN,"ประชาชื่น",เรื่องร้องเรียน!AQ:AQ,"1",เรื่องร้องเรียน!CL:CL,"")</f>
        <v>0</v>
      </c>
      <c r="T26" s="371"/>
      <c r="U26" s="241">
        <f t="shared" si="3"/>
        <v>0</v>
      </c>
      <c r="V26" s="317">
        <f t="shared" si="1"/>
        <v>0</v>
      </c>
      <c r="W26" s="339">
        <f>COUNTIFS(เรื่องร้องเรียน!AO:AO,"2",เรื่องร้องเรียน!AN:AN,"ประชาชื่น",เรื่องร้องเรียน!CT:CT,"บำบัด")</f>
        <v>0</v>
      </c>
      <c r="X26" s="334">
        <f>COUNTIFS(เรื่องร้องเรียน!AO:AO,"2",เรื่องร้องเรียน!AN:AN,"ประชาชื่น",เรื่องร้องเรียน!CT:CT,"อาการทางจิต")</f>
        <v>0</v>
      </c>
    </row>
    <row r="27" spans="1:25">
      <c r="A27" s="322"/>
      <c r="B27" s="108" t="s">
        <v>100</v>
      </c>
      <c r="C27" s="359">
        <f>COUNTIFS(เรื่องร้องเรียน!E:E,"1",เรื่องร้องเรียน!AO:AO,"2",เรื่องร้องเรียน!AN:AN,"พหลโยธิน",เรื่องร้องเรียน!T:T,"1")</f>
        <v>0</v>
      </c>
      <c r="D27" s="360">
        <f>COUNTIFS(เรื่องร้องเรียน!E:E,"1",เรื่องร้องเรียน!AO:AO,"2",เรื่องร้องเรียน!AN:AN,"พหลโยธิน",เรื่องร้องเรียน!U:U,"1")</f>
        <v>0</v>
      </c>
      <c r="E27" s="360">
        <f>COUNTIFS(เรื่องร้องเรียน!E:E,"1",เรื่องร้องเรียน!AO:AO,"2",เรื่องร้องเรียน!AN:AN,"พหลโยธิน",เรื่องร้องเรียน!V:V,"1")</f>
        <v>0</v>
      </c>
      <c r="F27" s="361">
        <f>COUNTIFS(เรื่องร้องเรียน!E:E,"2",เรื่องร้องเรียน!AO:AO,"2",เรื่องร้องเรียน!AN:AN,"พหลโยธิน",เรื่องร้องเรียน!T:T,"1")</f>
        <v>0</v>
      </c>
      <c r="G27" s="361">
        <f>COUNTIFS(เรื่องร้องเรียน!E:E,"2",เรื่องร้องเรียน!AO:AO,"2",เรื่องร้องเรียน!AN:AN,"พหลโยธิน",เรื่องร้องเรียน!U:U,"1")</f>
        <v>0</v>
      </c>
      <c r="H27" s="361">
        <f>COUNTIFS(เรื่องร้องเรียน!E:E,"2",เรื่องร้องเรียน!AO:AO,"2",เรื่องร้องเรียน!AN:AN,"พหลโยธิน",เรื่องร้องเรียน!V:V,"1")</f>
        <v>0</v>
      </c>
      <c r="I27" s="362">
        <f>COUNTIFS(เรื่องร้องเรียน!E:E,"3",เรื่องร้องเรียน!AO:AO,"2",เรื่องร้องเรียน!AN:AN,"พหลโยธิน",เรื่องร้องเรียน!T:T,"1")</f>
        <v>0</v>
      </c>
      <c r="J27" s="362">
        <f>COUNTIFS(เรื่องร้องเรียน!E:E,"3",เรื่องร้องเรียน!AO:AO,"2",เรื่องร้องเรียน!AN:AN,"พหลโยธิน",เรื่องร้องเรียน!U:U,"1")</f>
        <v>0</v>
      </c>
      <c r="K27" s="362">
        <f>COUNTIFS(เรื่องร้องเรียน!E:E,"3",เรื่องร้องเรียน!AO:AO,"2",เรื่องร้องเรียน!AN:AN,"พหลโยธิน",เรื่องร้องเรียน!V:V,"1")</f>
        <v>0</v>
      </c>
      <c r="L27" s="363">
        <f>COUNTIFS(เรื่องร้องเรียน!E:E,"4",เรื่องร้องเรียน!AO:AO,"2",เรื่องร้องเรียน!AN:AN,"พหลโยธิน")</f>
        <v>0</v>
      </c>
      <c r="M27" s="364"/>
      <c r="N27" s="313">
        <f t="shared" si="6"/>
        <v>0</v>
      </c>
      <c r="O27" s="367">
        <f>COUNTIFS(เรื่องร้องเรียน!AO:AO,"2",เรื่องร้องเรียน!AN:AN,"พหลโยธิน",เรื่องร้องเรียน!CL:CL,"1")</f>
        <v>0</v>
      </c>
      <c r="P27" s="370">
        <f>COUNTIFS(เรื่องร้องเรียน!E:E,"1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Q27" s="109">
        <f>COUNTIFS(เรื่องร้องเรียน!E:E,"2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R27" s="109">
        <f>COUNTIFS(เรื่องร้องเรียน!E:E,"3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S27" s="109">
        <f>COUNTIFS(เรื่องร้องเรียน!E:E,"4",เรื่องร้องเรียน!AO:AO,"2",เรื่องร้องเรียน!AN:AN,"พหลโยธิน",เรื่องร้องเรียน!AQ:AQ,"1",เรื่องร้องเรียน!CL:CL,"")</f>
        <v>0</v>
      </c>
      <c r="T27" s="371"/>
      <c r="U27" s="241">
        <f t="shared" si="3"/>
        <v>0</v>
      </c>
      <c r="V27" s="317">
        <f t="shared" si="1"/>
        <v>0</v>
      </c>
      <c r="W27" s="339">
        <f>COUNTIFS(เรื่องร้องเรียน!AO:AO,"2",เรื่องร้องเรียน!AN:AN,"พหลโยธิน",เรื่องร้องเรียน!CT:CT,"บำบัด")</f>
        <v>0</v>
      </c>
      <c r="X27" s="334">
        <f>COUNTIFS(เรื่องร้องเรียน!AO:AO,"2",เรื่องร้องเรียน!AN:AN,"พหลโยธิน",เรื่องร้องเรียน!CT:CT,"อาการทางจิต")</f>
        <v>0</v>
      </c>
    </row>
    <row r="28" spans="1:25">
      <c r="A28" s="322"/>
      <c r="B28" s="108" t="s">
        <v>143</v>
      </c>
      <c r="C28" s="359">
        <f>COUNTIFS(เรื่องร้องเรียน!E:E,"1",เรื่องร้องเรียน!AO:AO,"2",เรื่องร้องเรียน!AN:AN,"สายไหม",เรื่องร้องเรียน!T:T,"1")</f>
        <v>0</v>
      </c>
      <c r="D28" s="360">
        <f>COUNTIFS(เรื่องร้องเรียน!E:E,"1",เรื่องร้องเรียน!AO:AO,"2",เรื่องร้องเรียน!AN:AN,"สายไหม",เรื่องร้องเรียน!U:U,"1")</f>
        <v>0</v>
      </c>
      <c r="E28" s="360">
        <f>COUNTIFS(เรื่องร้องเรียน!E:E,"1",เรื่องร้องเรียน!AO:AO,"2",เรื่องร้องเรียน!AN:AN,"สายไหม",เรื่องร้องเรียน!V:V,"1")</f>
        <v>0</v>
      </c>
      <c r="F28" s="361">
        <f>COUNTIFS(เรื่องร้องเรียน!E:E,"2",เรื่องร้องเรียน!AO:AO,"2",เรื่องร้องเรียน!AN:AN,"สายไหม",เรื่องร้องเรียน!T:T,"1")</f>
        <v>0</v>
      </c>
      <c r="G28" s="361">
        <f>COUNTIFS(เรื่องร้องเรียน!E:E,"2",เรื่องร้องเรียน!AO:AO,"2",เรื่องร้องเรียน!AN:AN,"สายไหม",เรื่องร้องเรียน!U:U,"1")</f>
        <v>0</v>
      </c>
      <c r="H28" s="361">
        <f>COUNTIFS(เรื่องร้องเรียน!E:E,"2",เรื่องร้องเรียน!AO:AO,"2",เรื่องร้องเรียน!AN:AN,"สายไหม",เรื่องร้องเรียน!V:V,"1")</f>
        <v>0</v>
      </c>
      <c r="I28" s="362">
        <f>COUNTIFS(เรื่องร้องเรียน!E:E,"3",เรื่องร้องเรียน!AO:AO,"2",เรื่องร้องเรียน!AN:AN,"สายไหม",เรื่องร้องเรียน!T:T,"1")</f>
        <v>0</v>
      </c>
      <c r="J28" s="362">
        <f>COUNTIFS(เรื่องร้องเรียน!E:E,"3",เรื่องร้องเรียน!AO:AO,"2",เรื่องร้องเรียน!AN:AN,"สายไหม",เรื่องร้องเรียน!U:U,"1")</f>
        <v>0</v>
      </c>
      <c r="K28" s="362">
        <f>COUNTIFS(เรื่องร้องเรียน!E:E,"3",เรื่องร้องเรียน!AO:AO,"2",เรื่องร้องเรียน!AN:AN,"สายไหม",เรื่องร้องเรียน!V:V,"1")</f>
        <v>0</v>
      </c>
      <c r="L28" s="363">
        <f>COUNTIFS(เรื่องร้องเรียน!E:E,"4",เรื่องร้องเรียน!AO:AO,"2",เรื่องร้องเรียน!AN:AN,"สายไหม")</f>
        <v>0</v>
      </c>
      <c r="M28" s="364"/>
      <c r="N28" s="313">
        <f t="shared" si="6"/>
        <v>0</v>
      </c>
      <c r="O28" s="367">
        <f>COUNTIFS(เรื่องร้องเรียน!AO:AO,"2",เรื่องร้องเรียน!AN:AN,"สายไหม",เรื่องร้องเรียน!CL:CL,"1")</f>
        <v>0</v>
      </c>
      <c r="P28" s="370">
        <f>COUNTIFS(เรื่องร้องเรียน!E:E,"1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Q28" s="109">
        <f>COUNTIFS(เรื่องร้องเรียน!E:E,"2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R28" s="109">
        <f>COUNTIFS(เรื่องร้องเรียน!E:E,"3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S28" s="109">
        <f>COUNTIFS(เรื่องร้องเรียน!E:E,"4",เรื่องร้องเรียน!AO:AO,"2",เรื่องร้องเรียน!AN:AN,"สายไหม",เรื่องร้องเรียน!AQ:AQ,"1",เรื่องร้องเรียน!CL:CL,"")</f>
        <v>0</v>
      </c>
      <c r="T28" s="371"/>
      <c r="U28" s="241">
        <f t="shared" si="3"/>
        <v>0</v>
      </c>
      <c r="V28" s="317">
        <f t="shared" si="1"/>
        <v>0</v>
      </c>
      <c r="W28" s="339">
        <f>COUNTIFS(เรื่องร้องเรียน!AO:AO,"2",เรื่องร้องเรียน!AN:AN,"สายไหม",เรื่องร้องเรียน!CT:CT,"บำบัด")</f>
        <v>0</v>
      </c>
      <c r="X28" s="334">
        <f>COUNTIFS(เรื่องร้องเรียน!AO:AO,"2",เรื่องร้องเรียน!AN:AN,"สายไหม",เรื่องร้องเรียน!CT:CT,"อาการทางจิต")</f>
        <v>0</v>
      </c>
    </row>
    <row r="29" spans="1:25" ht="21.6" thickBot="1">
      <c r="A29" s="323"/>
      <c r="B29" s="151" t="s">
        <v>88</v>
      </c>
      <c r="C29" s="289">
        <f>COUNTIFS(เรื่องร้องเรียน!E:E,"1",เรื่องร้องเรียน!AO:AO,"2",เรื่องร้องเรียน!AN:AN,"สุทธิสาร",เรื่องร้องเรียน!T:T,"1")</f>
        <v>0</v>
      </c>
      <c r="D29" s="290">
        <f>COUNTIFS(เรื่องร้องเรียน!E:E,"1",เรื่องร้องเรียน!AO:AO,"2",เรื่องร้องเรียน!AN:AN,"สุทธิสาร",เรื่องร้องเรียน!U:U,"1")</f>
        <v>0</v>
      </c>
      <c r="E29" s="290">
        <f>COUNTIFS(เรื่องร้องเรียน!E:E,"1",เรื่องร้องเรียน!AO:AO,"2",เรื่องร้องเรียน!AN:AN,"สุทธิสาร",เรื่องร้องเรียน!V:V,"1")</f>
        <v>0</v>
      </c>
      <c r="F29" s="291">
        <f>COUNTIFS(เรื่องร้องเรียน!E:E,"2",เรื่องร้องเรียน!AO:AO,"2",เรื่องร้องเรียน!AN:AN,"สุทธิสาร",เรื่องร้องเรียน!T:T,"1")</f>
        <v>0</v>
      </c>
      <c r="G29" s="291">
        <f>COUNTIFS(เรื่องร้องเรียน!E:E,"2",เรื่องร้องเรียน!AO:AO,"2",เรื่องร้องเรียน!AN:AN,"สุทธิสาร",เรื่องร้องเรียน!U:U,"1")</f>
        <v>0</v>
      </c>
      <c r="H29" s="291">
        <f>COUNTIFS(เรื่องร้องเรียน!E:E,"2",เรื่องร้องเรียน!AO:AO,"2",เรื่องร้องเรียน!AN:AN,"สุทธิสาร",เรื่องร้องเรียน!V:V,"1")</f>
        <v>0</v>
      </c>
      <c r="I29" s="292">
        <f>COUNTIFS(เรื่องร้องเรียน!E:E,"3",เรื่องร้องเรียน!AO:AO,"2",เรื่องร้องเรียน!AN:AN,"สุทธิสาร",เรื่องร้องเรียน!T:T,"1")</f>
        <v>0</v>
      </c>
      <c r="J29" s="292">
        <f>COUNTIFS(เรื่องร้องเรียน!E:E,"3",เรื่องร้องเรียน!AO:AO,"2",เรื่องร้องเรียน!AN:AN,"สุทธิสาร",เรื่องร้องเรียน!U:U,"1")</f>
        <v>0</v>
      </c>
      <c r="K29" s="292">
        <f>COUNTIFS(เรื่องร้องเรียน!E:E,"3",เรื่องร้องเรียน!AO:AO,"2",เรื่องร้องเรียน!AN:AN,"สุทธิสาร",เรื่องร้องเรียน!V:V,"1")</f>
        <v>0</v>
      </c>
      <c r="L29" s="293">
        <f>COUNTIFS(เรื่องร้องเรียน!E:E,"4",เรื่องร้องเรียน!AO:AO,"2",เรื่องร้องเรียน!AN:AN,"สุทธิสาร")</f>
        <v>0</v>
      </c>
      <c r="M29" s="365"/>
      <c r="N29" s="314">
        <f t="shared" si="6"/>
        <v>0</v>
      </c>
      <c r="O29" s="350">
        <f>COUNTIFS(เรื่องร้องเรียน!AO:AO,"2",เรื่องร้องเรียน!AN:AN,"สุทธิสาร",เรื่องร้องเรียน!CL:CL,"1")</f>
        <v>0</v>
      </c>
      <c r="P29" s="245">
        <f>COUNTIFS(เรื่องร้องเรียน!E:E,"1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Q29" s="124">
        <f>COUNTIFS(เรื่องร้องเรียน!E:E,"2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R29" s="124">
        <f>COUNTIFS(เรื่องร้องเรียน!E:E,"3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S29" s="124">
        <f>COUNTIFS(เรื่องร้องเรียน!E:E,"4",เรื่องร้องเรียน!AO:AO,"2",เรื่องร้องเรียน!AN:AN,"สุทธิสาร",เรื่องร้องเรียน!AQ:AQ,"1",เรื่องร้องเรียน!CL:CL,"")</f>
        <v>0</v>
      </c>
      <c r="T29" s="333"/>
      <c r="U29" s="237">
        <f t="shared" si="3"/>
        <v>0</v>
      </c>
      <c r="V29" s="318">
        <f t="shared" si="1"/>
        <v>0</v>
      </c>
      <c r="W29" s="343">
        <f>COUNTIFS(เรื่องร้องเรียน!AO:AO,"2",เรื่องร้องเรียน!AN:AN,"สุทธิสาร",เรื่องร้องเรียน!CT:CT,"บำบัด")</f>
        <v>0</v>
      </c>
      <c r="X29" s="336">
        <f>COUNTIFS(เรื่องร้องเรียน!AO:AO,"2",เรื่องร้องเรียน!AN:AN,"สุทธิสาร",เรื่องร้องเรียน!CT:CT,"อาการทางจิต")</f>
        <v>0</v>
      </c>
    </row>
    <row r="30" spans="1:25" ht="21.6" thickBot="1">
      <c r="A30" s="320">
        <v>3</v>
      </c>
      <c r="B30" s="282"/>
      <c r="C30" s="283">
        <f>SUM(C31:C41)</f>
        <v>0</v>
      </c>
      <c r="D30" s="284">
        <f t="shared" ref="D30:S30" si="7">SUM(D31:D41)</f>
        <v>0</v>
      </c>
      <c r="E30" s="284">
        <f t="shared" si="7"/>
        <v>0</v>
      </c>
      <c r="F30" s="284">
        <f t="shared" si="7"/>
        <v>0</v>
      </c>
      <c r="G30" s="284">
        <f t="shared" si="7"/>
        <v>0</v>
      </c>
      <c r="H30" s="284">
        <f t="shared" si="7"/>
        <v>0</v>
      </c>
      <c r="I30" s="284">
        <f t="shared" si="7"/>
        <v>0</v>
      </c>
      <c r="J30" s="284">
        <f t="shared" si="7"/>
        <v>0</v>
      </c>
      <c r="K30" s="284">
        <f t="shared" si="7"/>
        <v>0</v>
      </c>
      <c r="L30" s="284">
        <f t="shared" si="7"/>
        <v>0</v>
      </c>
      <c r="M30" s="332"/>
      <c r="N30" s="311">
        <f>SUM(N31:N41)</f>
        <v>0</v>
      </c>
      <c r="O30" s="349">
        <f>SUM(O31:O41)</f>
        <v>0</v>
      </c>
      <c r="P30" s="285">
        <f t="shared" si="7"/>
        <v>0</v>
      </c>
      <c r="Q30" s="284">
        <f t="shared" si="7"/>
        <v>0</v>
      </c>
      <c r="R30" s="284">
        <f t="shared" si="7"/>
        <v>0</v>
      </c>
      <c r="S30" s="284">
        <f t="shared" si="7"/>
        <v>0</v>
      </c>
      <c r="T30" s="332"/>
      <c r="U30" s="287">
        <f t="shared" si="3"/>
        <v>0</v>
      </c>
      <c r="V30" s="315">
        <f t="shared" si="1"/>
        <v>0</v>
      </c>
      <c r="W30" s="341">
        <f>SUM(W31:W41)</f>
        <v>0</v>
      </c>
      <c r="X30" s="342">
        <f>SUM(X31:X41)</f>
        <v>0</v>
      </c>
    </row>
    <row r="31" spans="1:25">
      <c r="A31" s="321"/>
      <c r="B31" s="99" t="s">
        <v>85</v>
      </c>
      <c r="C31" s="353">
        <f>COUNTIFS(เรื่องร้องเรียน!E:E,"1",เรื่องร้องเรียน!AO:AO,"3",เรื่องร้องเรียน!AN:AN,"จรเข้น้อย",เรื่องร้องเรียน!T:T,"1")</f>
        <v>0</v>
      </c>
      <c r="D31" s="354">
        <f>COUNTIFS(เรื่องร้องเรียน!E:E,"1",เรื่องร้องเรียน!AO:AO,"3",เรื่องร้องเรียน!AN:AN,"จรเข้น้อย",เรื่องร้องเรียน!U:U,"1")</f>
        <v>0</v>
      </c>
      <c r="E31" s="354">
        <f>COUNTIFS(เรื่องร้องเรียน!E:E,"1",เรื่องร้องเรียน!AO:AO,"3",เรื่องร้องเรียน!AN:AN,"จรเข้น้อย",เรื่องร้องเรียน!V:V,"1")</f>
        <v>0</v>
      </c>
      <c r="F31" s="355">
        <f>COUNTIFS(เรื่องร้องเรียน!E:E,"2",เรื่องร้องเรียน!AO:AO,"3",เรื่องร้องเรียน!AN:AN,"จรเข้น้อย",เรื่องร้องเรียน!T:T,"1")</f>
        <v>0</v>
      </c>
      <c r="G31" s="355">
        <f>COUNTIFS(เรื่องร้องเรียน!E:E,"2",เรื่องร้องเรียน!AO:AO,"3",เรื่องร้องเรียน!AN:AN,"จรเข้น้อย",เรื่องร้องเรียน!U:U,"1")</f>
        <v>0</v>
      </c>
      <c r="H31" s="355">
        <f>COUNTIFS(เรื่องร้องเรียน!E:E,"2",เรื่องร้องเรียน!AO:AO,"3",เรื่องร้องเรียน!AN:AN,"จรเข้น้อย",เรื่องร้องเรียน!V:V,"1")</f>
        <v>0</v>
      </c>
      <c r="I31" s="356">
        <f>COUNTIFS(เรื่องร้องเรียน!E:E,"3",เรื่องร้องเรียน!AO:AO,"3",เรื่องร้องเรียน!AN:AN,"จรเข้น้อย",เรื่องร้องเรียน!T:T,"1")</f>
        <v>0</v>
      </c>
      <c r="J31" s="356">
        <f>COUNTIFS(เรื่องร้องเรียน!E:E,"3",เรื่องร้องเรียน!AO:AO,"3",เรื่องร้องเรียน!AN:AN,"จรเข้น้อย",เรื่องร้องเรียน!U:U,"1")</f>
        <v>0</v>
      </c>
      <c r="K31" s="356">
        <f>COUNTIFS(เรื่องร้องเรียน!E:E,"3",เรื่องร้องเรียน!AO:AO,"3",เรื่องร้องเรียน!AN:AN,"จรเข้น้อย",เรื่องร้องเรียน!V:V,"1")</f>
        <v>0</v>
      </c>
      <c r="L31" s="357">
        <f>COUNTIFS(เรื่องร้องเรียน!E:E,"4",เรื่องร้องเรียน!AO:AO,"3",เรื่องร้องเรียน!AN:AN,"จรเข้น้อย")</f>
        <v>0</v>
      </c>
      <c r="M31" s="358"/>
      <c r="N31" s="312">
        <f t="shared" ref="N31:N41" si="8">SUM(C31:L31)</f>
        <v>0</v>
      </c>
      <c r="O31" s="366">
        <f>COUNTIFS(เรื่องร้องเรียน!AO:AO,"3",เรื่องร้องเรียน!AN:AN,"จรเข้น้อย",เรื่องร้องเรียน!CL:CL,"1")</f>
        <v>0</v>
      </c>
      <c r="P31" s="368">
        <f>COUNTIFS(เรื่องร้องเรียน!E:E,"1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Q31" s="105">
        <f>COUNTIFS(เรื่องร้องเรียน!E:E,"2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R31" s="105">
        <f>COUNTIFS(เรื่องร้องเรียน!E:E,"3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S31" s="105">
        <f>COUNTIFS(เรื่องร้องเรียน!E:E,"4",เรื่องร้องเรียน!AO:AO,"3",เรื่องร้องเรียน!AN:AN,"จรเข้น้อย",เรื่องร้องเรียน!AQ:AQ,"1",เรื่องร้องเรียน!CL:CL,"")</f>
        <v>0</v>
      </c>
      <c r="T31" s="369"/>
      <c r="U31" s="240">
        <f t="shared" si="3"/>
        <v>0</v>
      </c>
      <c r="V31" s="316">
        <f t="shared" si="1"/>
        <v>0</v>
      </c>
      <c r="W31" s="344">
        <f>COUNTIFS(เรื่องร้องเรียน!AO:AO,"3",เรื่องร้องเรียน!AN:AN,"จรเข้น้อย",เรื่องร้องเรียน!CT:CT,"บำบัด")</f>
        <v>0</v>
      </c>
      <c r="X31" s="345">
        <f>COUNTIFS(เรื่องร้องเรียน!AO:AO,"3",เรื่องร้องเรียน!AN:AN,"จรเข้น้อย",เรื่องร้องเรียน!CT:CT,"อาการทางจิต")</f>
        <v>0</v>
      </c>
    </row>
    <row r="32" spans="1:25">
      <c r="A32" s="322"/>
      <c r="B32" s="108" t="s">
        <v>124</v>
      </c>
      <c r="C32" s="359">
        <f>COUNTIFS(เรื่องร้องเรียน!E:E,"1",เรื่องร้องเรียน!AO:AO,"3",เรื่องร้องเรียน!AN:AN,"ฉลองกรุง",เรื่องร้องเรียน!T:T,"1")</f>
        <v>0</v>
      </c>
      <c r="D32" s="360">
        <f>COUNTIFS(เรื่องร้องเรียน!E:E,"1",เรื่องร้องเรียน!AO:AO,"3",เรื่องร้องเรียน!AN:AN,"ฉลองกรุง",เรื่องร้องเรียน!U:U,"1")</f>
        <v>0</v>
      </c>
      <c r="E32" s="360">
        <f>COUNTIFS(เรื่องร้องเรียน!E:E,"1",เรื่องร้องเรียน!AO:AO,"3",เรื่องร้องเรียน!AN:AN,"ฉลองกรุง",เรื่องร้องเรียน!V:V,"1")</f>
        <v>0</v>
      </c>
      <c r="F32" s="361">
        <f>COUNTIFS(เรื่องร้องเรียน!E:E,"2",เรื่องร้องเรียน!AO:AO,"3",เรื่องร้องเรียน!AN:AN,"ฉลองกรุง",เรื่องร้องเรียน!T:T,"1")</f>
        <v>0</v>
      </c>
      <c r="G32" s="361">
        <f>COUNTIFS(เรื่องร้องเรียน!E:E,"2",เรื่องร้องเรียน!AO:AO,"3",เรื่องร้องเรียน!AN:AN,"ฉลองกรุง",เรื่องร้องเรียน!U:U,"1")</f>
        <v>0</v>
      </c>
      <c r="H32" s="361">
        <f>COUNTIFS(เรื่องร้องเรียน!E:E,"2",เรื่องร้องเรียน!AO:AO,"3",เรื่องร้องเรียน!AN:AN,"ฉลองกรุง",เรื่องร้องเรียน!V:V,"1")</f>
        <v>0</v>
      </c>
      <c r="I32" s="362">
        <f>COUNTIFS(เรื่องร้องเรียน!E:E,"3",เรื่องร้องเรียน!AO:AO,"3",เรื่องร้องเรียน!AN:AN,"ฉลองกรุง",เรื่องร้องเรียน!T:T,"1")</f>
        <v>0</v>
      </c>
      <c r="J32" s="362">
        <f>COUNTIFS(เรื่องร้องเรียน!E:E,"3",เรื่องร้องเรียน!AO:AO,"3",เรื่องร้องเรียน!AN:AN,"ฉลองกรุง",เรื่องร้องเรียน!U:U,"1")</f>
        <v>0</v>
      </c>
      <c r="K32" s="362">
        <f>COUNTIFS(เรื่องร้องเรียน!E:E,"3",เรื่องร้องเรียน!AO:AO,"3",เรื่องร้องเรียน!AN:AN,"ฉลองกรุง",เรื่องร้องเรียน!V:V,"1")</f>
        <v>0</v>
      </c>
      <c r="L32" s="363">
        <f>COUNTIFS(เรื่องร้องเรียน!E:E,"4",เรื่องร้องเรียน!AO:AO,"3",เรื่องร้องเรียน!AN:AN,"ฉลองกรุง")</f>
        <v>0</v>
      </c>
      <c r="M32" s="364"/>
      <c r="N32" s="313">
        <f t="shared" si="8"/>
        <v>0</v>
      </c>
      <c r="O32" s="367">
        <f>COUNTIFS(เรื่องร้องเรียน!AO:AO,"3",เรื่องร้องเรียน!AN:AN,"ฉลองกรุง",เรื่องร้องเรียน!CL:CL,"1")</f>
        <v>0</v>
      </c>
      <c r="P32" s="370">
        <f>COUNTIFS(เรื่องร้องเรียน!E:E,"1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Q32" s="109">
        <f>COUNTIFS(เรื่องร้องเรียน!E:E,"2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R32" s="109">
        <f>COUNTIFS(เรื่องร้องเรียน!E:E,"3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S32" s="109">
        <f>COUNTIFS(เรื่องร้องเรียน!E:E,"4",เรื่องร้องเรียน!AO:AO,"3",เรื่องร้องเรียน!AN:AN,"ฉลองกรุง",เรื่องร้องเรียน!AQ:AQ,"1",เรื่องร้องเรียน!CL:CL,"")</f>
        <v>0</v>
      </c>
      <c r="T32" s="371"/>
      <c r="U32" s="241">
        <f t="shared" si="3"/>
        <v>0</v>
      </c>
      <c r="V32" s="317">
        <f t="shared" si="1"/>
        <v>0</v>
      </c>
      <c r="W32" s="339">
        <f>COUNTIFS(เรื่องร้องเรียน!AO:AO,"3",เรื่องร้องเรียน!AN:AN,"ฉลองกรุง",เรื่องร้องเรียน!CT:CT,"บำบัด")</f>
        <v>0</v>
      </c>
      <c r="X32" s="334">
        <f>COUNTIFS(เรื่องร้องเรียน!AO:AO,"3",เรื่องร้องเรียน!AN:AN,"ฉลองกรุง",เรื่องร้องเรียน!CT:CT,"อาการทางจิต")</f>
        <v>0</v>
      </c>
    </row>
    <row r="33" spans="1:24">
      <c r="A33" s="322"/>
      <c r="B33" s="108" t="s">
        <v>131</v>
      </c>
      <c r="C33" s="359">
        <f>COUNTIFS(เรื่องร้องเรียน!E:E,"1",เรื่องร้องเรียน!AO:AO,"3",เรื่องร้องเรียน!AN:AN,"นิมิตรใหม่",เรื่องร้องเรียน!T:T,"1")</f>
        <v>0</v>
      </c>
      <c r="D33" s="360">
        <f>COUNTIFS(เรื่องร้องเรียน!E:E,"1",เรื่องร้องเรียน!AO:AO,"3",เรื่องร้องเรียน!AN:AN,"นิมิตรใหม่",เรื่องร้องเรียน!U:U,"1")</f>
        <v>0</v>
      </c>
      <c r="E33" s="360">
        <f>COUNTIFS(เรื่องร้องเรียน!E:E,"1",เรื่องร้องเรียน!AO:AO,"3",เรื่องร้องเรียน!AN:AN,"นิมิตรใหม่",เรื่องร้องเรียน!V:V,"1")</f>
        <v>0</v>
      </c>
      <c r="F33" s="361">
        <f>COUNTIFS(เรื่องร้องเรียน!E:E,"2",เรื่องร้องเรียน!AO:AO,"3",เรื่องร้องเรียน!AN:AN,"นิมิตรใหม่",เรื่องร้องเรียน!T:T,"1")</f>
        <v>0</v>
      </c>
      <c r="G33" s="361">
        <f>COUNTIFS(เรื่องร้องเรียน!E:E,"2",เรื่องร้องเรียน!AO:AO,"3",เรื่องร้องเรียน!AN:AN,"นิมิตรใหม่",เรื่องร้องเรียน!U:U,"1")</f>
        <v>0</v>
      </c>
      <c r="H33" s="361">
        <f>COUNTIFS(เรื่องร้องเรียน!E:E,"2",เรื่องร้องเรียน!AO:AO,"3",เรื่องร้องเรียน!AN:AN,"นิมิตรใหม่",เรื่องร้องเรียน!V:V,"1")</f>
        <v>0</v>
      </c>
      <c r="I33" s="362">
        <f>COUNTIFS(เรื่องร้องเรียน!E:E,"3",เรื่องร้องเรียน!AO:AO,"3",เรื่องร้องเรียน!AN:AN,"นิมิตรใหม่",เรื่องร้องเรียน!T:T,"1")</f>
        <v>0</v>
      </c>
      <c r="J33" s="362">
        <f>COUNTIFS(เรื่องร้องเรียน!E:E,"3",เรื่องร้องเรียน!AO:AO,"3",เรื่องร้องเรียน!AN:AN,"นิมิตรใหม่",เรื่องร้องเรียน!U:U,"1")</f>
        <v>0</v>
      </c>
      <c r="K33" s="362">
        <f>COUNTIFS(เรื่องร้องเรียน!E:E,"3",เรื่องร้องเรียน!AO:AO,"3",เรื่องร้องเรียน!AN:AN,"นิมิตรใหม่",เรื่องร้องเรียน!V:V,"1")</f>
        <v>0</v>
      </c>
      <c r="L33" s="363">
        <f>COUNTIFS(เรื่องร้องเรียน!E:E,"4",เรื่องร้องเรียน!AO:AO,"3",เรื่องร้องเรียน!AN:AN,"นิมิตรใหม่")</f>
        <v>0</v>
      </c>
      <c r="M33" s="364"/>
      <c r="N33" s="313">
        <f t="shared" si="8"/>
        <v>0</v>
      </c>
      <c r="O33" s="367">
        <f>COUNTIFS(เรื่องร้องเรียน!AO:AO,"3",เรื่องร้องเรียน!AN:AN,"นิมิตรใหม่",เรื่องร้องเรียน!CL:CL,"1")</f>
        <v>0</v>
      </c>
      <c r="P33" s="370">
        <f>COUNTIFS(เรื่องร้องเรียน!E:E,"1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Q33" s="109">
        <f>COUNTIFS(เรื่องร้องเรียน!E:E,"2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R33" s="109">
        <f>COUNTIFS(เรื่องร้องเรียน!E:E,"3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S33" s="109">
        <f>COUNTIFS(เรื่องร้องเรียน!E:E,"4",เรื่องร้องเรียน!AO:AO,"3",เรื่องร้องเรียน!AN:AN,"นิมิตรใหม่",เรื่องร้องเรียน!AQ:AQ,"1",เรื่องร้องเรียน!CL:CL,"")</f>
        <v>0</v>
      </c>
      <c r="T33" s="371"/>
      <c r="U33" s="241">
        <f t="shared" si="3"/>
        <v>0</v>
      </c>
      <c r="V33" s="317">
        <f t="shared" si="1"/>
        <v>0</v>
      </c>
      <c r="W33" s="339">
        <f>COUNTIFS(เรื่องร้องเรียน!AO:AO,"3",เรื่องร้องเรียน!AN:AN,"นิมิตรใหม่",เรื่องร้องเรียน!CT:CT,"บำบัด")</f>
        <v>0</v>
      </c>
      <c r="X33" s="334">
        <f>COUNTIFS(เรื่องร้องเรียน!AO:AO,"3",เรื่องร้องเรียน!AN:AN,"นิมิตรใหม่",เรื่องร้องเรียน!CT:CT,"อาการทางจิต")</f>
        <v>0</v>
      </c>
    </row>
    <row r="34" spans="1:24">
      <c r="A34" s="322"/>
      <c r="B34" s="108" t="s">
        <v>174</v>
      </c>
      <c r="C34" s="359">
        <f>COUNTIFS(เรื่องร้องเรียน!E:E,"1",เรื่องร้องเรียน!AO:AO,"3",เรื่องร้องเรียน!AN:AN,"ประชาสำราญ",เรื่องร้องเรียน!T:T,"1")</f>
        <v>0</v>
      </c>
      <c r="D34" s="360">
        <f>COUNTIFS(เรื่องร้องเรียน!E:E,"1",เรื่องร้องเรียน!AO:AO,"3",เรื่องร้องเรียน!AN:AN,"ประชาสำราญ",เรื่องร้องเรียน!U:U,"1")</f>
        <v>0</v>
      </c>
      <c r="E34" s="360">
        <f>COUNTIFS(เรื่องร้องเรียน!E:E,"1",เรื่องร้องเรียน!AO:AO,"3",เรื่องร้องเรียน!AN:AN,"ประชาสำราญ",เรื่องร้องเรียน!V:V,"1")</f>
        <v>0</v>
      </c>
      <c r="F34" s="361">
        <f>COUNTIFS(เรื่องร้องเรียน!E:E,"2",เรื่องร้องเรียน!AO:AO,"3",เรื่องร้องเรียน!AN:AN,"ประชาสำราญ",เรื่องร้องเรียน!T:T,"1")</f>
        <v>0</v>
      </c>
      <c r="G34" s="361">
        <f>COUNTIFS(เรื่องร้องเรียน!E:E,"2",เรื่องร้องเรียน!AO:AO,"3",เรื่องร้องเรียน!AN:AN,"ประชาสำราญ",เรื่องร้องเรียน!U:U,"1")</f>
        <v>0</v>
      </c>
      <c r="H34" s="361">
        <f>COUNTIFS(เรื่องร้องเรียน!E:E,"2",เรื่องร้องเรียน!AO:AO,"3",เรื่องร้องเรียน!AN:AN,"ประชาสำราญ",เรื่องร้องเรียน!V:V,"1")</f>
        <v>0</v>
      </c>
      <c r="I34" s="362">
        <f>COUNTIFS(เรื่องร้องเรียน!E:E,"3",เรื่องร้องเรียน!AO:AO,"3",เรื่องร้องเรียน!AN:AN,"ประชาสำราญ",เรื่องร้องเรียน!T:T,"1")</f>
        <v>0</v>
      </c>
      <c r="J34" s="362">
        <f>COUNTIFS(เรื่องร้องเรียน!E:E,"3",เรื่องร้องเรียน!AO:AO,"3",เรื่องร้องเรียน!AN:AN,"ประชาสำราญ",เรื่องร้องเรียน!U:U,"1")</f>
        <v>0</v>
      </c>
      <c r="K34" s="362">
        <f>COUNTIFS(เรื่องร้องเรียน!E:E,"3",เรื่องร้องเรียน!AO:AO,"3",เรื่องร้องเรียน!AN:AN,"ประชาสำราญ",เรื่องร้องเรียน!V:V,"1")</f>
        <v>0</v>
      </c>
      <c r="L34" s="363">
        <f>COUNTIFS(เรื่องร้องเรียน!E:E,"4",เรื่องร้องเรียน!AO:AO,"3",เรื่องร้องเรียน!AN:AN,"ประชาสำราญ")</f>
        <v>0</v>
      </c>
      <c r="M34" s="364"/>
      <c r="N34" s="313">
        <f t="shared" si="8"/>
        <v>0</v>
      </c>
      <c r="O34" s="367">
        <f>COUNTIFS(เรื่องร้องเรียน!AO:AO,"3",เรื่องร้องเรียน!AN:AN,"ประชาสำราญ",เรื่องร้องเรียน!CL:CL,"1")</f>
        <v>0</v>
      </c>
      <c r="P34" s="370">
        <f>COUNTIFS(เรื่องร้องเรียน!E:E,"1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Q34" s="109">
        <f>COUNTIFS(เรื่องร้องเรียน!E:E,"2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R34" s="109">
        <f>COUNTIFS(เรื่องร้องเรียน!E:E,"3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S34" s="109">
        <f>COUNTIFS(เรื่องร้องเรียน!E:E,"4",เรื่องร้องเรียน!AO:AO,"3",เรื่องร้องเรียน!AN:AN,"ประชาสำราญ",เรื่องร้องเรียน!AQ:AQ,"1",เรื่องร้องเรียน!CL:CL,"")</f>
        <v>0</v>
      </c>
      <c r="T34" s="371"/>
      <c r="U34" s="241">
        <f t="shared" si="3"/>
        <v>0</v>
      </c>
      <c r="V34" s="317">
        <f t="shared" si="1"/>
        <v>0</v>
      </c>
      <c r="W34" s="339">
        <f>COUNTIFS(เรื่องร้องเรียน!AO:AO,"3",เรื่องร้องเรียน!AN:AN,"ประชาสำราญ",เรื่องร้องเรียน!CT:CT,"บำบัด")</f>
        <v>0</v>
      </c>
      <c r="X34" s="334">
        <f>COUNTIFS(เรื่องร้องเรียน!AO:AO,"3",เรื่องร้องเรียน!AN:AN,"ประชาสำราญ",เรื่องร้องเรียน!CT:CT,"อาการทางจิต")</f>
        <v>0</v>
      </c>
    </row>
    <row r="35" spans="1:24">
      <c r="A35" s="322"/>
      <c r="B35" s="108" t="s">
        <v>116</v>
      </c>
      <c r="C35" s="359">
        <f>COUNTIFS(เรื่องร้องเรียน!E:E,"1",เรื่องร้องเรียน!AO:AO,"3",เรื่องร้องเรียน!AN:AN,"มีนบุรี",เรื่องร้องเรียน!T:T,"1")</f>
        <v>0</v>
      </c>
      <c r="D35" s="360">
        <f>COUNTIFS(เรื่องร้องเรียน!E:E,"1",เรื่องร้องเรียน!AO:AO,"3",เรื่องร้องเรียน!AN:AN,"มีนบุรี",เรื่องร้องเรียน!U:U,"1")</f>
        <v>0</v>
      </c>
      <c r="E35" s="360">
        <f>COUNTIFS(เรื่องร้องเรียน!E:E,"1",เรื่องร้องเรียน!AO:AO,"3",เรื่องร้องเรียน!AN:AN,"มีนบุรี",เรื่องร้องเรียน!V:V,"1")</f>
        <v>0</v>
      </c>
      <c r="F35" s="361">
        <f>COUNTIFS(เรื่องร้องเรียน!E:E,"2",เรื่องร้องเรียน!AO:AO,"3",เรื่องร้องเรียน!AN:AN,"มีนบุรี",เรื่องร้องเรียน!T:T,"1")</f>
        <v>0</v>
      </c>
      <c r="G35" s="361">
        <f>COUNTIFS(เรื่องร้องเรียน!E:E,"2",เรื่องร้องเรียน!AO:AO,"3",เรื่องร้องเรียน!AN:AN,"มีนบุรี",เรื่องร้องเรียน!U:U,"1")</f>
        <v>0</v>
      </c>
      <c r="H35" s="361">
        <f>COUNTIFS(เรื่องร้องเรียน!E:E,"2",เรื่องร้องเรียน!AO:AO,"3",เรื่องร้องเรียน!AN:AN,"มีนบุรี",เรื่องร้องเรียน!V:V,"1")</f>
        <v>0</v>
      </c>
      <c r="I35" s="362">
        <f>COUNTIFS(เรื่องร้องเรียน!E:E,"3",เรื่องร้องเรียน!AO:AO,"3",เรื่องร้องเรียน!AN:AN,"มีนบุรี",เรื่องร้องเรียน!T:T,"1")</f>
        <v>0</v>
      </c>
      <c r="J35" s="362">
        <f>COUNTIFS(เรื่องร้องเรียน!E:E,"3",เรื่องร้องเรียน!AO:AO,"3",เรื่องร้องเรียน!AN:AN,"มีนบุรี",เรื่องร้องเรียน!U:U,"1")</f>
        <v>0</v>
      </c>
      <c r="K35" s="362">
        <f>COUNTIFS(เรื่องร้องเรียน!E:E,"3",เรื่องร้องเรียน!AO:AO,"3",เรื่องร้องเรียน!AN:AN,"มีนบุรี",เรื่องร้องเรียน!V:V,"1")</f>
        <v>0</v>
      </c>
      <c r="L35" s="363">
        <f>COUNTIFS(เรื่องร้องเรียน!E:E,"4",เรื่องร้องเรียน!AO:AO,"3",เรื่องร้องเรียน!AN:AN,"มีนบุรี")</f>
        <v>0</v>
      </c>
      <c r="M35" s="364"/>
      <c r="N35" s="313">
        <f t="shared" si="8"/>
        <v>0</v>
      </c>
      <c r="O35" s="367">
        <f>COUNTIFS(เรื่องร้องเรียน!AO:AO,"3",เรื่องร้องเรียน!AN:AN,"มีนบุรี",เรื่องร้องเรียน!CL:CL,"1")</f>
        <v>0</v>
      </c>
      <c r="P35" s="370">
        <f>COUNTIFS(เรื่องร้องเรียน!E:E,"1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Q35" s="109">
        <f>COUNTIFS(เรื่องร้องเรียน!E:E,"2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R35" s="109">
        <f>COUNTIFS(เรื่องร้องเรียน!E:E,"3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S35" s="109">
        <f>COUNTIFS(เรื่องร้องเรียน!E:E,"4",เรื่องร้องเรียน!AO:AO,"3",เรื่องร้องเรียน!AN:AN,"มีนบุรี",เรื่องร้องเรียน!AQ:AQ,"1",เรื่องร้องเรียน!CL:CL,"")</f>
        <v>0</v>
      </c>
      <c r="T35" s="371"/>
      <c r="U35" s="241">
        <f t="shared" si="3"/>
        <v>0</v>
      </c>
      <c r="V35" s="317">
        <f t="shared" si="1"/>
        <v>0</v>
      </c>
      <c r="W35" s="339">
        <f>COUNTIFS(เรื่องร้องเรียน!AO:AO,"3",เรื่องร้องเรียน!AN:AN,"มีนบุรี",เรื่องร้องเรียน!CT:CT,"บำบัด")</f>
        <v>0</v>
      </c>
      <c r="X35" s="334">
        <f>COUNTIFS(เรื่องร้องเรียน!AO:AO,"3",เรื่องร้องเรียน!AN:AN,"มีนบุรี",เรื่องร้องเรียน!CT:CT,"อาการทางจิต")</f>
        <v>0</v>
      </c>
    </row>
    <row r="36" spans="1:24">
      <c r="A36" s="322"/>
      <c r="B36" s="108" t="s">
        <v>175</v>
      </c>
      <c r="C36" s="359">
        <f>COUNTIFS(เรื่องร้องเรียน!E:E,"1",เรื่องร้องเรียน!AO:AO,"3",เรื่องร้องเรียน!AN:AN,"ร่มเกล้า",เรื่องร้องเรียน!T:T,"1")</f>
        <v>0</v>
      </c>
      <c r="D36" s="360">
        <f>COUNTIFS(เรื่องร้องเรียน!E:E,"1",เรื่องร้องเรียน!AO:AO,"3",เรื่องร้องเรียน!AN:AN,"ร่มเกล้า",เรื่องร้องเรียน!U:U,"1")</f>
        <v>0</v>
      </c>
      <c r="E36" s="360">
        <f>COUNTIFS(เรื่องร้องเรียน!E:E,"1",เรื่องร้องเรียน!AO:AO,"3",เรื่องร้องเรียน!AN:AN,"ร่มเกล้า",เรื่องร้องเรียน!V:V,"1")</f>
        <v>0</v>
      </c>
      <c r="F36" s="361">
        <f>COUNTIFS(เรื่องร้องเรียน!E:E,"2",เรื่องร้องเรียน!AO:AO,"3",เรื่องร้องเรียน!AN:AN,"ร่มเกล้า",เรื่องร้องเรียน!T:T,"1")</f>
        <v>0</v>
      </c>
      <c r="G36" s="361">
        <f>COUNTIFS(เรื่องร้องเรียน!E:E,"2",เรื่องร้องเรียน!AO:AO,"3",เรื่องร้องเรียน!AN:AN,"ร่มเกล้า",เรื่องร้องเรียน!U:U,"1")</f>
        <v>0</v>
      </c>
      <c r="H36" s="361">
        <f>COUNTIFS(เรื่องร้องเรียน!E:E,"2",เรื่องร้องเรียน!AO:AO,"3",เรื่องร้องเรียน!AN:AN,"ร่มเกล้า",เรื่องร้องเรียน!V:V,"1")</f>
        <v>0</v>
      </c>
      <c r="I36" s="362">
        <f>COUNTIFS(เรื่องร้องเรียน!E:E,"3",เรื่องร้องเรียน!AO:AO,"3",เรื่องร้องเรียน!AN:AN,"ร่มเกล้า",เรื่องร้องเรียน!T:T,"1")</f>
        <v>0</v>
      </c>
      <c r="J36" s="362">
        <f>COUNTIFS(เรื่องร้องเรียน!E:E,"3",เรื่องร้องเรียน!AO:AO,"3",เรื่องร้องเรียน!AN:AN,"ร่มเกล้า",เรื่องร้องเรียน!U:U,"1")</f>
        <v>0</v>
      </c>
      <c r="K36" s="362">
        <f>COUNTIFS(เรื่องร้องเรียน!E:E,"3",เรื่องร้องเรียน!AO:AO,"3",เรื่องร้องเรียน!AN:AN,"ร่มเกล้า",เรื่องร้องเรียน!V:V,"1")</f>
        <v>0</v>
      </c>
      <c r="L36" s="363">
        <f>COUNTIFS(เรื่องร้องเรียน!E:E,"4",เรื่องร้องเรียน!AO:AO,"3",เรื่องร้องเรียน!AN:AN,"ร่มเกล้า")</f>
        <v>0</v>
      </c>
      <c r="M36" s="364"/>
      <c r="N36" s="313">
        <f t="shared" si="8"/>
        <v>0</v>
      </c>
      <c r="O36" s="367">
        <f>COUNTIFS(เรื่องร้องเรียน!AO:AO,"3",เรื่องร้องเรียน!AN:AN,"ร่มเกล้า",เรื่องร้องเรียน!CL:CL,"1")</f>
        <v>0</v>
      </c>
      <c r="P36" s="370">
        <f>COUNTIFS(เรื่องร้องเรียน!E:E,"1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Q36" s="109">
        <f>COUNTIFS(เรื่องร้องเรียน!E:E,"2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R36" s="109">
        <f>COUNTIFS(เรื่องร้องเรียน!E:E,"3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S36" s="109">
        <f>COUNTIFS(เรื่องร้องเรียน!E:E,"4",เรื่องร้องเรียน!AO:AO,"3",เรื่องร้องเรียน!AN:AN,"ร่มเกล้า",เรื่องร้องเรียน!AQ:AQ,"1",เรื่องร้องเรียน!CL:CL,"")</f>
        <v>0</v>
      </c>
      <c r="T36" s="371"/>
      <c r="U36" s="241">
        <f t="shared" si="3"/>
        <v>0</v>
      </c>
      <c r="V36" s="317">
        <f t="shared" si="1"/>
        <v>0</v>
      </c>
      <c r="W36" s="339">
        <f>COUNTIFS(เรื่องร้องเรียน!AO:AO,"3",เรื่องร้องเรียน!AN:AN,"ร่มเกล้า",เรื่องร้องเรียน!CT:CT,"บำบัด")</f>
        <v>0</v>
      </c>
      <c r="X36" s="334">
        <f>COUNTIFS(เรื่องร้องเรียน!AO:AO,"3",เรื่องร้องเรียน!AN:AN,"ร่มเกล้า",เรื่องร้องเรียน!CT:CT,"อาการทางจิต")</f>
        <v>0</v>
      </c>
    </row>
    <row r="37" spans="1:24">
      <c r="A37" s="322"/>
      <c r="B37" s="108" t="s">
        <v>84</v>
      </c>
      <c r="C37" s="359">
        <f>COUNTIFS(เรื่องร้องเรียน!E:E,"1",เรื่องร้องเรียน!AO:AO,"3",เรื่องร้องเรียน!AN:AN,"ลาดกระบัง",เรื่องร้องเรียน!T:T,"1")</f>
        <v>0</v>
      </c>
      <c r="D37" s="360">
        <f>COUNTIFS(เรื่องร้องเรียน!E:E,"1",เรื่องร้องเรียน!AO:AO,"3",เรื่องร้องเรียน!AN:AN,"ลาดกระบัง",เรื่องร้องเรียน!U:U,"1")</f>
        <v>0</v>
      </c>
      <c r="E37" s="360">
        <f>COUNTIFS(เรื่องร้องเรียน!E:E,"1",เรื่องร้องเรียน!AO:AO,"3",เรื่องร้องเรียน!AN:AN,"ลาดกระบัง",เรื่องร้องเรียน!V:V,"1")</f>
        <v>0</v>
      </c>
      <c r="F37" s="361">
        <f>COUNTIFS(เรื่องร้องเรียน!E:E,"2",เรื่องร้องเรียน!AO:AO,"3",เรื่องร้องเรียน!AN:AN,"ลาดกระบัง",เรื่องร้องเรียน!T:T,"1")</f>
        <v>0</v>
      </c>
      <c r="G37" s="361">
        <f>COUNTIFS(เรื่องร้องเรียน!E:E,"2",เรื่องร้องเรียน!AO:AO,"3",เรื่องร้องเรียน!AN:AN,"ลาดกระบัง",เรื่องร้องเรียน!U:U,"1")</f>
        <v>0</v>
      </c>
      <c r="H37" s="361">
        <f>COUNTIFS(เรื่องร้องเรียน!E:E,"2",เรื่องร้องเรียน!AO:AO,"3",เรื่องร้องเรียน!AN:AN,"ลาดกระบัง",เรื่องร้องเรียน!V:V,"1")</f>
        <v>0</v>
      </c>
      <c r="I37" s="362">
        <f>COUNTIFS(เรื่องร้องเรียน!E:E,"3",เรื่องร้องเรียน!AO:AO,"3",เรื่องร้องเรียน!AN:AN,"ลาดกระบัง",เรื่องร้องเรียน!T:T,"1")</f>
        <v>0</v>
      </c>
      <c r="J37" s="362">
        <f>COUNTIFS(เรื่องร้องเรียน!E:E,"3",เรื่องร้องเรียน!AO:AO,"3",เรื่องร้องเรียน!AN:AN,"ลาดกระบัง",เรื่องร้องเรียน!U:U,"1")</f>
        <v>0</v>
      </c>
      <c r="K37" s="362">
        <f>COUNTIFS(เรื่องร้องเรียน!E:E,"3",เรื่องร้องเรียน!AO:AO,"3",เรื่องร้องเรียน!AN:AN,"ลาดกระบัง",เรื่องร้องเรียน!V:V,"1")</f>
        <v>0</v>
      </c>
      <c r="L37" s="363">
        <f>COUNTIFS(เรื่องร้องเรียน!E:E,"4",เรื่องร้องเรียน!AO:AO,"3",เรื่องร้องเรียน!AN:AN,"ลาดกระบัง")</f>
        <v>0</v>
      </c>
      <c r="M37" s="364"/>
      <c r="N37" s="313">
        <f t="shared" si="8"/>
        <v>0</v>
      </c>
      <c r="O37" s="367">
        <f>COUNTIFS(เรื่องร้องเรียน!AO:AO,"3",เรื่องร้องเรียน!AN:AN,"ลาดกระบัง",เรื่องร้องเรียน!CL:CL,"1")</f>
        <v>0</v>
      </c>
      <c r="P37" s="370">
        <f>COUNTIFS(เรื่องร้องเรียน!E:E,"1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Q37" s="109">
        <f>COUNTIFS(เรื่องร้องเรียน!E:E,"2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R37" s="109">
        <f>COUNTIFS(เรื่องร้องเรียน!E:E,"3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S37" s="109">
        <f>COUNTIFS(เรื่องร้องเรียน!E:E,"4",เรื่องร้องเรียน!AO:AO,"3",เรื่องร้องเรียน!AN:AN,"ลาดกระบัง",เรื่องร้องเรียน!AQ:AQ,"1",เรื่องร้องเรียน!CL:CL,"")</f>
        <v>0</v>
      </c>
      <c r="T37" s="371"/>
      <c r="U37" s="241">
        <f t="shared" si="3"/>
        <v>0</v>
      </c>
      <c r="V37" s="317">
        <f t="shared" si="1"/>
        <v>0</v>
      </c>
      <c r="W37" s="339">
        <f>COUNTIFS(เรื่องร้องเรียน!AO:AO,"3",เรื่องร้องเรียน!AN:AN,"ลาดกระบัง",เรื่องร้องเรียน!CT:CT,"บำบัด")</f>
        <v>0</v>
      </c>
      <c r="X37" s="334">
        <f>COUNTIFS(เรื่องร้องเรียน!AO:AO,"3",เรื่องร้องเรียน!AN:AN,"ลาดกระบัง",เรื่องร้องเรียน!CT:CT,"อาการทางจิต")</f>
        <v>0</v>
      </c>
    </row>
    <row r="38" spans="1:24">
      <c r="A38" s="322"/>
      <c r="B38" s="108" t="s">
        <v>176</v>
      </c>
      <c r="C38" s="359">
        <f>COUNTIFS(เรื่องร้องเรียน!E:E,"1",เรื่องร้องเรียน!AO:AO,"3",เรื่องร้องเรียน!AN:AN,"ลำผักชี",เรื่องร้องเรียน!T:T,"1")</f>
        <v>0</v>
      </c>
      <c r="D38" s="360">
        <f>COUNTIFS(เรื่องร้องเรียน!E:E,"1",เรื่องร้องเรียน!AO:AO,"3",เรื่องร้องเรียน!AN:AN,"ลำผักชี",เรื่องร้องเรียน!U:U,"1")</f>
        <v>0</v>
      </c>
      <c r="E38" s="360">
        <f>COUNTIFS(เรื่องร้องเรียน!E:E,"1",เรื่องร้องเรียน!AO:AO,"3",เรื่องร้องเรียน!AN:AN,"ลำผักชี",เรื่องร้องเรียน!V:V,"1")</f>
        <v>0</v>
      </c>
      <c r="F38" s="361">
        <f>COUNTIFS(เรื่องร้องเรียน!E:E,"2",เรื่องร้องเรียน!AO:AO,"3",เรื่องร้องเรียน!AN:AN,"ลำผักชี",เรื่องร้องเรียน!T:T,"1")</f>
        <v>0</v>
      </c>
      <c r="G38" s="361">
        <f>COUNTIFS(เรื่องร้องเรียน!E:E,"2",เรื่องร้องเรียน!AO:AO,"3",เรื่องร้องเรียน!AN:AN,"ลำผักชี",เรื่องร้องเรียน!U:U,"1")</f>
        <v>0</v>
      </c>
      <c r="H38" s="361">
        <f>COUNTIFS(เรื่องร้องเรียน!E:E,"2",เรื่องร้องเรียน!AO:AO,"3",เรื่องร้องเรียน!AN:AN,"ลำผักชี",เรื่องร้องเรียน!V:V,"1")</f>
        <v>0</v>
      </c>
      <c r="I38" s="362">
        <f>COUNTIFS(เรื่องร้องเรียน!E:E,"3",เรื่องร้องเรียน!AO:AO,"3",เรื่องร้องเรียน!AN:AN,"ลำผักชี",เรื่องร้องเรียน!T:T,"1")</f>
        <v>0</v>
      </c>
      <c r="J38" s="362">
        <f>COUNTIFS(เรื่องร้องเรียน!E:E,"3",เรื่องร้องเรียน!AO:AO,"3",เรื่องร้องเรียน!AN:AN,"ลำผักชี",เรื่องร้องเรียน!U:U,"1")</f>
        <v>0</v>
      </c>
      <c r="K38" s="362">
        <f>COUNTIFS(เรื่องร้องเรียน!E:E,"3",เรื่องร้องเรียน!AO:AO,"3",เรื่องร้องเรียน!AN:AN,"ลำผักชี",เรื่องร้องเรียน!V:V,"1")</f>
        <v>0</v>
      </c>
      <c r="L38" s="363">
        <f>COUNTIFS(เรื่องร้องเรียน!E:E,"4",เรื่องร้องเรียน!AO:AO,"3",เรื่องร้องเรียน!AN:AN,"ลำผักชี")</f>
        <v>0</v>
      </c>
      <c r="M38" s="364"/>
      <c r="N38" s="313">
        <f t="shared" si="8"/>
        <v>0</v>
      </c>
      <c r="O38" s="367">
        <f>COUNTIFS(เรื่องร้องเรียน!AO:AO,"3",เรื่องร้องเรียน!AN:AN,"ลำผักชี",เรื่องร้องเรียน!CL:CL,"1")</f>
        <v>0</v>
      </c>
      <c r="P38" s="370">
        <f>COUNTIFS(เรื่องร้องเรียน!E:E,"1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Q38" s="109">
        <f>COUNTIFS(เรื่องร้องเรียน!E:E,"2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R38" s="109">
        <f>COUNTIFS(เรื่องร้องเรียน!E:E,"3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S38" s="109">
        <f>COUNTIFS(เรื่องร้องเรียน!E:E,"4",เรื่องร้องเรียน!AO:AO,"3",เรื่องร้องเรียน!AN:AN,"ลำผักชี",เรื่องร้องเรียน!AQ:AQ,"1",เรื่องร้องเรียน!CL:CL,"")</f>
        <v>0</v>
      </c>
      <c r="T38" s="371"/>
      <c r="U38" s="241">
        <f t="shared" si="3"/>
        <v>0</v>
      </c>
      <c r="V38" s="317">
        <f t="shared" si="1"/>
        <v>0</v>
      </c>
      <c r="W38" s="339">
        <f>COUNTIFS(เรื่องร้องเรียน!AO:AO,"3",เรื่องร้องเรียน!AN:AN,"ลำผักชี",เรื่องร้องเรียน!CT:CT,"บำบัด")</f>
        <v>0</v>
      </c>
      <c r="X38" s="334">
        <f>COUNTIFS(เรื่องร้องเรียน!AO:AO,"3",เรื่องร้องเรียน!AN:AN,"ลำผักชี",เรื่องร้องเรียน!CT:CT,"อาการทางจิต")</f>
        <v>0</v>
      </c>
    </row>
    <row r="39" spans="1:24">
      <c r="A39" s="322"/>
      <c r="B39" s="108" t="s">
        <v>177</v>
      </c>
      <c r="C39" s="359">
        <f>COUNTIFS(เรื่องร้องเรียน!E:E,"1",เรื่องร้องเรียน!AO:AO,"3",เรื่องร้องเรียน!AN:AN,"ลำหิน",เรื่องร้องเรียน!T:T,"1")</f>
        <v>0</v>
      </c>
      <c r="D39" s="360">
        <f>COUNTIFS(เรื่องร้องเรียน!E:E,"1",เรื่องร้องเรียน!AO:AO,"3",เรื่องร้องเรียน!AN:AN,"ลำหิน",เรื่องร้องเรียน!U:U,"1")</f>
        <v>0</v>
      </c>
      <c r="E39" s="360">
        <f>COUNTIFS(เรื่องร้องเรียน!E:E,"1",เรื่องร้องเรียน!AO:AO,"3",เรื่องร้องเรียน!AN:AN,"ลำหิน",เรื่องร้องเรียน!V:V,"1")</f>
        <v>0</v>
      </c>
      <c r="F39" s="361">
        <f>COUNTIFS(เรื่องร้องเรียน!E:E,"2",เรื่องร้องเรียน!AO:AO,"3",เรื่องร้องเรียน!AN:AN,"ลำหิน",เรื่องร้องเรียน!T:T,"1")</f>
        <v>0</v>
      </c>
      <c r="G39" s="361">
        <f>COUNTIFS(เรื่องร้องเรียน!E:E,"2",เรื่องร้องเรียน!AO:AO,"3",เรื่องร้องเรียน!AN:AN,"ลำหิน",เรื่องร้องเรียน!U:U,"1")</f>
        <v>0</v>
      </c>
      <c r="H39" s="361">
        <f>COUNTIFS(เรื่องร้องเรียน!E:E,"2",เรื่องร้องเรียน!AO:AO,"3",เรื่องร้องเรียน!AN:AN,"ลำหิน",เรื่องร้องเรียน!V:V,"1")</f>
        <v>0</v>
      </c>
      <c r="I39" s="362">
        <f>COUNTIFS(เรื่องร้องเรียน!E:E,"3",เรื่องร้องเรียน!AO:AO,"3",เรื่องร้องเรียน!AN:AN,"ลำหิน",เรื่องร้องเรียน!T:T,"1")</f>
        <v>0</v>
      </c>
      <c r="J39" s="362">
        <f>COUNTIFS(เรื่องร้องเรียน!E:E,"3",เรื่องร้องเรียน!AO:AO,"3",เรื่องร้องเรียน!AN:AN,"ลำหิน",เรื่องร้องเรียน!U:U,"1")</f>
        <v>0</v>
      </c>
      <c r="K39" s="362">
        <f>COUNTIFS(เรื่องร้องเรียน!E:E,"3",เรื่องร้องเรียน!AO:AO,"3",เรื่องร้องเรียน!AN:AN,"ลำหิน",เรื่องร้องเรียน!V:V,"1")</f>
        <v>0</v>
      </c>
      <c r="L39" s="363">
        <f>COUNTIFS(เรื่องร้องเรียน!E:E,"4",เรื่องร้องเรียน!AO:AO,"3",เรื่องร้องเรียน!AN:AN,"ลำหิน")</f>
        <v>0</v>
      </c>
      <c r="M39" s="364"/>
      <c r="N39" s="313">
        <f t="shared" si="8"/>
        <v>0</v>
      </c>
      <c r="O39" s="367">
        <f>COUNTIFS(เรื่องร้องเรียน!AO:AO,"3",เรื่องร้องเรียน!AN:AN,"ลำหิน",เรื่องร้องเรียน!CL:CL,"1")</f>
        <v>0</v>
      </c>
      <c r="P39" s="370">
        <f>COUNTIFS(เรื่องร้องเรียน!E:E,"1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Q39" s="109">
        <f>COUNTIFS(เรื่องร้องเรียน!E:E,"2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R39" s="109">
        <f>COUNTIFS(เรื่องร้องเรียน!E:E,"3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S39" s="109">
        <f>COUNTIFS(เรื่องร้องเรียน!E:E,"4",เรื่องร้องเรียน!AO:AO,"3",เรื่องร้องเรียน!AN:AN,"ลำหิน",เรื่องร้องเรียน!AQ:AQ,"1",เรื่องร้องเรียน!CL:CL,"")</f>
        <v>0</v>
      </c>
      <c r="T39" s="371"/>
      <c r="U39" s="241">
        <f t="shared" si="3"/>
        <v>0</v>
      </c>
      <c r="V39" s="317">
        <f t="shared" si="1"/>
        <v>0</v>
      </c>
      <c r="W39" s="339">
        <f>COUNTIFS(เรื่องร้องเรียน!AO:AO,"3",เรื่องร้องเรียน!AN:AN,"ลำหิน",เรื่องร้องเรียน!CT:CT,"บำบัด")</f>
        <v>0</v>
      </c>
      <c r="X39" s="334">
        <f>COUNTIFS(เรื่องร้องเรียน!AO:AO,"3",เรื่องร้องเรียน!AN:AN,"ลำหิน",เรื่องร้องเรียน!CT:CT,"อาการทางจิต")</f>
        <v>0</v>
      </c>
    </row>
    <row r="40" spans="1:24">
      <c r="A40" s="322"/>
      <c r="B40" s="108" t="s">
        <v>178</v>
      </c>
      <c r="C40" s="359">
        <f>COUNTIFS(เรื่องร้องเรียน!E:E,"1",เรื่องร้องเรียน!AO:AO,"3",เรื่องร้องเรียน!AN:AN,"สุวินทวงศ์",เรื่องร้องเรียน!T:T,"1")</f>
        <v>0</v>
      </c>
      <c r="D40" s="360">
        <f>COUNTIFS(เรื่องร้องเรียน!E:E,"1",เรื่องร้องเรียน!AO:AO,"3",เรื่องร้องเรียน!AN:AN,"สุวินทวงศ์",เรื่องร้องเรียน!U:U,"1")</f>
        <v>0</v>
      </c>
      <c r="E40" s="360">
        <f>COUNTIFS(เรื่องร้องเรียน!E:E,"1",เรื่องร้องเรียน!AO:AO,"3",เรื่องร้องเรียน!AN:AN,"สุวินทวงศ์",เรื่องร้องเรียน!V:V,"1")</f>
        <v>0</v>
      </c>
      <c r="F40" s="361">
        <f>COUNTIFS(เรื่องร้องเรียน!E:E,"2",เรื่องร้องเรียน!AO:AO,"3",เรื่องร้องเรียน!AN:AN,"สุวินทวงศ์",เรื่องร้องเรียน!T:T,"1")</f>
        <v>0</v>
      </c>
      <c r="G40" s="361">
        <f>COUNTIFS(เรื่องร้องเรียน!E:E,"2",เรื่องร้องเรียน!AO:AO,"3",เรื่องร้องเรียน!AN:AN,"สุวินทวงศ์",เรื่องร้องเรียน!U:U,"1")</f>
        <v>0</v>
      </c>
      <c r="H40" s="361">
        <f>COUNTIFS(เรื่องร้องเรียน!E:E,"2",เรื่องร้องเรียน!AO:AO,"3",เรื่องร้องเรียน!AN:AN,"สุวินทวงศ์",เรื่องร้องเรียน!V:V,"1")</f>
        <v>0</v>
      </c>
      <c r="I40" s="362">
        <f>COUNTIFS(เรื่องร้องเรียน!E:E,"3",เรื่องร้องเรียน!AO:AO,"3",เรื่องร้องเรียน!AN:AN,"สุวินทวงศ์",เรื่องร้องเรียน!T:T,"1")</f>
        <v>0</v>
      </c>
      <c r="J40" s="362">
        <f>COUNTIFS(เรื่องร้องเรียน!E:E,"3",เรื่องร้องเรียน!AO:AO,"3",เรื่องร้องเรียน!AN:AN,"สุวินทวงศ์",เรื่องร้องเรียน!U:U,"1")</f>
        <v>0</v>
      </c>
      <c r="K40" s="362">
        <f>COUNTIFS(เรื่องร้องเรียน!E:E,"3",เรื่องร้องเรียน!AO:AO,"3",เรื่องร้องเรียน!AN:AN,"สุวินทวงศ์",เรื่องร้องเรียน!V:V,"1")</f>
        <v>0</v>
      </c>
      <c r="L40" s="363">
        <f>COUNTIFS(เรื่องร้องเรียน!E:E,"4",เรื่องร้องเรียน!AO:AO,"3",เรื่องร้องเรียน!AN:AN,"สุวินทวงศ์")</f>
        <v>0</v>
      </c>
      <c r="M40" s="364"/>
      <c r="N40" s="313">
        <f t="shared" si="8"/>
        <v>0</v>
      </c>
      <c r="O40" s="367">
        <f>COUNTIFS(เรื่องร้องเรียน!AO:AO,"3",เรื่องร้องเรียน!AN:AN,"สุวินทวงศ์",เรื่องร้องเรียน!CL:CL,"1")</f>
        <v>0</v>
      </c>
      <c r="P40" s="370">
        <f>COUNTIFS(เรื่องร้องเรียน!E:E,"1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Q40" s="109">
        <f>COUNTIFS(เรื่องร้องเรียน!E:E,"2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R40" s="109">
        <f>COUNTIFS(เรื่องร้องเรียน!E:E,"3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S40" s="109">
        <f>COUNTIFS(เรื่องร้องเรียน!E:E,"4",เรื่องร้องเรียน!AO:AO,"3",เรื่องร้องเรียน!AN:AN,"สุวินทวงศ์",เรื่องร้องเรียน!AQ:AQ,"1",เรื่องร้องเรียน!CL:CL,"")</f>
        <v>0</v>
      </c>
      <c r="T40" s="371"/>
      <c r="U40" s="241">
        <f t="shared" si="3"/>
        <v>0</v>
      </c>
      <c r="V40" s="317">
        <f t="shared" si="1"/>
        <v>0</v>
      </c>
      <c r="W40" s="339">
        <f>COUNTIFS(เรื่องร้องเรียน!AO:AO,"3",เรื่องร้องเรียน!AN:AN,"สุวินทวงศ์",เรื่องร้องเรียน!CT:CT,"บำบัด")</f>
        <v>0</v>
      </c>
      <c r="X40" s="334">
        <f>COUNTIFS(เรื่องร้องเรียน!AO:AO,"3",เรื่องร้องเรียน!AN:AN,"สุวินทวงศ์",เรื่องร้องเรียน!CT:CT,"อาการทางจิต")</f>
        <v>0</v>
      </c>
    </row>
    <row r="41" spans="1:24" ht="21.6" thickBot="1">
      <c r="A41" s="323"/>
      <c r="B41" s="112" t="s">
        <v>141</v>
      </c>
      <c r="C41" s="289">
        <f>COUNTIFS(เรื่องร้องเรียน!E:E,"1",เรื่องร้องเรียน!AO:AO,"3",เรื่องร้องเรียน!AN:AN,"หนองจอก",เรื่องร้องเรียน!T:T,"1")</f>
        <v>0</v>
      </c>
      <c r="D41" s="290">
        <f>COUNTIFS(เรื่องร้องเรียน!E:E,"1",เรื่องร้องเรียน!AO:AO,"3",เรื่องร้องเรียน!AN:AN,"หนองจอก",เรื่องร้องเรียน!U:U,"1")</f>
        <v>0</v>
      </c>
      <c r="E41" s="290">
        <f>COUNTIFS(เรื่องร้องเรียน!E:E,"1",เรื่องร้องเรียน!AO:AO,"3",เรื่องร้องเรียน!AN:AN,"หนองจอก",เรื่องร้องเรียน!V:V,"1")</f>
        <v>0</v>
      </c>
      <c r="F41" s="291">
        <f>COUNTIFS(เรื่องร้องเรียน!E:E,"2",เรื่องร้องเรียน!AO:AO,"3",เรื่องร้องเรียน!AN:AN,"หนองจอก",เรื่องร้องเรียน!T:T,"1")</f>
        <v>0</v>
      </c>
      <c r="G41" s="291">
        <f>COUNTIFS(เรื่องร้องเรียน!E:E,"2",เรื่องร้องเรียน!AO:AO,"3",เรื่องร้องเรียน!AN:AN,"หนองจอก",เรื่องร้องเรียน!U:U,"1")</f>
        <v>0</v>
      </c>
      <c r="H41" s="291">
        <f>COUNTIFS(เรื่องร้องเรียน!E:E,"2",เรื่องร้องเรียน!AO:AO,"3",เรื่องร้องเรียน!AN:AN,"หนองจอก",เรื่องร้องเรียน!V:V,"1")</f>
        <v>0</v>
      </c>
      <c r="I41" s="292">
        <f>COUNTIFS(เรื่องร้องเรียน!E:E,"3",เรื่องร้องเรียน!AO:AO,"3",เรื่องร้องเรียน!AN:AN,"หนองจอก",เรื่องร้องเรียน!T:T,"1")</f>
        <v>0</v>
      </c>
      <c r="J41" s="292">
        <f>COUNTIFS(เรื่องร้องเรียน!E:E,"3",เรื่องร้องเรียน!AO:AO,"3",เรื่องร้องเรียน!AN:AN,"หนองจอก",เรื่องร้องเรียน!U:U,"1")</f>
        <v>0</v>
      </c>
      <c r="K41" s="292">
        <f>COUNTIFS(เรื่องร้องเรียน!E:E,"3",เรื่องร้องเรียน!AO:AO,"3",เรื่องร้องเรียน!AN:AN,"หนองจอก",เรื่องร้องเรียน!V:V,"1")</f>
        <v>0</v>
      </c>
      <c r="L41" s="293">
        <f>COUNTIFS(เรื่องร้องเรียน!E:E,"4",เรื่องร้องเรียน!AO:AO,"3",เรื่องร้องเรียน!AN:AN,"หนองจอก")</f>
        <v>0</v>
      </c>
      <c r="M41" s="365"/>
      <c r="N41" s="314">
        <f t="shared" si="8"/>
        <v>0</v>
      </c>
      <c r="O41" s="350">
        <f>COUNTIFS(เรื่องร้องเรียน!AO:AO,"3",เรื่องร้องเรียน!AN:AN,"หนองจอก",เรื่องร้องเรียน!CL:CL,"1")</f>
        <v>0</v>
      </c>
      <c r="P41" s="245">
        <f>COUNTIFS(เรื่องร้องเรียน!E:E,"1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Q41" s="124">
        <f>COUNTIFS(เรื่องร้องเรียน!E:E,"2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R41" s="124">
        <f>COUNTIFS(เรื่องร้องเรียน!E:E,"3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S41" s="124">
        <f>COUNTIFS(เรื่องร้องเรียน!E:E,"4",เรื่องร้องเรียน!AO:AO,"3",เรื่องร้องเรียน!AN:AN,"หนองจอก",เรื่องร้องเรียน!AQ:AQ,"1",เรื่องร้องเรียน!CL:CL,"")</f>
        <v>0</v>
      </c>
      <c r="T41" s="333"/>
      <c r="U41" s="237">
        <f t="shared" si="3"/>
        <v>0</v>
      </c>
      <c r="V41" s="318">
        <f t="shared" si="1"/>
        <v>0</v>
      </c>
      <c r="W41" s="343">
        <f>COUNTIFS(เรื่องร้องเรียน!AO:AO,"3",เรื่องร้องเรียน!AN:AN,"หนองจอก",เรื่องร้องเรียน!CT:CT,"บำบัด")</f>
        <v>0</v>
      </c>
      <c r="X41" s="336">
        <f>COUNTIFS(เรื่องร้องเรียน!AO:AO,"3",เรื่องร้องเรียน!AN:AN,"หนองจอก",เรื่องร้องเรียน!CT:CT,"อาการทางจิต")</f>
        <v>0</v>
      </c>
    </row>
    <row r="42" spans="1:24" ht="21.6" thickBot="1">
      <c r="A42" s="320">
        <v>4</v>
      </c>
      <c r="B42" s="282"/>
      <c r="C42" s="283">
        <f>SUM(C43:C50)</f>
        <v>0</v>
      </c>
      <c r="D42" s="284">
        <f t="shared" ref="D42:S42" si="9">SUM(D43:D50)</f>
        <v>0</v>
      </c>
      <c r="E42" s="284">
        <f t="shared" si="9"/>
        <v>0</v>
      </c>
      <c r="F42" s="284">
        <f t="shared" si="9"/>
        <v>0</v>
      </c>
      <c r="G42" s="284">
        <f t="shared" si="9"/>
        <v>0</v>
      </c>
      <c r="H42" s="284">
        <f t="shared" si="9"/>
        <v>0</v>
      </c>
      <c r="I42" s="284">
        <f t="shared" si="9"/>
        <v>0</v>
      </c>
      <c r="J42" s="284">
        <f t="shared" si="9"/>
        <v>0</v>
      </c>
      <c r="K42" s="284">
        <f t="shared" si="9"/>
        <v>0</v>
      </c>
      <c r="L42" s="284">
        <f t="shared" si="9"/>
        <v>0</v>
      </c>
      <c r="M42" s="332"/>
      <c r="N42" s="311">
        <f>SUM(N43:N50)</f>
        <v>0</v>
      </c>
      <c r="O42" s="349">
        <f>SUM(O43:O50)</f>
        <v>0</v>
      </c>
      <c r="P42" s="285">
        <f t="shared" si="9"/>
        <v>0</v>
      </c>
      <c r="Q42" s="284">
        <f t="shared" si="9"/>
        <v>0</v>
      </c>
      <c r="R42" s="284">
        <f t="shared" si="9"/>
        <v>0</v>
      </c>
      <c r="S42" s="284">
        <f t="shared" si="9"/>
        <v>0</v>
      </c>
      <c r="T42" s="332"/>
      <c r="U42" s="287">
        <f t="shared" si="3"/>
        <v>0</v>
      </c>
      <c r="V42" s="315">
        <f t="shared" si="1"/>
        <v>0</v>
      </c>
      <c r="W42" s="341">
        <f>SUM(W43:W50)</f>
        <v>0</v>
      </c>
      <c r="X42" s="342">
        <f>SUM(X43:X50)</f>
        <v>0</v>
      </c>
    </row>
    <row r="43" spans="1:24">
      <c r="A43" s="321"/>
      <c r="B43" s="99" t="s">
        <v>132</v>
      </c>
      <c r="C43" s="353">
        <f>COUNTIFS(เรื่องร้องเรียน!E:E,"1",เรื่องร้องเรียน!AO:AO,"4",เรื่องร้องเรียน!AN:AN,"โชคชัย",เรื่องร้องเรียน!T:T,"1")</f>
        <v>0</v>
      </c>
      <c r="D43" s="354">
        <f>COUNTIFS(เรื่องร้องเรียน!E:E,"1",เรื่องร้องเรียน!AO:AO,"4",เรื่องร้องเรียน!AN:AN,"โชคชัย",เรื่องร้องเรียน!U:U,"1")</f>
        <v>0</v>
      </c>
      <c r="E43" s="354">
        <f>COUNTIFS(เรื่องร้องเรียน!E:E,"1",เรื่องร้องเรียน!AO:AO,"4",เรื่องร้องเรียน!AN:AN,"โชคชัย",เรื่องร้องเรียน!V:V,"1")</f>
        <v>0</v>
      </c>
      <c r="F43" s="355">
        <f>COUNTIFS(เรื่องร้องเรียน!E:E,"2",เรื่องร้องเรียน!AO:AO,"4",เรื่องร้องเรียน!AN:AN,"โชคชัย",เรื่องร้องเรียน!T:T,"1")</f>
        <v>0</v>
      </c>
      <c r="G43" s="355">
        <f>COUNTIFS(เรื่องร้องเรียน!E:E,"2",เรื่องร้องเรียน!AO:AO,"4",เรื่องร้องเรียน!AN:AN,"โชคชัย",เรื่องร้องเรียน!U:U,"1")</f>
        <v>0</v>
      </c>
      <c r="H43" s="355">
        <f>COUNTIFS(เรื่องร้องเรียน!E:E,"2",เรื่องร้องเรียน!AO:AO,"4",เรื่องร้องเรียน!AN:AN,"โชคชัย",เรื่องร้องเรียน!V:V,"1")</f>
        <v>0</v>
      </c>
      <c r="I43" s="356">
        <f>COUNTIFS(เรื่องร้องเรียน!E:E,"3",เรื่องร้องเรียน!AO:AO,"4",เรื่องร้องเรียน!AN:AN,"โชคชัย",เรื่องร้องเรียน!T:T,"1")</f>
        <v>0</v>
      </c>
      <c r="J43" s="356">
        <f>COUNTIFS(เรื่องร้องเรียน!E:E,"3",เรื่องร้องเรียน!AO:AO,"4",เรื่องร้องเรียน!AN:AN,"โชคชัย",เรื่องร้องเรียน!U:U,"1")</f>
        <v>0</v>
      </c>
      <c r="K43" s="356">
        <f>COUNTIFS(เรื่องร้องเรียน!E:E,"3",เรื่องร้องเรียน!AO:AO,"4",เรื่องร้องเรียน!AN:AN,"โชคชัย",เรื่องร้องเรียน!V:V,"1")</f>
        <v>0</v>
      </c>
      <c r="L43" s="357">
        <f>COUNTIFS(เรื่องร้องเรียน!E:E,"4",เรื่องร้องเรียน!AO:AO,"4",เรื่องร้องเรียน!AN:AN,"โชคชัย")</f>
        <v>0</v>
      </c>
      <c r="M43" s="358"/>
      <c r="N43" s="312">
        <f t="shared" ref="N43:N50" si="10">SUM(C43:L43)</f>
        <v>0</v>
      </c>
      <c r="O43" s="366">
        <f>COUNTIFS(เรื่องร้องเรียน!AO:AO,"4",เรื่องร้องเรียน!AN:AN,"โชคชัย",เรื่องร้องเรียน!CL:CL,"1")</f>
        <v>0</v>
      </c>
      <c r="P43" s="368">
        <f>COUNTIFS(เรื่องร้องเรียน!E:E,"1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Q43" s="105">
        <f>COUNTIFS(เรื่องร้องเรียน!E:E,"2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R43" s="105">
        <f>COUNTIFS(เรื่องร้องเรียน!E:E,"3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S43" s="105">
        <f>COUNTIFS(เรื่องร้องเรียน!E:E,"4",เรื่องร้องเรียน!AO:AO,"4",เรื่องร้องเรียน!AN:AN,"โชคชัย",เรื่องร้องเรียน!AQ:AQ,"1",เรื่องร้องเรียน!CL:CL,"")</f>
        <v>0</v>
      </c>
      <c r="T43" s="369"/>
      <c r="U43" s="240">
        <f t="shared" si="3"/>
        <v>0</v>
      </c>
      <c r="V43" s="316">
        <f t="shared" si="1"/>
        <v>0</v>
      </c>
      <c r="W43" s="339">
        <f>COUNTIFS(เรื่องร้องเรียน!AO:AO,"4",เรื่องร้องเรียน!AN:AN,"โชคชัย",เรื่องร้องเรียน!CT:CT,"บำบัด")</f>
        <v>0</v>
      </c>
      <c r="X43" s="340">
        <f>COUNTIFS(เรื่องร้องเรียน!AO:AO,"4",เรื่องร้องเรียน!AN:AN,"โชคชัย",เรื่องร้องเรียน!CT:CT,"อาการทางจิต")</f>
        <v>0</v>
      </c>
    </row>
    <row r="44" spans="1:24">
      <c r="A44" s="322"/>
      <c r="B44" s="108" t="s">
        <v>102</v>
      </c>
      <c r="C44" s="359">
        <f>COUNTIFS(เรื่องร้องเรียน!E:E,"1",เรื่องร้องเรียน!AO:AO,"4",เรื่องร้องเรียน!AN:AN,"บางชัน",เรื่องร้องเรียน!T:T,"1")</f>
        <v>0</v>
      </c>
      <c r="D44" s="360">
        <f>COUNTIFS(เรื่องร้องเรียน!E:E,"1",เรื่องร้องเรียน!AO:AO,"4",เรื่องร้องเรียน!AN:AN,"บางชัน",เรื่องร้องเรียน!U:U,"1")</f>
        <v>0</v>
      </c>
      <c r="E44" s="360">
        <f>COUNTIFS(เรื่องร้องเรียน!E:E,"1",เรื่องร้องเรียน!AO:AO,"4",เรื่องร้องเรียน!AN:AN,"บางชัน",เรื่องร้องเรียน!V:V,"1")</f>
        <v>0</v>
      </c>
      <c r="F44" s="361">
        <f>COUNTIFS(เรื่องร้องเรียน!E:E,"2",เรื่องร้องเรียน!AO:AO,"4",เรื่องร้องเรียน!AN:AN,"บางชัน",เรื่องร้องเรียน!T:T,"1")</f>
        <v>0</v>
      </c>
      <c r="G44" s="361">
        <f>COUNTIFS(เรื่องร้องเรียน!E:E,"2",เรื่องร้องเรียน!AO:AO,"4",เรื่องร้องเรียน!AN:AN,"บางชัน",เรื่องร้องเรียน!U:U,"1")</f>
        <v>0</v>
      </c>
      <c r="H44" s="361">
        <f>COUNTIFS(เรื่องร้องเรียน!E:E,"2",เรื่องร้องเรียน!AO:AO,"4",เรื่องร้องเรียน!AN:AN,"บางชัน",เรื่องร้องเรียน!V:V,"1")</f>
        <v>0</v>
      </c>
      <c r="I44" s="362">
        <f>COUNTIFS(เรื่องร้องเรียน!E:E,"3",เรื่องร้องเรียน!AO:AO,"4",เรื่องร้องเรียน!AN:AN,"บางชัน",เรื่องร้องเรียน!T:T,"1")</f>
        <v>0</v>
      </c>
      <c r="J44" s="362">
        <f>COUNTIFS(เรื่องร้องเรียน!E:E,"3",เรื่องร้องเรียน!AO:AO,"4",เรื่องร้องเรียน!AN:AN,"บางชัน",เรื่องร้องเรียน!U:U,"1")</f>
        <v>0</v>
      </c>
      <c r="K44" s="362">
        <f>COUNTIFS(เรื่องร้องเรียน!E:E,"3",เรื่องร้องเรียน!AO:AO,"4",เรื่องร้องเรียน!AN:AN,"บางชัน",เรื่องร้องเรียน!V:V,"1")</f>
        <v>0</v>
      </c>
      <c r="L44" s="363">
        <f>COUNTIFS(เรื่องร้องเรียน!E:E,"4",เรื่องร้องเรียน!AO:AO,"4",เรื่องร้องเรียน!AN:AN,"บางชัน")</f>
        <v>0</v>
      </c>
      <c r="M44" s="364"/>
      <c r="N44" s="313">
        <f t="shared" si="10"/>
        <v>0</v>
      </c>
      <c r="O44" s="367">
        <f>COUNTIFS(เรื่องร้องเรียน!AO:AO,"4",เรื่องร้องเรียน!AN:AN,"บางชัน",เรื่องร้องเรียน!CL:CL,"1")</f>
        <v>0</v>
      </c>
      <c r="P44" s="370">
        <f>COUNTIFS(เรื่องร้องเรียน!E:E,"1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Q44" s="109">
        <f>COUNTIFS(เรื่องร้องเรียน!E:E,"2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R44" s="109">
        <f>COUNTIFS(เรื่องร้องเรียน!E:E,"3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S44" s="109">
        <f>COUNTIFS(เรื่องร้องเรียน!E:E,"4",เรื่องร้องเรียน!AO:AO,"4",เรื่องร้องเรียน!AN:AN,"บางชัน",เรื่องร้องเรียน!AQ:AQ,"1",เรื่องร้องเรียน!CL:CL,"")</f>
        <v>0</v>
      </c>
      <c r="T44" s="371"/>
      <c r="U44" s="241">
        <f t="shared" si="3"/>
        <v>0</v>
      </c>
      <c r="V44" s="317">
        <f t="shared" si="1"/>
        <v>0</v>
      </c>
      <c r="W44" s="339">
        <f>COUNTIFS(เรื่องร้องเรียน!AO:AO,"4",เรื่องร้องเรียน!AN:AN,"บางชัน",เรื่องร้องเรียน!CT:CT,"บำบัด")</f>
        <v>0</v>
      </c>
      <c r="X44" s="340">
        <f>COUNTIFS(เรื่องร้องเรียน!AO:AO,"4",เรื่องร้องเรียน!AN:AN,"บางชัน",เรื่องร้องเรียน!CT:CT,"อาการทางจิต")</f>
        <v>0</v>
      </c>
    </row>
    <row r="45" spans="1:24">
      <c r="A45" s="322"/>
      <c r="B45" s="108" t="s">
        <v>67</v>
      </c>
      <c r="C45" s="359">
        <f>COUNTIFS(เรื่องร้องเรียน!E:E,"1",เรื่องร้องเรียน!AO:AO,"4",เรื่องร้องเรียน!AN:AN,"บึงกุ่ม",เรื่องร้องเรียน!T:T,"1")</f>
        <v>0</v>
      </c>
      <c r="D45" s="360">
        <f>COUNTIFS(เรื่องร้องเรียน!E:E,"1",เรื่องร้องเรียน!AO:AO,"4",เรื่องร้องเรียน!AN:AN,"บึงกุ่ม",เรื่องร้องเรียน!U:U,"1")</f>
        <v>0</v>
      </c>
      <c r="E45" s="360">
        <f>COUNTIFS(เรื่องร้องเรียน!E:E,"1",เรื่องร้องเรียน!AO:AO,"4",เรื่องร้องเรียน!AN:AN,"บึงกุ่ม",เรื่องร้องเรียน!V:V,"1")</f>
        <v>0</v>
      </c>
      <c r="F45" s="361">
        <f>COUNTIFS(เรื่องร้องเรียน!E:E,"2",เรื่องร้องเรียน!AO:AO,"4",เรื่องร้องเรียน!AN:AN,"บึงกุ่ม",เรื่องร้องเรียน!T:T,"1")</f>
        <v>0</v>
      </c>
      <c r="G45" s="361">
        <f>COUNTIFS(เรื่องร้องเรียน!E:E,"2",เรื่องร้องเรียน!AO:AO,"4",เรื่องร้องเรียน!AN:AN,"บึงกุ่ม",เรื่องร้องเรียน!U:U,"1")</f>
        <v>0</v>
      </c>
      <c r="H45" s="361">
        <f>COUNTIFS(เรื่องร้องเรียน!E:E,"2",เรื่องร้องเรียน!AO:AO,"4",เรื่องร้องเรียน!AN:AN,"บึงกุ่ม",เรื่องร้องเรียน!V:V,"1")</f>
        <v>0</v>
      </c>
      <c r="I45" s="362">
        <f>COUNTIFS(เรื่องร้องเรียน!E:E,"3",เรื่องร้องเรียน!AO:AO,"4",เรื่องร้องเรียน!AN:AN,"บึงกุ่ม",เรื่องร้องเรียน!T:T,"1")</f>
        <v>0</v>
      </c>
      <c r="J45" s="362">
        <f>COUNTIFS(เรื่องร้องเรียน!E:E,"3",เรื่องร้องเรียน!AO:AO,"4",เรื่องร้องเรียน!AN:AN,"บึงกุ่ม",เรื่องร้องเรียน!U:U,"1")</f>
        <v>0</v>
      </c>
      <c r="K45" s="362">
        <f>COUNTIFS(เรื่องร้องเรียน!E:E,"3",เรื่องร้องเรียน!AO:AO,"4",เรื่องร้องเรียน!AN:AN,"บึงกุ่ม",เรื่องร้องเรียน!V:V,"1")</f>
        <v>0</v>
      </c>
      <c r="L45" s="363">
        <f>COUNTIFS(เรื่องร้องเรียน!E:E,"4",เรื่องร้องเรียน!AO:AO,"4",เรื่องร้องเรียน!AN:AN,"บึงกุ่ม")</f>
        <v>0</v>
      </c>
      <c r="M45" s="364"/>
      <c r="N45" s="313">
        <f t="shared" si="10"/>
        <v>0</v>
      </c>
      <c r="O45" s="367">
        <f>COUNTIFS(เรื่องร้องเรียน!AO:AO,"4",เรื่องร้องเรียน!AN:AN,"บึงกุ่ม",เรื่องร้องเรียน!CL:CL,"1")</f>
        <v>0</v>
      </c>
      <c r="P45" s="370">
        <f>COUNTIFS(เรื่องร้องเรียน!E:E,"1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Q45" s="109">
        <f>COUNTIFS(เรื่องร้องเรียน!E:E,"2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R45" s="109">
        <f>COUNTIFS(เรื่องร้องเรียน!E:E,"3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S45" s="109">
        <f>COUNTIFS(เรื่องร้องเรียน!E:E,"4",เรื่องร้องเรียน!AO:AO,"4",เรื่องร้องเรียน!AN:AN,"บึงกุ่ม",เรื่องร้องเรียน!AQ:AQ,"1",เรื่องร้องเรียน!CL:CL,"")</f>
        <v>0</v>
      </c>
      <c r="T45" s="371"/>
      <c r="U45" s="241">
        <f t="shared" si="3"/>
        <v>0</v>
      </c>
      <c r="V45" s="317">
        <f t="shared" si="1"/>
        <v>0</v>
      </c>
      <c r="W45" s="339">
        <f>COUNTIFS(เรื่องร้องเรียน!AO:AO,"4",เรื่องร้องเรียน!AN:AN,"บึงกุ่ม",เรื่องร้องเรียน!CT:CT,"บำบัด")</f>
        <v>0</v>
      </c>
      <c r="X45" s="340">
        <f>COUNTIFS(เรื่องร้องเรียน!AO:AO,"4",เรื่องร้องเรียน!AN:AN,"บึงกุ่ม",เรื่องร้องเรียน!CT:CT,"อาการทางจิต")</f>
        <v>0</v>
      </c>
    </row>
    <row r="46" spans="1:24">
      <c r="A46" s="322"/>
      <c r="B46" s="108" t="s">
        <v>73</v>
      </c>
      <c r="C46" s="359">
        <f>COUNTIFS(เรื่องร้องเรียน!E:E,"1",เรื่องร้องเรียน!AO:AO,"4",เรื่องร้องเรียน!AN:AN,"ประเวศ",เรื่องร้องเรียน!T:T,"1")</f>
        <v>0</v>
      </c>
      <c r="D46" s="360">
        <f>COUNTIFS(เรื่องร้องเรียน!E:E,"1",เรื่องร้องเรียน!AO:AO,"4",เรื่องร้องเรียน!AN:AN,"ประเวศ",เรื่องร้องเรียน!U:U,"1")</f>
        <v>0</v>
      </c>
      <c r="E46" s="360">
        <f>COUNTIFS(เรื่องร้องเรียน!E:E,"1",เรื่องร้องเรียน!AO:AO,"4",เรื่องร้องเรียน!AN:AN,"ประเวศ",เรื่องร้องเรียน!V:V,"1")</f>
        <v>0</v>
      </c>
      <c r="F46" s="361">
        <f>COUNTIFS(เรื่องร้องเรียน!E:E,"2",เรื่องร้องเรียน!AO:AO,"4",เรื่องร้องเรียน!AN:AN,"ประเวศ",เรื่องร้องเรียน!T:T,"1")</f>
        <v>0</v>
      </c>
      <c r="G46" s="361">
        <f>COUNTIFS(เรื่องร้องเรียน!E:E,"2",เรื่องร้องเรียน!AO:AO,"4",เรื่องร้องเรียน!AN:AN,"ประเวศ",เรื่องร้องเรียน!U:U,"1")</f>
        <v>0</v>
      </c>
      <c r="H46" s="361">
        <f>COUNTIFS(เรื่องร้องเรียน!E:E,"2",เรื่องร้องเรียน!AO:AO,"4",เรื่องร้องเรียน!AN:AN,"ประเวศ",เรื่องร้องเรียน!V:V,"1")</f>
        <v>0</v>
      </c>
      <c r="I46" s="362">
        <f>COUNTIFS(เรื่องร้องเรียน!E:E,"3",เรื่องร้องเรียน!AO:AO,"4",เรื่องร้องเรียน!AN:AN,"ประเวศ",เรื่องร้องเรียน!T:T,"1")</f>
        <v>0</v>
      </c>
      <c r="J46" s="362">
        <f>COUNTIFS(เรื่องร้องเรียน!E:E,"3",เรื่องร้องเรียน!AO:AO,"4",เรื่องร้องเรียน!AN:AN,"ประเวศ",เรื่องร้องเรียน!U:U,"1")</f>
        <v>0</v>
      </c>
      <c r="K46" s="362">
        <f>COUNTIFS(เรื่องร้องเรียน!E:E,"3",เรื่องร้องเรียน!AO:AO,"4",เรื่องร้องเรียน!AN:AN,"ประเวศ",เรื่องร้องเรียน!V:V,"1")</f>
        <v>0</v>
      </c>
      <c r="L46" s="363">
        <f>COUNTIFS(เรื่องร้องเรียน!E:E,"4",เรื่องร้องเรียน!AO:AO,"4",เรื่องร้องเรียน!AN:AN,"ประเวศ")</f>
        <v>0</v>
      </c>
      <c r="M46" s="364"/>
      <c r="N46" s="313">
        <f t="shared" si="10"/>
        <v>0</v>
      </c>
      <c r="O46" s="367">
        <f>COUNTIFS(เรื่องร้องเรียน!AO:AO,"4",เรื่องร้องเรียน!AN:AN,"ประเวศ",เรื่องร้องเรียน!CL:CL,"1")</f>
        <v>0</v>
      </c>
      <c r="P46" s="370">
        <f>COUNTIFS(เรื่องร้องเรียน!E:E,"1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Q46" s="109">
        <f>COUNTIFS(เรื่องร้องเรียน!E:E,"2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R46" s="109">
        <f>COUNTIFS(เรื่องร้องเรียน!E:E,"3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S46" s="109">
        <f>COUNTIFS(เรื่องร้องเรียน!E:E,"4",เรื่องร้องเรียน!AO:AO,"4",เรื่องร้องเรียน!AN:AN,"ประเวศ",เรื่องร้องเรียน!AQ:AQ,"1",เรื่องร้องเรียน!CL:CL,"")</f>
        <v>0</v>
      </c>
      <c r="T46" s="371"/>
      <c r="U46" s="241">
        <f t="shared" si="3"/>
        <v>0</v>
      </c>
      <c r="V46" s="317">
        <f t="shared" si="1"/>
        <v>0</v>
      </c>
      <c r="W46" s="339">
        <f>COUNTIFS(เรื่องร้องเรียน!AO:AO,"4",เรื่องร้องเรียน!AN:AN,"ประเวศ",เรื่องร้องเรียน!CT:CT,"บำบัด")</f>
        <v>0</v>
      </c>
      <c r="X46" s="340">
        <f>COUNTIFS(เรื่องร้องเรียน!AO:AO,"4",เรื่องร้องเรียน!AN:AN,"ประเวศ",เรื่องร้องเรียน!CT:CT,"อาการทางจิต")</f>
        <v>0</v>
      </c>
    </row>
    <row r="47" spans="1:24">
      <c r="A47" s="322"/>
      <c r="B47" s="108" t="s">
        <v>120</v>
      </c>
      <c r="C47" s="359">
        <f>COUNTIFS(เรื่องร้องเรียน!E:E,"1",เรื่องร้องเรียน!AO:AO,"4",เรื่องร้องเรียน!AN:AN,"ลาดพร้าว",เรื่องร้องเรียน!T:T,"1")</f>
        <v>0</v>
      </c>
      <c r="D47" s="360">
        <f>COUNTIFS(เรื่องร้องเรียน!E:E,"1",เรื่องร้องเรียน!AO:AO,"4",เรื่องร้องเรียน!AN:AN,"ลาดพร้าว",เรื่องร้องเรียน!U:U,"1")</f>
        <v>0</v>
      </c>
      <c r="E47" s="360">
        <f>COUNTIFS(เรื่องร้องเรียน!E:E,"1",เรื่องร้องเรียน!AO:AO,"4",เรื่องร้องเรียน!AN:AN,"ลาดพร้าว",เรื่องร้องเรียน!V:V,"1")</f>
        <v>0</v>
      </c>
      <c r="F47" s="361">
        <f>COUNTIFS(เรื่องร้องเรียน!E:E,"2",เรื่องร้องเรียน!AO:AO,"4",เรื่องร้องเรียน!AN:AN,"ลาดพร้าว",เรื่องร้องเรียน!T:T,"1")</f>
        <v>0</v>
      </c>
      <c r="G47" s="361">
        <f>COUNTIFS(เรื่องร้องเรียน!E:E,"2",เรื่องร้องเรียน!AO:AO,"4",เรื่องร้องเรียน!AN:AN,"ลาดพร้าว",เรื่องร้องเรียน!U:U,"1")</f>
        <v>0</v>
      </c>
      <c r="H47" s="361">
        <f>COUNTIFS(เรื่องร้องเรียน!E:E,"2",เรื่องร้องเรียน!AO:AO,"4",เรื่องร้องเรียน!AN:AN,"ลาดพร้าว",เรื่องร้องเรียน!V:V,"1")</f>
        <v>0</v>
      </c>
      <c r="I47" s="362">
        <f>COUNTIFS(เรื่องร้องเรียน!E:E,"3",เรื่องร้องเรียน!AO:AO,"4",เรื่องร้องเรียน!AN:AN,"ลาดพร้าว",เรื่องร้องเรียน!T:T,"1")</f>
        <v>0</v>
      </c>
      <c r="J47" s="362">
        <f>COUNTIFS(เรื่องร้องเรียน!E:E,"3",เรื่องร้องเรียน!AO:AO,"4",เรื่องร้องเรียน!AN:AN,"ลาดพร้าว",เรื่องร้องเรียน!U:U,"1")</f>
        <v>0</v>
      </c>
      <c r="K47" s="362">
        <f>COUNTIFS(เรื่องร้องเรียน!E:E,"3",เรื่องร้องเรียน!AO:AO,"4",เรื่องร้องเรียน!AN:AN,"ลาดพร้าว",เรื่องร้องเรียน!V:V,"1")</f>
        <v>0</v>
      </c>
      <c r="L47" s="363">
        <f>COUNTIFS(เรื่องร้องเรียน!E:E,"4",เรื่องร้องเรียน!AO:AO,"4",เรื่องร้องเรียน!AN:AN,"ลาดพร้าว")</f>
        <v>0</v>
      </c>
      <c r="M47" s="364"/>
      <c r="N47" s="313">
        <f t="shared" si="10"/>
        <v>0</v>
      </c>
      <c r="O47" s="367">
        <f>COUNTIFS(เรื่องร้องเรียน!AO:AO,"4",เรื่องร้องเรียน!AN:AN,"ลาดพร้าว",เรื่องร้องเรียน!CL:CL,"1")</f>
        <v>0</v>
      </c>
      <c r="P47" s="370">
        <f>COUNTIFS(เรื่องร้องเรียน!E:E,"1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Q47" s="109">
        <f>COUNTIFS(เรื่องร้องเรียน!E:E,"2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R47" s="109">
        <f>COUNTIFS(เรื่องร้องเรียน!E:E,"3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S47" s="109">
        <f>COUNTIFS(เรื่องร้องเรียน!E:E,"4",เรื่องร้องเรียน!AO:AO,"4",เรื่องร้องเรียน!AN:AN,"ลาดพร้าว",เรื่องร้องเรียน!AQ:AQ,"1",เรื่องร้องเรียน!CL:CL,"")</f>
        <v>0</v>
      </c>
      <c r="T47" s="371"/>
      <c r="U47" s="241">
        <f t="shared" si="3"/>
        <v>0</v>
      </c>
      <c r="V47" s="317">
        <f t="shared" si="1"/>
        <v>0</v>
      </c>
      <c r="W47" s="339">
        <f>COUNTIFS(เรื่องร้องเรียน!AO:AO,"4",เรื่องร้องเรียน!AN:AN,"ลาดพร้าว",เรื่องร้องเรียน!CT:CT,"บำบัด")</f>
        <v>0</v>
      </c>
      <c r="X47" s="340">
        <f>COUNTIFS(เรื่องร้องเรียน!AO:AO,"4",เรื่องร้องเรียน!AN:AN,"ลาดพร้าว",เรื่องร้องเรียน!CT:CT,"อาการทางจิต")</f>
        <v>0</v>
      </c>
    </row>
    <row r="48" spans="1:24">
      <c r="A48" s="322"/>
      <c r="B48" s="108" t="s">
        <v>179</v>
      </c>
      <c r="C48" s="359">
        <f>COUNTIFS(เรื่องร้องเรียน!E:E,"1",เรื่องร้องเรียน!AO:AO,"4",เรื่องร้องเรียน!AN:AN,"วังทองหลาง",เรื่องร้องเรียน!T:T,"1")</f>
        <v>0</v>
      </c>
      <c r="D48" s="360">
        <f>COUNTIFS(เรื่องร้องเรียน!E:E,"1",เรื่องร้องเรียน!AO:AO,"4",เรื่องร้องเรียน!AN:AN,"วังทองหลาง",เรื่องร้องเรียน!U:U,"1")</f>
        <v>0</v>
      </c>
      <c r="E48" s="360">
        <f>COUNTIFS(เรื่องร้องเรียน!E:E,"1",เรื่องร้องเรียน!AO:AO,"4",เรื่องร้องเรียน!AN:AN,"วังทองหลาง",เรื่องร้องเรียน!V:V,"1")</f>
        <v>0</v>
      </c>
      <c r="F48" s="361">
        <f>COUNTIFS(เรื่องร้องเรียน!E:E,"2",เรื่องร้องเรียน!AO:AO,"4",เรื่องร้องเรียน!AN:AN,"วังทองหลาง",เรื่องร้องเรียน!T:T,"1")</f>
        <v>0</v>
      </c>
      <c r="G48" s="361">
        <f>COUNTIFS(เรื่องร้องเรียน!E:E,"2",เรื่องร้องเรียน!AO:AO,"4",เรื่องร้องเรียน!AN:AN,"วังทองหลาง",เรื่องร้องเรียน!U:U,"1")</f>
        <v>0</v>
      </c>
      <c r="H48" s="361">
        <f>COUNTIFS(เรื่องร้องเรียน!E:E,"2",เรื่องร้องเรียน!AO:AO,"4",เรื่องร้องเรียน!AN:AN,"วังทองหลาง",เรื่องร้องเรียน!V:V,"1")</f>
        <v>0</v>
      </c>
      <c r="I48" s="362">
        <f>COUNTIFS(เรื่องร้องเรียน!E:E,"3",เรื่องร้องเรียน!AO:AO,"4",เรื่องร้องเรียน!AN:AN,"วังทองหลาง",เรื่องร้องเรียน!T:T,"1")</f>
        <v>0</v>
      </c>
      <c r="J48" s="362">
        <f>COUNTIFS(เรื่องร้องเรียน!E:E,"3",เรื่องร้องเรียน!AO:AO,"4",เรื่องร้องเรียน!AN:AN,"วังทองหลาง",เรื่องร้องเรียน!U:U,"1")</f>
        <v>0</v>
      </c>
      <c r="K48" s="362">
        <f>COUNTIFS(เรื่องร้องเรียน!E:E,"3",เรื่องร้องเรียน!AO:AO,"4",เรื่องร้องเรียน!AN:AN,"วังทองหลาง",เรื่องร้องเรียน!V:V,"1")</f>
        <v>0</v>
      </c>
      <c r="L48" s="363">
        <f>COUNTIFS(เรื่องร้องเรียน!E:E,"4",เรื่องร้องเรียน!AO:AO,"4",เรื่องร้องเรียน!AN:AN,"วังทองหลาง")</f>
        <v>0</v>
      </c>
      <c r="M48" s="364"/>
      <c r="N48" s="313">
        <f t="shared" si="10"/>
        <v>0</v>
      </c>
      <c r="O48" s="367">
        <f>COUNTIFS(เรื่องร้องเรียน!AO:AO,"4",เรื่องร้องเรียน!AN:AN,"วังทองหลาง",เรื่องร้องเรียน!CL:CL,"1")</f>
        <v>0</v>
      </c>
      <c r="P48" s="370">
        <f>COUNTIFS(เรื่องร้องเรียน!E:E,"1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Q48" s="109">
        <f>COUNTIFS(เรื่องร้องเรียน!E:E,"2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R48" s="109">
        <f>COUNTIFS(เรื่องร้องเรียน!E:E,"3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S48" s="109">
        <f>COUNTIFS(เรื่องร้องเรียน!E:E,"4",เรื่องร้องเรียน!AO:AO,"4",เรื่องร้องเรียน!AN:AN,"วังทองหลาง",เรื่องร้องเรียน!AQ:AQ,"1",เรื่องร้องเรียน!CL:CL,"")</f>
        <v>0</v>
      </c>
      <c r="T48" s="371"/>
      <c r="U48" s="241">
        <f t="shared" si="3"/>
        <v>0</v>
      </c>
      <c r="V48" s="317">
        <f t="shared" si="1"/>
        <v>0</v>
      </c>
      <c r="W48" s="339">
        <f>COUNTIFS(เรื่องร้องเรียน!AO:AO,"4",เรื่องร้องเรียน!AN:AN,"วังทองหลาง",เรื่องร้องเรียน!CT:CT,"บำบัด")</f>
        <v>0</v>
      </c>
      <c r="X48" s="340">
        <f>COUNTIFS(เรื่องร้องเรียน!AO:AO,"4",เรื่องร้องเรียน!AN:AN,"วังทองหลาง",เรื่องร้องเรียน!CT:CT,"อาการทางจิต")</f>
        <v>0</v>
      </c>
    </row>
    <row r="49" spans="1:25">
      <c r="A49" s="322"/>
      <c r="B49" s="108" t="s">
        <v>91</v>
      </c>
      <c r="C49" s="359">
        <f>COUNTIFS(เรื่องร้องเรียน!E:E,"1",เรื่องร้องเรียน!AO:AO,"4",เรื่องร้องเรียน!AN:AN,"หัวหมาก",เรื่องร้องเรียน!T:T,"1")</f>
        <v>0</v>
      </c>
      <c r="D49" s="360">
        <f>COUNTIFS(เรื่องร้องเรียน!E:E,"1",เรื่องร้องเรียน!AO:AO,"4",เรื่องร้องเรียน!AN:AN,"หัวหมาก",เรื่องร้องเรียน!U:U,"1")</f>
        <v>0</v>
      </c>
      <c r="E49" s="360">
        <f>COUNTIFS(เรื่องร้องเรียน!E:E,"1",เรื่องร้องเรียน!AO:AO,"4",เรื่องร้องเรียน!AN:AN,"หัวหมาก",เรื่องร้องเรียน!V:V,"1")</f>
        <v>0</v>
      </c>
      <c r="F49" s="361">
        <f>COUNTIFS(เรื่องร้องเรียน!E:E,"2",เรื่องร้องเรียน!AO:AO,"4",เรื่องร้องเรียน!AN:AN,"หัวหมาก",เรื่องร้องเรียน!T:T,"1")</f>
        <v>0</v>
      </c>
      <c r="G49" s="361">
        <f>COUNTIFS(เรื่องร้องเรียน!E:E,"2",เรื่องร้องเรียน!AO:AO,"4",เรื่องร้องเรียน!AN:AN,"หัวหมาก",เรื่องร้องเรียน!U:U,"1")</f>
        <v>0</v>
      </c>
      <c r="H49" s="361">
        <f>COUNTIFS(เรื่องร้องเรียน!E:E,"2",เรื่องร้องเรียน!AO:AO,"4",เรื่องร้องเรียน!AN:AN,"หัวหมาก",เรื่องร้องเรียน!V:V,"1")</f>
        <v>0</v>
      </c>
      <c r="I49" s="362">
        <f>COUNTIFS(เรื่องร้องเรียน!E:E,"3",เรื่องร้องเรียน!AO:AO,"4",เรื่องร้องเรียน!AN:AN,"หัวหมาก",เรื่องร้องเรียน!T:T,"1")</f>
        <v>0</v>
      </c>
      <c r="J49" s="362">
        <f>COUNTIFS(เรื่องร้องเรียน!E:E,"3",เรื่องร้องเรียน!AO:AO,"4",เรื่องร้องเรียน!AN:AN,"หัวหมาก",เรื่องร้องเรียน!U:U,"1")</f>
        <v>0</v>
      </c>
      <c r="K49" s="362">
        <f>COUNTIFS(เรื่องร้องเรียน!E:E,"3",เรื่องร้องเรียน!AO:AO,"4",เรื่องร้องเรียน!AN:AN,"หัวหมาก",เรื่องร้องเรียน!V:V,"1")</f>
        <v>0</v>
      </c>
      <c r="L49" s="363">
        <f>COUNTIFS(เรื่องร้องเรียน!E:E,"4",เรื่องร้องเรียน!AO:AO,"4",เรื่องร้องเรียน!AN:AN,"หัวหมาก")</f>
        <v>0</v>
      </c>
      <c r="M49" s="364"/>
      <c r="N49" s="313">
        <f t="shared" si="10"/>
        <v>0</v>
      </c>
      <c r="O49" s="367">
        <f>COUNTIFS(เรื่องร้องเรียน!AO:AO,"4",เรื่องร้องเรียน!AN:AN,"หัวหมาก",เรื่องร้องเรียน!CL:CL,"1")</f>
        <v>0</v>
      </c>
      <c r="P49" s="370">
        <f>COUNTIFS(เรื่องร้องเรียน!E:E,"1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Q49" s="109">
        <f>COUNTIFS(เรื่องร้องเรียน!E:E,"2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R49" s="109">
        <f>COUNTIFS(เรื่องร้องเรียน!E:E,"3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S49" s="109">
        <f>COUNTIFS(เรื่องร้องเรียน!E:E,"4",เรื่องร้องเรียน!AO:AO,"4",เรื่องร้องเรียน!AN:AN,"หัวหมาก",เรื่องร้องเรียน!AQ:AQ,"1",เรื่องร้องเรียน!CL:CL,"")</f>
        <v>0</v>
      </c>
      <c r="T49" s="371"/>
      <c r="U49" s="241">
        <f t="shared" si="3"/>
        <v>0</v>
      </c>
      <c r="V49" s="317">
        <f t="shared" si="1"/>
        <v>0</v>
      </c>
      <c r="W49" s="339">
        <f>COUNTIFS(เรื่องร้องเรียน!AO:AO,"4",เรื่องร้องเรียน!AN:AN,"หัวหมาก",เรื่องร้องเรียน!CT:CT,"บำบัด")</f>
        <v>0</v>
      </c>
      <c r="X49" s="340">
        <f>COUNTIFS(เรื่องร้องเรียน!AO:AO,"4",เรื่องร้องเรียน!AN:AN,"หัวหมาก",เรื่องร้องเรียน!CT:CT,"อาการทางจิต")</f>
        <v>0</v>
      </c>
    </row>
    <row r="50" spans="1:25" ht="21.6" thickBot="1">
      <c r="A50" s="323"/>
      <c r="B50" s="112" t="s">
        <v>74</v>
      </c>
      <c r="C50" s="289">
        <f>COUNTIFS(เรื่องร้องเรียน!E:E,"1",เรื่องร้องเรียน!AO:AO,"4",เรื่องร้องเรียน!AN:AN,"อุดมสุข",เรื่องร้องเรียน!T:T,"1")</f>
        <v>0</v>
      </c>
      <c r="D50" s="290">
        <f>COUNTIFS(เรื่องร้องเรียน!E:E,"1",เรื่องร้องเรียน!AO:AO,"4",เรื่องร้องเรียน!AN:AN,"อุดมสุข",เรื่องร้องเรียน!U:U,"1")</f>
        <v>0</v>
      </c>
      <c r="E50" s="290">
        <f>COUNTIFS(เรื่องร้องเรียน!E:E,"1",เรื่องร้องเรียน!AO:AO,"4",เรื่องร้องเรียน!AN:AN,"อุดมสุข",เรื่องร้องเรียน!V:V,"1")</f>
        <v>0</v>
      </c>
      <c r="F50" s="291">
        <f>COUNTIFS(เรื่องร้องเรียน!E:E,"2",เรื่องร้องเรียน!AO:AO,"4",เรื่องร้องเรียน!AN:AN,"อุดมสุข",เรื่องร้องเรียน!T:T,"1")</f>
        <v>0</v>
      </c>
      <c r="G50" s="291">
        <f>COUNTIFS(เรื่องร้องเรียน!E:E,"2",เรื่องร้องเรียน!AO:AO,"4",เรื่องร้องเรียน!AN:AN,"อุดมสุข",เรื่องร้องเรียน!U:U,"1")</f>
        <v>0</v>
      </c>
      <c r="H50" s="291">
        <f>COUNTIFS(เรื่องร้องเรียน!E:E,"2",เรื่องร้องเรียน!AO:AO,"4",เรื่องร้องเรียน!AN:AN,"อุดมสุข",เรื่องร้องเรียน!V:V,"1")</f>
        <v>0</v>
      </c>
      <c r="I50" s="292">
        <f>COUNTIFS(เรื่องร้องเรียน!E:E,"3",เรื่องร้องเรียน!AO:AO,"4",เรื่องร้องเรียน!AN:AN,"อุดมสุข",เรื่องร้องเรียน!T:T,"1")</f>
        <v>0</v>
      </c>
      <c r="J50" s="292">
        <f>COUNTIFS(เรื่องร้องเรียน!E:E,"3",เรื่องร้องเรียน!AO:AO,"4",เรื่องร้องเรียน!AN:AN,"อุดมสุข",เรื่องร้องเรียน!U:U,"1")</f>
        <v>0</v>
      </c>
      <c r="K50" s="292">
        <f>COUNTIFS(เรื่องร้องเรียน!E:E,"3",เรื่องร้องเรียน!AO:AO,"4",เรื่องร้องเรียน!AN:AN,"อุดมสุข",เรื่องร้องเรียน!V:V,"1")</f>
        <v>0</v>
      </c>
      <c r="L50" s="293">
        <f>COUNTIFS(เรื่องร้องเรียน!E:E,"4",เรื่องร้องเรียน!AO:AO,"4",เรื่องร้องเรียน!AN:AN,"อุดมสุข")</f>
        <v>0</v>
      </c>
      <c r="M50" s="365"/>
      <c r="N50" s="314">
        <f t="shared" si="10"/>
        <v>0</v>
      </c>
      <c r="O50" s="350">
        <f>COUNTIFS(เรื่องร้องเรียน!AO:AO,"4",เรื่องร้องเรียน!AN:AN,"อุดมสุข",เรื่องร้องเรียน!CL:CL,"1")</f>
        <v>0</v>
      </c>
      <c r="P50" s="245">
        <f>COUNTIFS(เรื่องร้องเรียน!E:E,"1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Q50" s="124">
        <f>COUNTIFS(เรื่องร้องเรียน!E:E,"2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R50" s="124">
        <f>COUNTIFS(เรื่องร้องเรียน!E:E,"3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S50" s="124">
        <f>COUNTIFS(เรื่องร้องเรียน!E:E,"4",เรื่องร้องเรียน!AO:AO,"4",เรื่องร้องเรียน!AN:AN,"อุดมสุข",เรื่องร้องเรียน!AQ:AQ,"1",เรื่องร้องเรียน!CL:CL,"")</f>
        <v>0</v>
      </c>
      <c r="T50" s="333"/>
      <c r="U50" s="237">
        <f t="shared" si="3"/>
        <v>0</v>
      </c>
      <c r="V50" s="318">
        <f t="shared" si="1"/>
        <v>0</v>
      </c>
      <c r="W50" s="335">
        <f>COUNTIFS(เรื่องร้องเรียน!AO:AO,"4",เรื่องร้องเรียน!AN:AN,"อุดมสุข",เรื่องร้องเรียน!CT:CT,"บำบัด")</f>
        <v>0</v>
      </c>
      <c r="X50" s="340">
        <f>COUNTIFS(เรื่องร้องเรียน!AO:AO,"4",เรื่องร้องเรียน!AN:AN,"อุดมสุข",เรื่องร้องเรียน!CT:CT,"อาการทางจิต")</f>
        <v>0</v>
      </c>
    </row>
    <row r="51" spans="1:25" ht="21.6" thickBot="1">
      <c r="A51" s="320">
        <v>5</v>
      </c>
      <c r="B51" s="282"/>
      <c r="C51" s="283">
        <f>SUM(C52:C60)</f>
        <v>0</v>
      </c>
      <c r="D51" s="284">
        <f>SUM(D52:D60)</f>
        <v>0</v>
      </c>
      <c r="E51" s="284">
        <f>SUM(E52:E60)</f>
        <v>0</v>
      </c>
      <c r="F51" s="284">
        <f>SUM(F52:F60)</f>
        <v>0</v>
      </c>
      <c r="G51" s="284">
        <f t="shared" ref="G51:S51" si="11">SUM(G52:G60)</f>
        <v>0</v>
      </c>
      <c r="H51" s="284">
        <f t="shared" si="11"/>
        <v>0</v>
      </c>
      <c r="I51" s="284">
        <f t="shared" si="11"/>
        <v>0</v>
      </c>
      <c r="J51" s="284">
        <f t="shared" si="11"/>
        <v>0</v>
      </c>
      <c r="K51" s="284">
        <f t="shared" si="11"/>
        <v>0</v>
      </c>
      <c r="L51" s="284">
        <f t="shared" si="11"/>
        <v>0</v>
      </c>
      <c r="M51" s="332"/>
      <c r="N51" s="311">
        <f>SUM(N52:N60)</f>
        <v>0</v>
      </c>
      <c r="O51" s="349">
        <f>SUM(O52:O60)</f>
        <v>0</v>
      </c>
      <c r="P51" s="285">
        <f t="shared" si="11"/>
        <v>0</v>
      </c>
      <c r="Q51" s="284">
        <f t="shared" si="11"/>
        <v>0</v>
      </c>
      <c r="R51" s="284">
        <f t="shared" si="11"/>
        <v>0</v>
      </c>
      <c r="S51" s="284">
        <f t="shared" si="11"/>
        <v>0</v>
      </c>
      <c r="T51" s="332"/>
      <c r="U51" s="287">
        <f t="shared" si="3"/>
        <v>0</v>
      </c>
      <c r="V51" s="315">
        <f t="shared" si="1"/>
        <v>0</v>
      </c>
      <c r="W51" s="341">
        <f>SUM(W52:W60)</f>
        <v>0</v>
      </c>
      <c r="X51" s="342">
        <f>SUM(X52:X60)</f>
        <v>0</v>
      </c>
    </row>
    <row r="52" spans="1:25">
      <c r="A52" s="321"/>
      <c r="B52" s="99" t="s">
        <v>128</v>
      </c>
      <c r="C52" s="353">
        <f>COUNTIFS(เรื่องร้องเรียน!E:E,"1",เรื่องร้องเรียน!AO:AO,"5",เรื่องร้องเรียน!AN:AN,"คลองตัน",เรื่องร้องเรียน!T:T,"1")</f>
        <v>0</v>
      </c>
      <c r="D52" s="354">
        <f>COUNTIFS(เรื่องร้องเรียน!E:E,"1",เรื่องร้องเรียน!AO:AO,"5",เรื่องร้องเรียน!AN:AN,"คลองตัน",เรื่องร้องเรียน!U:U,"1")</f>
        <v>0</v>
      </c>
      <c r="E52" s="354">
        <f>COUNTIFS(เรื่องร้องเรียน!E:E,"1",เรื่องร้องเรียน!AO:AO,"5",เรื่องร้องเรียน!AN:AN,"คลองตัน",เรื่องร้องเรียน!V:V,"1")</f>
        <v>0</v>
      </c>
      <c r="F52" s="355">
        <f>COUNTIFS(เรื่องร้องเรียน!E:E,"2",เรื่องร้องเรียน!AO:AO,"5",เรื่องร้องเรียน!AN:AN,"คลองตัน",เรื่องร้องเรียน!T:T,"1")</f>
        <v>0</v>
      </c>
      <c r="G52" s="355">
        <f>COUNTIFS(เรื่องร้องเรียน!E:E,"2",เรื่องร้องเรียน!AO:AO,"5",เรื่องร้องเรียน!AN:AN,"คลองตัน",เรื่องร้องเรียน!U:U,"1")</f>
        <v>0</v>
      </c>
      <c r="H52" s="355">
        <f>COUNTIFS(เรื่องร้องเรียน!E:E,"2",เรื่องร้องเรียน!AO:AO,"5",เรื่องร้องเรียน!AN:AN,"คลองตัน",เรื่องร้องเรียน!V:V,"1")</f>
        <v>0</v>
      </c>
      <c r="I52" s="356">
        <f>COUNTIFS(เรื่องร้องเรียน!E:E,"3",เรื่องร้องเรียน!AO:AO,"5",เรื่องร้องเรียน!AN:AN,"คลองตัน",เรื่องร้องเรียน!T:T,"1")</f>
        <v>0</v>
      </c>
      <c r="J52" s="356">
        <f>COUNTIFS(เรื่องร้องเรียน!E:E,"3",เรื่องร้องเรียน!AO:AO,"5",เรื่องร้องเรียน!AN:AN,"คลองตัน",เรื่องร้องเรียน!U:U,"1")</f>
        <v>0</v>
      </c>
      <c r="K52" s="356">
        <f>COUNTIFS(เรื่องร้องเรียน!E:E,"3",เรื่องร้องเรียน!AO:AO,"5",เรื่องร้องเรียน!AN:AN,"คลองตัน",เรื่องร้องเรียน!V:V,"1")</f>
        <v>0</v>
      </c>
      <c r="L52" s="357">
        <f>COUNTIFS(เรื่องร้องเรียน!E:E,"4",เรื่องร้องเรียน!AO:AO,"5",เรื่องร้องเรียน!AN:AN,"คลองตัน")</f>
        <v>0</v>
      </c>
      <c r="M52" s="358"/>
      <c r="N52" s="312">
        <f t="shared" ref="N52:N60" si="12">SUM(C52:L52)</f>
        <v>0</v>
      </c>
      <c r="O52" s="366">
        <f>COUNTIFS(เรื่องร้องเรียน!AO:AO,"5",เรื่องร้องเรียน!AN:AN,"คลองตัน",เรื่องร้องเรียน!CL:CL,"1")</f>
        <v>0</v>
      </c>
      <c r="P52" s="368">
        <f>COUNTIFS(เรื่องร้องเรียน!E:E,"1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Q52" s="105">
        <f>COUNTIFS(เรื่องร้องเรียน!E:E,"2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R52" s="105">
        <f>COUNTIFS(เรื่องร้องเรียน!E:E,"3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S52" s="105">
        <f>COUNTIFS(เรื่องร้องเรียน!E:E,"4",เรื่องร้องเรียน!AO:AO,"5",เรื่องร้องเรียน!AN:AN,"คลองตัน",เรื่องร้องเรียน!AQ:AQ,"1",เรื่องร้องเรียน!CL:CL,"")</f>
        <v>0</v>
      </c>
      <c r="T52" s="369"/>
      <c r="U52" s="240">
        <f t="shared" si="3"/>
        <v>0</v>
      </c>
      <c r="V52" s="316">
        <f t="shared" si="1"/>
        <v>0</v>
      </c>
      <c r="W52" s="344">
        <f>COUNTIFS(เรื่องร้องเรียน!AO:AO,"5",เรื่องร้องเรียน!AN:AN,"คลองตัน",เรื่องร้องเรียน!CT:CT,"บำบัด")</f>
        <v>0</v>
      </c>
      <c r="X52" s="345">
        <f>COUNTIFS(เรื่องร้องเรียน!AO:AO,"5",เรื่องร้องเรียน!AN:AN,"คลองตัน",เรื่องร้องเรียน!CT:CT,"อาการทางจิต")</f>
        <v>0</v>
      </c>
    </row>
    <row r="53" spans="1:25">
      <c r="A53" s="322"/>
      <c r="B53" s="108" t="s">
        <v>137</v>
      </c>
      <c r="C53" s="359">
        <f>COUNTIFS(เรื่องร้องเรียน!E:E,"1",เรื่องร้องเรียน!AO:AO,"5",เรื่องร้องเรียน!AN:AN,"ทองหล่อ",เรื่องร้องเรียน!T:T,"1")</f>
        <v>0</v>
      </c>
      <c r="D53" s="360">
        <f>COUNTIFS(เรื่องร้องเรียน!E:E,"1",เรื่องร้องเรียน!AO:AO,"5",เรื่องร้องเรียน!AN:AN,"ทองหล่อ",เรื่องร้องเรียน!U:U,"1")</f>
        <v>0</v>
      </c>
      <c r="E53" s="360">
        <f>COUNTIFS(เรื่องร้องเรียน!E:E,"1",เรื่องร้องเรียน!AO:AO,"5",เรื่องร้องเรียน!AN:AN,"ทองหล่อ",เรื่องร้องเรียน!V:V,"1")</f>
        <v>0</v>
      </c>
      <c r="F53" s="361">
        <f>COUNTIFS(เรื่องร้องเรียน!E:E,"2",เรื่องร้องเรียน!AO:AO,"5",เรื่องร้องเรียน!AN:AN,"ทองหล่อ",เรื่องร้องเรียน!T:T,"1")</f>
        <v>0</v>
      </c>
      <c r="G53" s="361">
        <f>COUNTIFS(เรื่องร้องเรียน!E:E,"2",เรื่องร้องเรียน!AO:AO,"5",เรื่องร้องเรียน!AN:AN,"ทองหล่อ",เรื่องร้องเรียน!U:U,"1")</f>
        <v>0</v>
      </c>
      <c r="H53" s="361">
        <f>COUNTIFS(เรื่องร้องเรียน!E:E,"2",เรื่องร้องเรียน!AO:AO,"5",เรื่องร้องเรียน!AN:AN,"ทองหล่อ",เรื่องร้องเรียน!V:V,"1")</f>
        <v>0</v>
      </c>
      <c r="I53" s="362">
        <f>COUNTIFS(เรื่องร้องเรียน!E:E,"3",เรื่องร้องเรียน!AO:AO,"5",เรื่องร้องเรียน!AN:AN,"ทองหล่อ",เรื่องร้องเรียน!T:T,"1")</f>
        <v>0</v>
      </c>
      <c r="J53" s="362">
        <f>COUNTIFS(เรื่องร้องเรียน!E:E,"3",เรื่องร้องเรียน!AO:AO,"5",เรื่องร้องเรียน!AN:AN,"ทองหล่อ",เรื่องร้องเรียน!U:U,"1")</f>
        <v>0</v>
      </c>
      <c r="K53" s="362">
        <f>COUNTIFS(เรื่องร้องเรียน!E:E,"3",เรื่องร้องเรียน!AO:AO,"5",เรื่องร้องเรียน!AN:AN,"ทองหล่อ",เรื่องร้องเรียน!V:V,"1")</f>
        <v>0</v>
      </c>
      <c r="L53" s="363">
        <f>COUNTIFS(เรื่องร้องเรียน!E:E,"4",เรื่องร้องเรียน!AO:AO,"5",เรื่องร้องเรียน!AN:AN,"ทองหล่อ")</f>
        <v>0</v>
      </c>
      <c r="M53" s="364"/>
      <c r="N53" s="313">
        <f t="shared" si="12"/>
        <v>0</v>
      </c>
      <c r="O53" s="367">
        <f>COUNTIFS(เรื่องร้องเรียน!AO:AO,"5",เรื่องร้องเรียน!AN:AN,"ทองหล่อ",เรื่องร้องเรียน!CL:CL,"1")</f>
        <v>0</v>
      </c>
      <c r="P53" s="370">
        <f>COUNTIFS(เรื่องร้องเรียน!E:E,"1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Q53" s="109">
        <f>COUNTIFS(เรื่องร้องเรียน!E:E,"2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R53" s="109">
        <f>COUNTIFS(เรื่องร้องเรียน!E:E,"3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S53" s="109">
        <f>COUNTIFS(เรื่องร้องเรียน!E:E,"4",เรื่องร้องเรียน!AO:AO,"5",เรื่องร้องเรียน!AN:AN,"ทองหล่อ",เรื่องร้องเรียน!AQ:AQ,"1",เรื่องร้องเรียน!CL:CL,"")</f>
        <v>0</v>
      </c>
      <c r="T53" s="371"/>
      <c r="U53" s="241">
        <f t="shared" si="3"/>
        <v>0</v>
      </c>
      <c r="V53" s="317">
        <f t="shared" si="1"/>
        <v>0</v>
      </c>
      <c r="W53" s="339">
        <f>COUNTIFS(เรื่องร้องเรียน!AO:AO,"5",เรื่องร้องเรียน!AN:AN,"ทองหล่อ",เรื่องร้องเรียน!CT:CT,"บำบัด")</f>
        <v>0</v>
      </c>
      <c r="X53" s="334">
        <f>COUNTIFS(เรื่องร้องเรียน!AO:AO,"5",เรื่องร้องเรียน!AN:AN,"ทองหล่อ",เรื่องร้องเรียน!CT:CT,"อาการทางจิต")</f>
        <v>0</v>
      </c>
    </row>
    <row r="54" spans="1:25">
      <c r="A54" s="322"/>
      <c r="B54" s="108" t="s">
        <v>103</v>
      </c>
      <c r="C54" s="359">
        <f>COUNTIFS(เรื่องร้องเรียน!E:E,"1",เรื่องร้องเรียน!AO:AO,"5",เรื่องร้องเรียน!AN:AN,"ท่าเรือ",เรื่องร้องเรียน!T:T,"1")</f>
        <v>0</v>
      </c>
      <c r="D54" s="360">
        <f>COUNTIFS(เรื่องร้องเรียน!E:E,"1",เรื่องร้องเรียน!AO:AO,"5",เรื่องร้องเรียน!AN:AN,"ท่าเรือ",เรื่องร้องเรียน!U:U,"1")</f>
        <v>0</v>
      </c>
      <c r="E54" s="360">
        <f>COUNTIFS(เรื่องร้องเรียน!E:E,"1",เรื่องร้องเรียน!AO:AO,"5",เรื่องร้องเรียน!AN:AN,"ท่าเรือ",เรื่องร้องเรียน!V:V,"1")</f>
        <v>0</v>
      </c>
      <c r="F54" s="361">
        <f>COUNTIFS(เรื่องร้องเรียน!E:E,"2",เรื่องร้องเรียน!AO:AO,"5",เรื่องร้องเรียน!AN:AN,"ท่าเรือ",เรื่องร้องเรียน!T:T,"1")</f>
        <v>0</v>
      </c>
      <c r="G54" s="361">
        <f>COUNTIFS(เรื่องร้องเรียน!E:E,"2",เรื่องร้องเรียน!AO:AO,"5",เรื่องร้องเรียน!AN:AN,"ท่าเรือ",เรื่องร้องเรียน!U:U,"1")</f>
        <v>0</v>
      </c>
      <c r="H54" s="361">
        <f>COUNTIFS(เรื่องร้องเรียน!E:E,"2",เรื่องร้องเรียน!AO:AO,"5",เรื่องร้องเรียน!AN:AN,"ท่าเรือ",เรื่องร้องเรียน!V:V,"1")</f>
        <v>0</v>
      </c>
      <c r="I54" s="362">
        <f>COUNTIFS(เรื่องร้องเรียน!E:E,"3",เรื่องร้องเรียน!AO:AO,"5",เรื่องร้องเรียน!AN:AN,"ท่าเรือ",เรื่องร้องเรียน!T:T,"1")</f>
        <v>0</v>
      </c>
      <c r="J54" s="362">
        <f>COUNTIFS(เรื่องร้องเรียน!E:E,"3",เรื่องร้องเรียน!AO:AO,"5",เรื่องร้องเรียน!AN:AN,"ท่าเรือ",เรื่องร้องเรียน!U:U,"1")</f>
        <v>0</v>
      </c>
      <c r="K54" s="362">
        <f>COUNTIFS(เรื่องร้องเรียน!E:E,"3",เรื่องร้องเรียน!AO:AO,"5",เรื่องร้องเรียน!AN:AN,"ท่าเรือ",เรื่องร้องเรียน!V:V,"1")</f>
        <v>0</v>
      </c>
      <c r="L54" s="363">
        <f>COUNTIFS(เรื่องร้องเรียน!E:E,"4",เรื่องร้องเรียน!AO:AO,"5",เรื่องร้องเรียน!AN:AN,"ท่าเรือ")</f>
        <v>0</v>
      </c>
      <c r="M54" s="364"/>
      <c r="N54" s="313">
        <f t="shared" si="12"/>
        <v>0</v>
      </c>
      <c r="O54" s="367">
        <f>COUNTIFS(เรื่องร้องเรียน!AO:AO,"5",เรื่องร้องเรียน!AN:AN,"ท่าเรือ",เรื่องร้องเรียน!CL:CL,"1")</f>
        <v>0</v>
      </c>
      <c r="P54" s="370">
        <f>COUNTIFS(เรื่องร้องเรียน!E:E,"1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Q54" s="109">
        <f>COUNTIFS(เรื่องร้องเรียน!E:E,"2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R54" s="109">
        <f>COUNTIFS(เรื่องร้องเรียน!E:E,"3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S54" s="109">
        <f>COUNTIFS(เรื่องร้องเรียน!E:E,"4",เรื่องร้องเรียน!AO:AO,"5",เรื่องร้องเรียน!AN:AN,"ท่าเรือ",เรื่องร้องเรียน!AQ:AQ,"1",เรื่องร้องเรียน!CL:CL,"")</f>
        <v>0</v>
      </c>
      <c r="T54" s="371"/>
      <c r="U54" s="241">
        <f t="shared" si="3"/>
        <v>0</v>
      </c>
      <c r="V54" s="317">
        <f t="shared" si="1"/>
        <v>0</v>
      </c>
      <c r="W54" s="339">
        <f>COUNTIFS(เรื่องร้องเรียน!AO:AO,"5",เรื่องร้องเรียน!AN:AN,"ท่าเรือ",เรื่องร้องเรียน!CT:CT,"บำบัด")</f>
        <v>0</v>
      </c>
      <c r="X54" s="334">
        <f>COUNTIFS(เรื่องร้องเรียน!AO:AO,"5",เรื่องร้องเรียน!AN:AN,"ท่าเรือ",เรื่องร้องเรียน!CT:CT,"อาการทางจิต")</f>
        <v>0</v>
      </c>
    </row>
    <row r="55" spans="1:25">
      <c r="A55" s="322"/>
      <c r="B55" s="108" t="s">
        <v>142</v>
      </c>
      <c r="C55" s="359">
        <f>COUNTIFS(เรื่องร้องเรียน!E:E,"1",เรื่องร้องเรียน!AO:AO,"5",เรื่องร้องเรียน!AN:AN,"ทุ่งมหาเมฆ",เรื่องร้องเรียน!T:T,"1")</f>
        <v>0</v>
      </c>
      <c r="D55" s="360">
        <f>COUNTIFS(เรื่องร้องเรียน!E:E,"1",เรื่องร้องเรียน!AO:AO,"5",เรื่องร้องเรียน!AN:AN,"ทุ่งมหาเมฆ",เรื่องร้องเรียน!U:U,"1")</f>
        <v>0</v>
      </c>
      <c r="E55" s="360">
        <f>COUNTIFS(เรื่องร้องเรียน!E:E,"1",เรื่องร้องเรียน!AO:AO,"5",เรื่องร้องเรียน!AN:AN,"ทุ่งมหาเมฆ",เรื่องร้องเรียน!V:V,"1")</f>
        <v>0</v>
      </c>
      <c r="F55" s="361">
        <f>COUNTIFS(เรื่องร้องเรียน!E:E,"2",เรื่องร้องเรียน!AO:AO,"5",เรื่องร้องเรียน!AN:AN,"ทุ่งมหาเมฆ",เรื่องร้องเรียน!T:T,"1")</f>
        <v>0</v>
      </c>
      <c r="G55" s="361">
        <f>COUNTIFS(เรื่องร้องเรียน!E:E,"2",เรื่องร้องเรียน!AO:AO,"5",เรื่องร้องเรียน!AN:AN,"ทุ่งมหาเมฆ",เรื่องร้องเรียน!U:U,"1")</f>
        <v>0</v>
      </c>
      <c r="H55" s="361">
        <f>COUNTIFS(เรื่องร้องเรียน!E:E,"2",เรื่องร้องเรียน!AO:AO,"5",เรื่องร้องเรียน!AN:AN,"ทุ่งมหาเมฆ",เรื่องร้องเรียน!V:V,"1")</f>
        <v>0</v>
      </c>
      <c r="I55" s="362">
        <f>COUNTIFS(เรื่องร้องเรียน!E:E,"3",เรื่องร้องเรียน!AO:AO,"5",เรื่องร้องเรียน!AN:AN,"ทุ่งมหาเมฆ",เรื่องร้องเรียน!T:T,"1")</f>
        <v>0</v>
      </c>
      <c r="J55" s="362">
        <f>COUNTIFS(เรื่องร้องเรียน!E:E,"3",เรื่องร้องเรียน!AO:AO,"5",เรื่องร้องเรียน!AN:AN,"ทุ่งมหาเมฆ",เรื่องร้องเรียน!U:U,"1")</f>
        <v>0</v>
      </c>
      <c r="K55" s="362">
        <f>COUNTIFS(เรื่องร้องเรียน!E:E,"3",เรื่องร้องเรียน!AO:AO,"5",เรื่องร้องเรียน!AN:AN,"ทุ่งมหาเมฆ",เรื่องร้องเรียน!V:V,"1")</f>
        <v>0</v>
      </c>
      <c r="L55" s="363">
        <f>COUNTIFS(เรื่องร้องเรียน!E:E,"4",เรื่องร้องเรียน!AO:AO,"5",เรื่องร้องเรียน!AN:AN,"ทุ่งมหาเมฆ")</f>
        <v>0</v>
      </c>
      <c r="M55" s="364"/>
      <c r="N55" s="313">
        <f t="shared" si="12"/>
        <v>0</v>
      </c>
      <c r="O55" s="367">
        <f>COUNTIFS(เรื่องร้องเรียน!AO:AO,"5",เรื่องร้องเรียน!AN:AN,"ทุ่งมหาเมฆ",เรื่องร้องเรียน!CL:CL,"1")</f>
        <v>0</v>
      </c>
      <c r="P55" s="370">
        <f>COUNTIFS(เรื่องร้องเรียน!E:E,"1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Q55" s="109">
        <f>COUNTIFS(เรื่องร้องเรียน!E:E,"2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R55" s="109">
        <f>COUNTIFS(เรื่องร้องเรียน!E:E,"3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S55" s="109">
        <f>COUNTIFS(เรื่องร้องเรียน!E:E,"4",เรื่องร้องเรียน!AO:AO,"5",เรื่องร้องเรียน!AN:AN,"ทุ่งมหาเมฆ",เรื่องร้องเรียน!AQ:AQ,"1",เรื่องร้องเรียน!CL:CL,"")</f>
        <v>0</v>
      </c>
      <c r="T55" s="371"/>
      <c r="U55" s="241">
        <f t="shared" si="3"/>
        <v>0</v>
      </c>
      <c r="V55" s="317">
        <f t="shared" si="1"/>
        <v>0</v>
      </c>
      <c r="W55" s="339">
        <f>COUNTIFS(เรื่องร้องเรียน!AO:AO,"5",เรื่องร้องเรียน!AN:AN,"ทุ่งมหาเมฆ",เรื่องร้องเรียน!CT:CT,"บำบัด")</f>
        <v>0</v>
      </c>
      <c r="X55" s="334">
        <f>COUNTIFS(เรื่องร้องเรียน!AO:AO,"5",เรื่องร้องเรียน!AN:AN,"ทุ่งมหาเมฆ",เรื่องร้องเรียน!CT:CT,"อาการทางจิต")</f>
        <v>0</v>
      </c>
    </row>
    <row r="56" spans="1:25">
      <c r="A56" s="322"/>
      <c r="B56" s="108" t="s">
        <v>108</v>
      </c>
      <c r="C56" s="359">
        <f>COUNTIFS(เรื่องร้องเรียน!E:E,"1",เรื่องร้องเรียน!AO:AO,"5",เรื่องร้องเรียน!AN:AN,"บางนา",เรื่องร้องเรียน!T:T,"1")</f>
        <v>0</v>
      </c>
      <c r="D56" s="360">
        <f>COUNTIFS(เรื่องร้องเรียน!E:E,"1",เรื่องร้องเรียน!AO:AO,"5",เรื่องร้องเรียน!AN:AN,"บางนา",เรื่องร้องเรียน!U:U,"1")</f>
        <v>0</v>
      </c>
      <c r="E56" s="360">
        <f>COUNTIFS(เรื่องร้องเรียน!E:E,"1",เรื่องร้องเรียน!AO:AO,"5",เรื่องร้องเรียน!AN:AN,"บางนา",เรื่องร้องเรียน!V:V,"1")</f>
        <v>0</v>
      </c>
      <c r="F56" s="361">
        <f>COUNTIFS(เรื่องร้องเรียน!E:E,"2",เรื่องร้องเรียน!AO:AO,"5",เรื่องร้องเรียน!AN:AN,"บางนา",เรื่องร้องเรียน!T:T,"1")</f>
        <v>0</v>
      </c>
      <c r="G56" s="361">
        <f>COUNTIFS(เรื่องร้องเรียน!E:E,"2",เรื่องร้องเรียน!AO:AO,"5",เรื่องร้องเรียน!AN:AN,"บางนา",เรื่องร้องเรียน!U:U,"1")</f>
        <v>0</v>
      </c>
      <c r="H56" s="361">
        <f>COUNTIFS(เรื่องร้องเรียน!E:E,"2",เรื่องร้องเรียน!AO:AO,"5",เรื่องร้องเรียน!AN:AN,"บางนา",เรื่องร้องเรียน!V:V,"1")</f>
        <v>0</v>
      </c>
      <c r="I56" s="362">
        <f>COUNTIFS(เรื่องร้องเรียน!E:E,"3",เรื่องร้องเรียน!AO:AO,"5",เรื่องร้องเรียน!AN:AN,"บางนา",เรื่องร้องเรียน!T:T,"1")</f>
        <v>0</v>
      </c>
      <c r="J56" s="362">
        <f>COUNTIFS(เรื่องร้องเรียน!E:E,"3",เรื่องร้องเรียน!AO:AO,"5",เรื่องร้องเรียน!AN:AN,"บางนา",เรื่องร้องเรียน!U:U,"1")</f>
        <v>0</v>
      </c>
      <c r="K56" s="362">
        <f>COUNTIFS(เรื่องร้องเรียน!E:E,"3",เรื่องร้องเรียน!AO:AO,"5",เรื่องร้องเรียน!AN:AN,"บางนา",เรื่องร้องเรียน!V:V,"1")</f>
        <v>0</v>
      </c>
      <c r="L56" s="363">
        <f>COUNTIFS(เรื่องร้องเรียน!E:E,"4",เรื่องร้องเรียน!AO:AO,"5",เรื่องร้องเรียน!AN:AN,"บางนา")</f>
        <v>0</v>
      </c>
      <c r="M56" s="364"/>
      <c r="N56" s="313">
        <f t="shared" si="12"/>
        <v>0</v>
      </c>
      <c r="O56" s="367">
        <f>COUNTIFS(เรื่องร้องเรียน!AO:AO,"5",เรื่องร้องเรียน!AN:AN,"บางนา",เรื่องร้องเรียน!CL:CL,"1")</f>
        <v>0</v>
      </c>
      <c r="P56" s="370">
        <f>COUNTIFS(เรื่องร้องเรียน!E:E,"1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Q56" s="109">
        <f>COUNTIFS(เรื่องร้องเรียน!E:E,"2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R56" s="109">
        <f>COUNTIFS(เรื่องร้องเรียน!E:E,"3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S56" s="109">
        <f>COUNTIFS(เรื่องร้องเรียน!E:E,"4",เรื่องร้องเรียน!AO:AO,"5",เรื่องร้องเรียน!AN:AN,"บางนา",เรื่องร้องเรียน!AQ:AQ,"1",เรื่องร้องเรียน!CL:CL,"")</f>
        <v>0</v>
      </c>
      <c r="T56" s="371"/>
      <c r="U56" s="241">
        <f t="shared" si="3"/>
        <v>0</v>
      </c>
      <c r="V56" s="317">
        <f t="shared" si="1"/>
        <v>0</v>
      </c>
      <c r="W56" s="339">
        <f>COUNTIFS(เรื่องร้องเรียน!AO:AO,"5",เรื่องร้องเรียน!AN:AN,"บางนา",เรื่องร้องเรียน!CT:CT,"บำบัด")</f>
        <v>0</v>
      </c>
      <c r="X56" s="334">
        <f>COUNTIFS(เรื่องร้องเรียน!AO:AO,"5",เรื่องร้องเรียน!AN:AN,"บางนา",เรื่องร้องเรียน!CT:CT,"อาการทางจิต")</f>
        <v>0</v>
      </c>
    </row>
    <row r="57" spans="1:25">
      <c r="A57" s="322"/>
      <c r="B57" s="108" t="s">
        <v>180</v>
      </c>
      <c r="C57" s="359">
        <f>COUNTIFS(เรื่องร้องเรียน!E:E,"1",เรื่องร้องเรียน!AO:AO,"5",เรื่องร้องเรียน!AN:AN,"บางโพงพาง",เรื่องร้องเรียน!T:T,"1")</f>
        <v>0</v>
      </c>
      <c r="D57" s="360">
        <f>COUNTIFS(เรื่องร้องเรียน!E:E,"1",เรื่องร้องเรียน!AO:AO,"5",เรื่องร้องเรียน!AN:AN,"บางโพงพาง",เรื่องร้องเรียน!U:U,"1")</f>
        <v>0</v>
      </c>
      <c r="E57" s="360">
        <f>COUNTIFS(เรื่องร้องเรียน!E:E,"1",เรื่องร้องเรียน!AO:AO,"5",เรื่องร้องเรียน!AN:AN,"บางโพงพาง",เรื่องร้องเรียน!V:V,"1")</f>
        <v>0</v>
      </c>
      <c r="F57" s="361">
        <f>COUNTIFS(เรื่องร้องเรียน!E:E,"2",เรื่องร้องเรียน!AO:AO,"5",เรื่องร้องเรียน!AN:AN,"บางโพงพาง",เรื่องร้องเรียน!T:T,"1")</f>
        <v>0</v>
      </c>
      <c r="G57" s="361">
        <f>COUNTIFS(เรื่องร้องเรียน!E:E,"2",เรื่องร้องเรียน!AO:AO,"5",เรื่องร้องเรียน!AN:AN,"บางโพงพาง",เรื่องร้องเรียน!U:U,"1")</f>
        <v>0</v>
      </c>
      <c r="H57" s="361">
        <f>COUNTIFS(เรื่องร้องเรียน!E:E,"2",เรื่องร้องเรียน!AO:AO,"5",เรื่องร้องเรียน!AN:AN,"บางโพงพาง",เรื่องร้องเรียน!V:V,"1")</f>
        <v>0</v>
      </c>
      <c r="I57" s="362">
        <f>COUNTIFS(เรื่องร้องเรียน!E:E,"3",เรื่องร้องเรียน!AO:AO,"5",เรื่องร้องเรียน!AN:AN,"บางโพงพาง",เรื่องร้องเรียน!T:T,"1")</f>
        <v>0</v>
      </c>
      <c r="J57" s="362">
        <f>COUNTIFS(เรื่องร้องเรียน!E:E,"3",เรื่องร้องเรียน!AO:AO,"5",เรื่องร้องเรียน!AN:AN,"บางโพงพาง",เรื่องร้องเรียน!U:U,"1")</f>
        <v>0</v>
      </c>
      <c r="K57" s="362">
        <f>COUNTIFS(เรื่องร้องเรียน!E:E,"3",เรื่องร้องเรียน!AO:AO,"5",เรื่องร้องเรียน!AN:AN,"บางโพงพาง",เรื่องร้องเรียน!V:V,"1")</f>
        <v>0</v>
      </c>
      <c r="L57" s="363">
        <f>COUNTIFS(เรื่องร้องเรียน!E:E,"4",เรื่องร้องเรียน!AO:AO,"5",เรื่องร้องเรียน!AN:AN,"บางโพงพาง")</f>
        <v>0</v>
      </c>
      <c r="M57" s="364"/>
      <c r="N57" s="313">
        <f t="shared" si="12"/>
        <v>0</v>
      </c>
      <c r="O57" s="367">
        <f>COUNTIFS(เรื่องร้องเรียน!AO:AO,"5",เรื่องร้องเรียน!AN:AN,"บางโพงพาง",เรื่องร้องเรียน!CL:CL,"1")</f>
        <v>0</v>
      </c>
      <c r="P57" s="370">
        <f>COUNTIFS(เรื่องร้องเรียน!E:E,"1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Q57" s="109">
        <f>COUNTIFS(เรื่องร้องเรียน!E:E,"2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R57" s="109">
        <f>COUNTIFS(เรื่องร้องเรียน!E:E,"3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S57" s="109">
        <f>COUNTIFS(เรื่องร้องเรียน!E:E,"4",เรื่องร้องเรียน!AO:AO,"5",เรื่องร้องเรียน!AN:AN,"บางโพงพาง",เรื่องร้องเรียน!AQ:AQ,"1",เรื่องร้องเรียน!CL:CL,"")</f>
        <v>0</v>
      </c>
      <c r="T57" s="371"/>
      <c r="U57" s="241">
        <f t="shared" si="3"/>
        <v>0</v>
      </c>
      <c r="V57" s="317">
        <f t="shared" si="1"/>
        <v>0</v>
      </c>
      <c r="W57" s="339">
        <f>COUNTIFS(เรื่องร้องเรียน!AO:AO,"5",เรื่องร้องเรียน!AN:AN,"บางโพงพาง",เรื่องร้องเรียน!CT:CT,"บำบัด")</f>
        <v>0</v>
      </c>
      <c r="X57" s="334">
        <f>COUNTIFS(เรื่องร้องเรียน!AO:AO,"5",เรื่องร้องเรียน!AN:AN,"บางโพงพาง",เรื่องร้องเรียน!CT:CT,"อาการทางจิต")</f>
        <v>0</v>
      </c>
    </row>
    <row r="58" spans="1:25">
      <c r="A58" s="322"/>
      <c r="B58" s="108" t="s">
        <v>115</v>
      </c>
      <c r="C58" s="359">
        <f>COUNTIFS(เรื่องร้องเรียน!E:E,"1",เรื่องร้องเรียน!AO:AO,"5",เรื่องร้องเรียน!AN:AN,"พระโขนง",เรื่องร้องเรียน!T:T,"1")</f>
        <v>0</v>
      </c>
      <c r="D58" s="360">
        <f>COUNTIFS(เรื่องร้องเรียน!E:E,"1",เรื่องร้องเรียน!AO:AO,"5",เรื่องร้องเรียน!AN:AN,"พระโขนง",เรื่องร้องเรียน!U:U,"1")</f>
        <v>0</v>
      </c>
      <c r="E58" s="360">
        <f>COUNTIFS(เรื่องร้องเรียน!E:E,"1",เรื่องร้องเรียน!AO:AO,"5",เรื่องร้องเรียน!AN:AN,"พระโขนง",เรื่องร้องเรียน!V:V,"1")</f>
        <v>0</v>
      </c>
      <c r="F58" s="361">
        <f>COUNTIFS(เรื่องร้องเรียน!E:E,"2",เรื่องร้องเรียน!AO:AO,"5",เรื่องร้องเรียน!AN:AN,"พระโขนง",เรื่องร้องเรียน!T:T,"1")</f>
        <v>0</v>
      </c>
      <c r="G58" s="361">
        <f>COUNTIFS(เรื่องร้องเรียน!E:E,"2",เรื่องร้องเรียน!AO:AO,"5",เรื่องร้องเรียน!AN:AN,"พระโขนง",เรื่องร้องเรียน!U:U,"1")</f>
        <v>0</v>
      </c>
      <c r="H58" s="361">
        <f>COUNTIFS(เรื่องร้องเรียน!E:E,"2",เรื่องร้องเรียน!AO:AO,"5",เรื่องร้องเรียน!AN:AN,"พระโขนง",เรื่องร้องเรียน!V:V,"1")</f>
        <v>0</v>
      </c>
      <c r="I58" s="362">
        <f>COUNTIFS(เรื่องร้องเรียน!E:E,"3",เรื่องร้องเรียน!AO:AO,"5",เรื่องร้องเรียน!AN:AN,"พระโขนง",เรื่องร้องเรียน!T:T,"1")</f>
        <v>0</v>
      </c>
      <c r="J58" s="362">
        <f>COUNTIFS(เรื่องร้องเรียน!E:E,"3",เรื่องร้องเรียน!AO:AO,"5",เรื่องร้องเรียน!AN:AN,"พระโขนง",เรื่องร้องเรียน!U:U,"1")</f>
        <v>0</v>
      </c>
      <c r="K58" s="362">
        <f>COUNTIFS(เรื่องร้องเรียน!E:E,"3",เรื่องร้องเรียน!AO:AO,"5",เรื่องร้องเรียน!AN:AN,"พระโขนง",เรื่องร้องเรียน!V:V,"1")</f>
        <v>0</v>
      </c>
      <c r="L58" s="363">
        <f>COUNTIFS(เรื่องร้องเรียน!E:E,"4",เรื่องร้องเรียน!AO:AO,"5",เรื่องร้องเรียน!AN:AN,"พระโขนง")</f>
        <v>0</v>
      </c>
      <c r="M58" s="364"/>
      <c r="N58" s="313">
        <f t="shared" si="12"/>
        <v>0</v>
      </c>
      <c r="O58" s="367">
        <f>COUNTIFS(เรื่องร้องเรียน!AO:AO,"5",เรื่องร้องเรียน!AN:AN,"พระโขนง",เรื่องร้องเรียน!CL:CL,"1")</f>
        <v>0</v>
      </c>
      <c r="P58" s="370">
        <f>COUNTIFS(เรื่องร้องเรียน!E:E,"1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Q58" s="109">
        <f>COUNTIFS(เรื่องร้องเรียน!E:E,"2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R58" s="109">
        <f>COUNTIFS(เรื่องร้องเรียน!E:E,"3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S58" s="109">
        <f>COUNTIFS(เรื่องร้องเรียน!E:E,"4",เรื่องร้องเรียน!AO:AO,"5",เรื่องร้องเรียน!AN:AN,"พระโขนง",เรื่องร้องเรียน!AQ:AQ,"1",เรื่องร้องเรียน!CL:CL,"")</f>
        <v>0</v>
      </c>
      <c r="T58" s="371"/>
      <c r="U58" s="241">
        <f t="shared" si="3"/>
        <v>0</v>
      </c>
      <c r="V58" s="317">
        <f t="shared" si="1"/>
        <v>0</v>
      </c>
      <c r="W58" s="339">
        <f>COUNTIFS(เรื่องร้องเรียน!AO:AO,"5",เรื่องร้องเรียน!AN:AN,"พระโขนง",เรื่องร้องเรียน!CT:CT,"บำบัด")</f>
        <v>0</v>
      </c>
      <c r="X58" s="334">
        <f>COUNTIFS(เรื่องร้องเรียน!AO:AO,"5",เรื่องร้องเรียน!AN:AN,"พระโขนง",เรื่องร้องเรียน!CT:CT,"อาการทางจิต")</f>
        <v>0</v>
      </c>
      <c r="Y58" s="444" t="s">
        <v>251</v>
      </c>
    </row>
    <row r="59" spans="1:25">
      <c r="A59" s="322"/>
      <c r="B59" s="108" t="s">
        <v>98</v>
      </c>
      <c r="C59" s="359">
        <f>COUNTIFS(เรื่องร้องเรียน!E:E,"1",เรื่องร้องเรียน!AO:AO,"5",เรื่องร้องเรียน!AN:AN,"ลุมพินี",เรื่องร้องเรียน!T:T,"1")</f>
        <v>0</v>
      </c>
      <c r="D59" s="360">
        <f>COUNTIFS(เรื่องร้องเรียน!E:E,"1",เรื่องร้องเรียน!AO:AO,"5",เรื่องร้องเรียน!AN:AN,"ลุมพินี",เรื่องร้องเรียน!U:U,"1")</f>
        <v>0</v>
      </c>
      <c r="E59" s="360">
        <f>COUNTIFS(เรื่องร้องเรียน!E:E,"1",เรื่องร้องเรียน!AO:AO,"5",เรื่องร้องเรียน!AN:AN,"ลุมพินี",เรื่องร้องเรียน!V:V,"1")</f>
        <v>0</v>
      </c>
      <c r="F59" s="361">
        <f>COUNTIFS(เรื่องร้องเรียน!E:E,"2",เรื่องร้องเรียน!AO:AO,"5",เรื่องร้องเรียน!AN:AN,"ลุมพินี",เรื่องร้องเรียน!T:T,"1")</f>
        <v>0</v>
      </c>
      <c r="G59" s="361">
        <f>COUNTIFS(เรื่องร้องเรียน!E:E,"2",เรื่องร้องเรียน!AO:AO,"5",เรื่องร้องเรียน!AN:AN,"ลุมพินี",เรื่องร้องเรียน!U:U,"1")</f>
        <v>0</v>
      </c>
      <c r="H59" s="361">
        <f>COUNTIFS(เรื่องร้องเรียน!E:E,"2",เรื่องร้องเรียน!AO:AO,"5",เรื่องร้องเรียน!AN:AN,"ลุมพินี",เรื่องร้องเรียน!V:V,"1")</f>
        <v>0</v>
      </c>
      <c r="I59" s="362">
        <f>COUNTIFS(เรื่องร้องเรียน!E:E,"3",เรื่องร้องเรียน!AO:AO,"5",เรื่องร้องเรียน!AN:AN,"ลุมพินี",เรื่องร้องเรียน!T:T,"1")</f>
        <v>0</v>
      </c>
      <c r="J59" s="362">
        <f>COUNTIFS(เรื่องร้องเรียน!E:E,"3",เรื่องร้องเรียน!AO:AO,"5",เรื่องร้องเรียน!AN:AN,"ลุมพินี",เรื่องร้องเรียน!U:U,"1")</f>
        <v>0</v>
      </c>
      <c r="K59" s="362">
        <f>COUNTIFS(เรื่องร้องเรียน!E:E,"3",เรื่องร้องเรียน!AO:AO,"5",เรื่องร้องเรียน!AN:AN,"ลุมพินี",เรื่องร้องเรียน!V:V,"1")</f>
        <v>0</v>
      </c>
      <c r="L59" s="363">
        <f>COUNTIFS(เรื่องร้องเรียน!E:E,"4",เรื่องร้องเรียน!AO:AO,"5",เรื่องร้องเรียน!AN:AN,"ลุมพินี")</f>
        <v>0</v>
      </c>
      <c r="M59" s="364"/>
      <c r="N59" s="313">
        <f t="shared" si="12"/>
        <v>0</v>
      </c>
      <c r="O59" s="367">
        <f>COUNTIFS(เรื่องร้องเรียน!AO:AO,"5",เรื่องร้องเรียน!AN:AN,"ลุมพินี",เรื่องร้องเรียน!CL:CL,"1")</f>
        <v>0</v>
      </c>
      <c r="P59" s="370">
        <f>COUNTIFS(เรื่องร้องเรียน!E:E,"1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Q59" s="109">
        <f>COUNTIFS(เรื่องร้องเรียน!E:E,"2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R59" s="109">
        <f>COUNTIFS(เรื่องร้องเรียน!E:E,"3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S59" s="109">
        <f>COUNTIFS(เรื่องร้องเรียน!E:E,"4",เรื่องร้องเรียน!AO:AO,"5",เรื่องร้องเรียน!AN:AN,"ลุมพินี",เรื่องร้องเรียน!AQ:AQ,"1",เรื่องร้องเรียน!CL:CL,"")</f>
        <v>0</v>
      </c>
      <c r="T59" s="371"/>
      <c r="U59" s="241">
        <f t="shared" si="3"/>
        <v>0</v>
      </c>
      <c r="V59" s="317">
        <f t="shared" si="1"/>
        <v>0</v>
      </c>
      <c r="W59" s="339">
        <f>COUNTIFS(เรื่องร้องเรียน!AO:AO,"5",เรื่องร้องเรียน!AN:AN,"ลุมพินี",เรื่องร้องเรียน!CT:CT,"บำบัด")</f>
        <v>0</v>
      </c>
      <c r="X59" s="334">
        <f>COUNTIFS(เรื่องร้องเรียน!AO:AO,"5",เรื่องร้องเรียน!AN:AN,"ลุมพินี",เรื่องร้องเรียน!CT:CT,"อาการทางจิต")</f>
        <v>0</v>
      </c>
    </row>
    <row r="60" spans="1:25" ht="21.6" thickBot="1">
      <c r="A60" s="323"/>
      <c r="B60" s="112" t="s">
        <v>104</v>
      </c>
      <c r="C60" s="289">
        <f>COUNTIFS(เรื่องร้องเรียน!E:E,"1",เรื่องร้องเรียน!AO:AO,"5",เรื่องร้องเรียน!AN:AN,"วัดพระยาไกร",เรื่องร้องเรียน!T:T,"1")</f>
        <v>0</v>
      </c>
      <c r="D60" s="290">
        <f>COUNTIFS(เรื่องร้องเรียน!E:E,"1",เรื่องร้องเรียน!AO:AO,"5",เรื่องร้องเรียน!AN:AN,"วัดพระยาไกร",เรื่องร้องเรียน!U:U,"1")</f>
        <v>0</v>
      </c>
      <c r="E60" s="290">
        <f>COUNTIFS(เรื่องร้องเรียน!E:E,"1",เรื่องร้องเรียน!AO:AO,"5",เรื่องร้องเรียน!AN:AN,"วัดพระยาไกร",เรื่องร้องเรียน!V:V,"1")</f>
        <v>0</v>
      </c>
      <c r="F60" s="291">
        <f>COUNTIFS(เรื่องร้องเรียน!E:E,"2",เรื่องร้องเรียน!AO:AO,"5",เรื่องร้องเรียน!AN:AN,"วัดพระยาไกร",เรื่องร้องเรียน!T:T,"1")</f>
        <v>0</v>
      </c>
      <c r="G60" s="291">
        <f>COUNTIFS(เรื่องร้องเรียน!E:E,"2",เรื่องร้องเรียน!AO:AO,"5",เรื่องร้องเรียน!AN:AN,"วัดพระยาไกร",เรื่องร้องเรียน!U:U,"1")</f>
        <v>0</v>
      </c>
      <c r="H60" s="291">
        <f>COUNTIFS(เรื่องร้องเรียน!E:E,"2",เรื่องร้องเรียน!AO:AO,"5",เรื่องร้องเรียน!AN:AN,"วัดพระยาไกร",เรื่องร้องเรียน!V:V,"1")</f>
        <v>0</v>
      </c>
      <c r="I60" s="292">
        <f>COUNTIFS(เรื่องร้องเรียน!E:E,"3",เรื่องร้องเรียน!AO:AO,"5",เรื่องร้องเรียน!AN:AN,"วัดพระยาไกร",เรื่องร้องเรียน!T:T,"1")</f>
        <v>0</v>
      </c>
      <c r="J60" s="292">
        <f>COUNTIFS(เรื่องร้องเรียน!E:E,"3",เรื่องร้องเรียน!AO:AO,"5",เรื่องร้องเรียน!AN:AN,"วัดพระยาไกร",เรื่องร้องเรียน!U:U,"1")</f>
        <v>0</v>
      </c>
      <c r="K60" s="292">
        <f>COUNTIFS(เรื่องร้องเรียน!E:E,"3",เรื่องร้องเรียน!AO:AO,"5",เรื่องร้องเรียน!AN:AN,"วัดพระยาไกร",เรื่องร้องเรียน!V:V,"1")</f>
        <v>0</v>
      </c>
      <c r="L60" s="293">
        <f>COUNTIFS(เรื่องร้องเรียน!E:E,"4",เรื่องร้องเรียน!AO:AO,"5",เรื่องร้องเรียน!AN:AN,"วัดพระยาไกร")</f>
        <v>0</v>
      </c>
      <c r="M60" s="365"/>
      <c r="N60" s="314">
        <f t="shared" si="12"/>
        <v>0</v>
      </c>
      <c r="O60" s="350">
        <f>COUNTIFS(เรื่องร้องเรียน!AO:AO,"5",เรื่องร้องเรียน!AN:AN,"วัดพระยาไกร",เรื่องร้องเรียน!CL:CL,"1")</f>
        <v>0</v>
      </c>
      <c r="P60" s="245">
        <f>COUNTIFS(เรื่องร้องเรียน!E:E,"1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Q60" s="124">
        <f>COUNTIFS(เรื่องร้องเรียน!E:E,"2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R60" s="124">
        <f>COUNTIFS(เรื่องร้องเรียน!E:E,"3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S60" s="124">
        <f>COUNTIFS(เรื่องร้องเรียน!E:E,"4",เรื่องร้องเรียน!AO:AO,"5",เรื่องร้องเรียน!AN:AN,"วัดพระยาไกร",เรื่องร้องเรียน!AQ:AQ,"1",เรื่องร้องเรียน!CL:CL,"")</f>
        <v>0</v>
      </c>
      <c r="T60" s="333"/>
      <c r="U60" s="237">
        <f t="shared" si="3"/>
        <v>0</v>
      </c>
      <c r="V60" s="318">
        <f t="shared" si="1"/>
        <v>0</v>
      </c>
      <c r="W60" s="343">
        <f>COUNTIFS(เรื่องร้องเรียน!AO:AO,"5",เรื่องร้องเรียน!AN:AN,"วัดพระยาไกร",เรื่องร้องเรียน!CT:CT,"บำบัด")</f>
        <v>0</v>
      </c>
      <c r="X60" s="336">
        <f>COUNTIFS(เรื่องร้องเรียน!AO:AO,"5",เรื่องร้องเรียน!AN:AN,"วัดพระยาไกร",เรื่องร้องเรียน!CT:CT,"อาการทางจิต")</f>
        <v>0</v>
      </c>
    </row>
    <row r="61" spans="1:25" ht="21.6" thickBot="1">
      <c r="A61" s="320">
        <v>6</v>
      </c>
      <c r="B61" s="282"/>
      <c r="C61" s="283">
        <f>SUM(C62:C69)</f>
        <v>0</v>
      </c>
      <c r="D61" s="284">
        <f t="shared" ref="D61:S61" si="13">SUM(D62:D69)</f>
        <v>0</v>
      </c>
      <c r="E61" s="284">
        <f t="shared" si="13"/>
        <v>0</v>
      </c>
      <c r="F61" s="284">
        <f t="shared" si="13"/>
        <v>0</v>
      </c>
      <c r="G61" s="284">
        <f t="shared" si="13"/>
        <v>0</v>
      </c>
      <c r="H61" s="284">
        <f>SUM(H62:H69)</f>
        <v>0</v>
      </c>
      <c r="I61" s="284">
        <f t="shared" si="13"/>
        <v>0</v>
      </c>
      <c r="J61" s="284">
        <f t="shared" si="13"/>
        <v>0</v>
      </c>
      <c r="K61" s="284">
        <f t="shared" si="13"/>
        <v>0</v>
      </c>
      <c r="L61" s="288">
        <f t="shared" si="13"/>
        <v>0</v>
      </c>
      <c r="M61" s="332"/>
      <c r="N61" s="311">
        <f>SUM(N62:N69)</f>
        <v>0</v>
      </c>
      <c r="O61" s="349">
        <f>SUM(O62:O69)</f>
        <v>0</v>
      </c>
      <c r="P61" s="285">
        <f t="shared" si="13"/>
        <v>0</v>
      </c>
      <c r="Q61" s="284">
        <f t="shared" si="13"/>
        <v>0</v>
      </c>
      <c r="R61" s="284">
        <f t="shared" si="13"/>
        <v>0</v>
      </c>
      <c r="S61" s="284">
        <f t="shared" si="13"/>
        <v>0</v>
      </c>
      <c r="T61" s="332"/>
      <c r="U61" s="287">
        <f t="shared" si="3"/>
        <v>0</v>
      </c>
      <c r="V61" s="315">
        <f t="shared" si="1"/>
        <v>0</v>
      </c>
      <c r="W61" s="341">
        <f>SUM(W62:W69)</f>
        <v>0</v>
      </c>
      <c r="X61" s="342">
        <f>SUM(X62:X69)</f>
        <v>0</v>
      </c>
    </row>
    <row r="62" spans="1:25">
      <c r="A62" s="321"/>
      <c r="B62" s="99" t="s">
        <v>181</v>
      </c>
      <c r="C62" s="353">
        <f>COUNTIFS(เรื่องร้องเรียน!E:E,"1",เรื่องร้องเรียน!AO:AO,"6",เรื่องร้องเรียน!AN:AN,"จักรวรรดิ",เรื่องร้องเรียน!T:T,"1")</f>
        <v>0</v>
      </c>
      <c r="D62" s="354">
        <f>COUNTIFS(เรื่องร้องเรียน!E:E,"1",เรื่องร้องเรียน!AO:AO,"6",เรื่องร้องเรียน!AN:AN,"จักรวรรดิ",เรื่องร้องเรียน!U:U,"1")</f>
        <v>0</v>
      </c>
      <c r="E62" s="354">
        <f>COUNTIFS(เรื่องร้องเรียน!E:E,"1",เรื่องร้องเรียน!AO:AO,"6",เรื่องร้องเรียน!AN:AN,"จักรวรรดิ",เรื่องร้องเรียน!V:V,"1")</f>
        <v>0</v>
      </c>
      <c r="F62" s="355">
        <f>COUNTIFS(เรื่องร้องเรียน!E:E,"2",เรื่องร้องเรียน!AO:AO,"6",เรื่องร้องเรียน!AN:AN,"จักรวรรดิ",เรื่องร้องเรียน!T:T,"1")</f>
        <v>0</v>
      </c>
      <c r="G62" s="355">
        <f>COUNTIFS(เรื่องร้องเรียน!E:E,"2",เรื่องร้องเรียน!AO:AO,"6",เรื่องร้องเรียน!AN:AN,"จักรวรรดิ",เรื่องร้องเรียน!U:U,"1")</f>
        <v>0</v>
      </c>
      <c r="H62" s="355">
        <f>COUNTIFS(เรื่องร้องเรียน!E:E,"2",เรื่องร้องเรียน!AO:AO,"6",เรื่องร้องเรียน!AN:AN,"จักรวรรดิ",เรื่องร้องเรียน!V:V,"1")</f>
        <v>0</v>
      </c>
      <c r="I62" s="356">
        <f>COUNTIFS(เรื่องร้องเรียน!E:E,"3",เรื่องร้องเรียน!AO:AO,"6",เรื่องร้องเรียน!AN:AN,"จักรวรรดิ",เรื่องร้องเรียน!T:T,"1")</f>
        <v>0</v>
      </c>
      <c r="J62" s="356">
        <f>COUNTIFS(เรื่องร้องเรียน!E:E,"3",เรื่องร้องเรียน!AO:AO,"6",เรื่องร้องเรียน!AN:AN,"จักรวรรดิ",เรื่องร้องเรียน!U:U,"1")</f>
        <v>0</v>
      </c>
      <c r="K62" s="356">
        <f>COUNTIFS(เรื่องร้องเรียน!E:E,"3",เรื่องร้องเรียน!AO:AO,"6",เรื่องร้องเรียน!AN:AN,"จักรวรรดิ",เรื่องร้องเรียน!V:V,"1")</f>
        <v>0</v>
      </c>
      <c r="L62" s="357">
        <f>COUNTIFS(เรื่องร้องเรียน!E:E,"4",เรื่องร้องเรียน!AO:AO,"6",เรื่องร้องเรียน!AN:AN,"จักรวรรดิ")</f>
        <v>0</v>
      </c>
      <c r="M62" s="358"/>
      <c r="N62" s="312">
        <f t="shared" ref="N62:N69" si="14">SUM(C62:L62)</f>
        <v>0</v>
      </c>
      <c r="O62" s="366">
        <f>COUNTIFS(เรื่องร้องเรียน!AO:AO,"6",เรื่องร้องเรียน!AN:AN,"จักรวรรดิ",เรื่องร้องเรียน!CL:CL,"1")</f>
        <v>0</v>
      </c>
      <c r="P62" s="368">
        <f>COUNTIFS(เรื่องร้องเรียน!E:E,"1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Q62" s="105">
        <f>COUNTIFS(เรื่องร้องเรียน!E:E,"2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R62" s="105">
        <f>COUNTIFS(เรื่องร้องเรียน!E:E,"3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S62" s="105">
        <f>COUNTIFS(เรื่องร้องเรียน!E:E,"4",เรื่องร้องเรียน!AO:AO,"6",เรื่องร้องเรียน!AN:AN,"จักรวรรดิ",เรื่องร้องเรียน!AQ:AQ,"1",เรื่องร้องเรียน!CL:CL,"")</f>
        <v>0</v>
      </c>
      <c r="T62" s="369"/>
      <c r="U62" s="240">
        <f t="shared" si="3"/>
        <v>0</v>
      </c>
      <c r="V62" s="316">
        <f t="shared" si="1"/>
        <v>0</v>
      </c>
      <c r="W62" s="339">
        <f>COUNTIFS(เรื่องร้องเรียน!AO:AO,"6",เรื่องร้องเรียน!AN:AN,"จักรวรรดิ",เรื่องร้องเรียน!CT:CT,"บำบัด")</f>
        <v>0</v>
      </c>
      <c r="X62" s="340">
        <f>COUNTIFS(เรื่องร้องเรียน!AO:AO,"6",เรื่องร้องเรียน!AN:AN,"จักรวรรดิ",เรื่องร้องเรียน!CT:CT,"อาการทางจิต")</f>
        <v>0</v>
      </c>
    </row>
    <row r="63" spans="1:25">
      <c r="A63" s="322"/>
      <c r="B63" s="108" t="s">
        <v>125</v>
      </c>
      <c r="C63" s="359">
        <f>COUNTIFS(เรื่องร้องเรียน!E:E,"1",เรื่องร้องเรียน!AO:AO,"6",เรื่องร้องเรียน!AN:AN,"บางรัก",เรื่องร้องเรียน!T:T,"1")</f>
        <v>0</v>
      </c>
      <c r="D63" s="360">
        <f>COUNTIFS(เรื่องร้องเรียน!E:E,"1",เรื่องร้องเรียน!AO:AO,"6",เรื่องร้องเรียน!AN:AN,"บางรัก",เรื่องร้องเรียน!U:U,"1")</f>
        <v>0</v>
      </c>
      <c r="E63" s="360">
        <f>COUNTIFS(เรื่องร้องเรียน!E:E,"1",เรื่องร้องเรียน!AO:AO,"6",เรื่องร้องเรียน!AN:AN,"บางรัก",เรื่องร้องเรียน!V:V,"1")</f>
        <v>0</v>
      </c>
      <c r="F63" s="361">
        <f>COUNTIFS(เรื่องร้องเรียน!E:E,"2",เรื่องร้องเรียน!AO:AO,"6",เรื่องร้องเรียน!AN:AN,"บางรัก",เรื่องร้องเรียน!T:T,"1")</f>
        <v>0</v>
      </c>
      <c r="G63" s="361">
        <f>COUNTIFS(เรื่องร้องเรียน!E:E,"2",เรื่องร้องเรียน!AO:AO,"6",เรื่องร้องเรียน!AN:AN,"บางรัก",เรื่องร้องเรียน!U:U,"1")</f>
        <v>0</v>
      </c>
      <c r="H63" s="361">
        <f>COUNTIFS(เรื่องร้องเรียน!E:E,"2",เรื่องร้องเรียน!AO:AO,"6",เรื่องร้องเรียน!AN:AN,"บางรัก",เรื่องร้องเรียน!V:V,"1")</f>
        <v>0</v>
      </c>
      <c r="I63" s="362">
        <f>COUNTIFS(เรื่องร้องเรียน!E:E,"3",เรื่องร้องเรียน!AO:AO,"6",เรื่องร้องเรียน!AN:AN,"บางรัก",เรื่องร้องเรียน!T:T,"1")</f>
        <v>0</v>
      </c>
      <c r="J63" s="362">
        <f>COUNTIFS(เรื่องร้องเรียน!E:E,"3",เรื่องร้องเรียน!AO:AO,"6",เรื่องร้องเรียน!AN:AN,"บางรัก",เรื่องร้องเรียน!U:U,"1")</f>
        <v>0</v>
      </c>
      <c r="K63" s="362">
        <f>COUNTIFS(เรื่องร้องเรียน!E:E,"3",เรื่องร้องเรียน!AO:AO,"6",เรื่องร้องเรียน!AN:AN,"บางรัก",เรื่องร้องเรียน!V:V,"1")</f>
        <v>0</v>
      </c>
      <c r="L63" s="363">
        <f>COUNTIFS(เรื่องร้องเรียน!E:E,"4",เรื่องร้องเรียน!AO:AO,"6",เรื่องร้องเรียน!AN:AN,"บางรัก")</f>
        <v>0</v>
      </c>
      <c r="M63" s="364"/>
      <c r="N63" s="313">
        <f t="shared" si="14"/>
        <v>0</v>
      </c>
      <c r="O63" s="367">
        <f>COUNTIFS(เรื่องร้องเรียน!AO:AO,"6",เรื่องร้องเรียน!AN:AN,"บางรัก",เรื่องร้องเรียน!CL:CL,"1")</f>
        <v>0</v>
      </c>
      <c r="P63" s="370">
        <f>COUNTIFS(เรื่องร้องเรียน!E:E,"1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Q63" s="109">
        <f>COUNTIFS(เรื่องร้องเรียน!E:E,"2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R63" s="109">
        <f>COUNTIFS(เรื่องร้องเรียน!E:E,"3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S63" s="109">
        <f>COUNTIFS(เรื่องร้องเรียน!E:E,"4",เรื่องร้องเรียน!AO:AO,"6",เรื่องร้องเรียน!AN:AN,"บางรัก",เรื่องร้องเรียน!AQ:AQ,"1",เรื่องร้องเรียน!CL:CL,"")</f>
        <v>0</v>
      </c>
      <c r="T63" s="371"/>
      <c r="U63" s="241">
        <f t="shared" si="3"/>
        <v>0</v>
      </c>
      <c r="V63" s="317">
        <f t="shared" si="1"/>
        <v>0</v>
      </c>
      <c r="W63" s="339">
        <f>COUNTIFS(เรื่องร้องเรียน!AO:AO,"6",เรื่องร้องเรียน!AN:AN,"บางรัก",เรื่องร้องเรียน!CT:CT,"บำบัด")</f>
        <v>0</v>
      </c>
      <c r="X63" s="340">
        <f>COUNTIFS(เรื่องร้องเรียน!AO:AO,"6",เรื่องร้องเรียน!AN:AN,"บางรัก",เรื่องร้องเรียน!CT:CT,"อาการทางจิต")</f>
        <v>0</v>
      </c>
    </row>
    <row r="64" spans="1:25">
      <c r="A64" s="322"/>
      <c r="B64" s="108" t="s">
        <v>182</v>
      </c>
      <c r="C64" s="359">
        <f>COUNTIFS(เรื่องร้องเรียน!E:E,"1",เรื่องร้องเรียน!AO:AO,"6",เรื่องร้องเรียน!AN:AN,"ปทุมวัน",เรื่องร้องเรียน!T:T,"1")</f>
        <v>0</v>
      </c>
      <c r="D64" s="360">
        <f>COUNTIFS(เรื่องร้องเรียน!E:E,"1",เรื่องร้องเรียน!AO:AO,"6",เรื่องร้องเรียน!AN:AN,"ปทุมวัน",เรื่องร้องเรียน!U:U,"1")</f>
        <v>0</v>
      </c>
      <c r="E64" s="360">
        <f>COUNTIFS(เรื่องร้องเรียน!E:E,"1",เรื่องร้องเรียน!AO:AO,"6",เรื่องร้องเรียน!AN:AN,"ปทุมวัน",เรื่องร้องเรียน!V:V,"1")</f>
        <v>0</v>
      </c>
      <c r="F64" s="361">
        <f>COUNTIFS(เรื่องร้องเรียน!E:E,"2",เรื่องร้องเรียน!AO:AO,"6",เรื่องร้องเรียน!AN:AN,"ปทุมวัน",เรื่องร้องเรียน!T:T,"1")</f>
        <v>0</v>
      </c>
      <c r="G64" s="361">
        <f>COUNTIFS(เรื่องร้องเรียน!E:E,"2",เรื่องร้องเรียน!AO:AO,"6",เรื่องร้องเรียน!AN:AN,"ปทุมวัน",เรื่องร้องเรียน!U:U,"1")</f>
        <v>0</v>
      </c>
      <c r="H64" s="361">
        <f>COUNTIFS(เรื่องร้องเรียน!E:E,"2",เรื่องร้องเรียน!AO:AO,"6",เรื่องร้องเรียน!AN:AN,"ปทุมวัน",เรื่องร้องเรียน!V:V,"1")</f>
        <v>0</v>
      </c>
      <c r="I64" s="362">
        <f>COUNTIFS(เรื่องร้องเรียน!E:E,"3",เรื่องร้องเรียน!AO:AO,"6",เรื่องร้องเรียน!AN:AN,"ปทุมวัน",เรื่องร้องเรียน!T:T,"1")</f>
        <v>0</v>
      </c>
      <c r="J64" s="362">
        <f>COUNTIFS(เรื่องร้องเรียน!E:E,"3",เรื่องร้องเรียน!AO:AO,"6",เรื่องร้องเรียน!AN:AN,"ปทุมวัน",เรื่องร้องเรียน!U:U,"1")</f>
        <v>0</v>
      </c>
      <c r="K64" s="362">
        <f>COUNTIFS(เรื่องร้องเรียน!E:E,"3",เรื่องร้องเรียน!AO:AO,"6",เรื่องร้องเรียน!AN:AN,"ปทุมวัน",เรื่องร้องเรียน!V:V,"1")</f>
        <v>0</v>
      </c>
      <c r="L64" s="363">
        <f>COUNTIFS(เรื่องร้องเรียน!E:E,"4",เรื่องร้องเรียน!AO:AO,"6",เรื่องร้องเรียน!AN:AN,"ปทุมวัน")</f>
        <v>0</v>
      </c>
      <c r="M64" s="364"/>
      <c r="N64" s="313">
        <f t="shared" si="14"/>
        <v>0</v>
      </c>
      <c r="O64" s="367">
        <f>COUNTIFS(เรื่องร้องเรียน!AO:AO,"6",เรื่องร้องเรียน!AN:AN,"ปทุมวัน",เรื่องร้องเรียน!CL:CL,"1")</f>
        <v>0</v>
      </c>
      <c r="P64" s="370">
        <f>COUNTIFS(เรื่องร้องเรียน!E:E,"1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Q64" s="109">
        <f>COUNTIFS(เรื่องร้องเรียน!E:E,"2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R64" s="109">
        <f>COUNTIFS(เรื่องร้องเรียน!E:E,"3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S64" s="109">
        <f>COUNTIFS(เรื่องร้องเรียน!E:E,"4",เรื่องร้องเรียน!AO:AO,"6",เรื่องร้องเรียน!AN:AN,"ปทุมวัน",เรื่องร้องเรียน!AQ:AQ,"1",เรื่องร้องเรียน!CL:CL,"")</f>
        <v>0</v>
      </c>
      <c r="T64" s="371"/>
      <c r="U64" s="241">
        <f t="shared" si="3"/>
        <v>0</v>
      </c>
      <c r="V64" s="317">
        <f t="shared" si="1"/>
        <v>0</v>
      </c>
      <c r="W64" s="339">
        <f>COUNTIFS(เรื่องร้องเรียน!AO:AO,"6",เรื่องร้องเรียน!AN:AN,"ปทุมวัน",เรื่องร้องเรียน!CT:CT,"บำบัด")</f>
        <v>0</v>
      </c>
      <c r="X64" s="340">
        <f>COUNTIFS(เรื่องร้องเรียน!AO:AO,"6",เรื่องร้องเรียน!AN:AN,"ปทุมวัน",เรื่องร้องเรียน!CT:CT,"อาการทางจิต")</f>
        <v>0</v>
      </c>
    </row>
    <row r="65" spans="1:24">
      <c r="A65" s="322"/>
      <c r="B65" s="108" t="s">
        <v>183</v>
      </c>
      <c r="C65" s="359">
        <f>COUNTIFS(เรื่องร้องเรียน!E:E,"1",เรื่องร้องเรียน!AO:AO,"6",เรื่องร้องเรียน!AN:AN,"พระราชวัง",เรื่องร้องเรียน!T:T,"1")</f>
        <v>0</v>
      </c>
      <c r="D65" s="360">
        <f>COUNTIFS(เรื่องร้องเรียน!E:E,"1",เรื่องร้องเรียน!AO:AO,"6",เรื่องร้องเรียน!AN:AN,"พระราชวัง",เรื่องร้องเรียน!U:U,"1")</f>
        <v>0</v>
      </c>
      <c r="E65" s="360">
        <f>COUNTIFS(เรื่องร้องเรียน!E:E,"1",เรื่องร้องเรียน!AO:AO,"6",เรื่องร้องเรียน!AN:AN,"พระราชวัง",เรื่องร้องเรียน!V:V,"1")</f>
        <v>0</v>
      </c>
      <c r="F65" s="361">
        <f>COUNTIFS(เรื่องร้องเรียน!E:E,"2",เรื่องร้องเรียน!AO:AO,"6",เรื่องร้องเรียน!AN:AN,"พระราชวัง",เรื่องร้องเรียน!T:T,"1")</f>
        <v>0</v>
      </c>
      <c r="G65" s="361">
        <f>COUNTIFS(เรื่องร้องเรียน!E:E,"2",เรื่องร้องเรียน!AO:AO,"6",เรื่องร้องเรียน!AN:AN,"พระราชวัง",เรื่องร้องเรียน!U:U,"1")</f>
        <v>0</v>
      </c>
      <c r="H65" s="361">
        <f>COUNTIFS(เรื่องร้องเรียน!E:E,"2",เรื่องร้องเรียน!AO:AO,"6",เรื่องร้องเรียน!AN:AN,"พระราชวัง",เรื่องร้องเรียน!V:V,"1")</f>
        <v>0</v>
      </c>
      <c r="I65" s="362">
        <f>COUNTIFS(เรื่องร้องเรียน!E:E,"3",เรื่องร้องเรียน!AO:AO,"6",เรื่องร้องเรียน!AN:AN,"พระราชวัง",เรื่องร้องเรียน!T:T,"1")</f>
        <v>0</v>
      </c>
      <c r="J65" s="362">
        <f>COUNTIFS(เรื่องร้องเรียน!E:E,"3",เรื่องร้องเรียน!AO:AO,"6",เรื่องร้องเรียน!AN:AN,"พระราชวัง",เรื่องร้องเรียน!U:U,"1")</f>
        <v>0</v>
      </c>
      <c r="K65" s="362">
        <f>COUNTIFS(เรื่องร้องเรียน!E:E,"3",เรื่องร้องเรียน!AO:AO,"6",เรื่องร้องเรียน!AN:AN,"พระราชวัง",เรื่องร้องเรียน!V:V,"1")</f>
        <v>0</v>
      </c>
      <c r="L65" s="363">
        <f>COUNTIFS(เรื่องร้องเรียน!E:E,"4",เรื่องร้องเรียน!AO:AO,"6",เรื่องร้องเรียน!AN:AN,"พระราชวัง")</f>
        <v>0</v>
      </c>
      <c r="M65" s="364"/>
      <c r="N65" s="313">
        <f t="shared" si="14"/>
        <v>0</v>
      </c>
      <c r="O65" s="367">
        <f>COUNTIFS(เรื่องร้องเรียน!AO:AO,"6",เรื่องร้องเรียน!AN:AN,"พระราชวัง",เรื่องร้องเรียน!CL:CL,"1")</f>
        <v>0</v>
      </c>
      <c r="P65" s="370">
        <f>COUNTIFS(เรื่องร้องเรียน!E:E,"1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Q65" s="109">
        <f>COUNTIFS(เรื่องร้องเรียน!E:E,"2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R65" s="109">
        <f>COUNTIFS(เรื่องร้องเรียน!E:E,"3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S65" s="109">
        <f>COUNTIFS(เรื่องร้องเรียน!E:E,"4",เรื่องร้องเรียน!AO:AO,"6",เรื่องร้องเรียน!AN:AN,"พระราชวัง",เรื่องร้องเรียน!AQ:AQ,"1",เรื่องร้องเรียน!CL:CL,"")</f>
        <v>0</v>
      </c>
      <c r="T65" s="371"/>
      <c r="U65" s="241">
        <f t="shared" si="3"/>
        <v>0</v>
      </c>
      <c r="V65" s="317">
        <f t="shared" si="1"/>
        <v>0</v>
      </c>
      <c r="W65" s="339">
        <f>COUNTIFS(เรื่องร้องเรียน!AO:AO,"6",เรื่องร้องเรียน!AN:AN,"พระราชวัง",เรื่องร้องเรียน!CT:CT,"บำบัด")</f>
        <v>0</v>
      </c>
      <c r="X65" s="340">
        <f>COUNTIFS(เรื่องร้องเรียน!AO:AO,"6",เรื่องร้องเรียน!AN:AN,"พระราชวัง",เรื่องร้องเรียน!CT:CT,"อาการทางจิต")</f>
        <v>0</v>
      </c>
    </row>
    <row r="66" spans="1:24">
      <c r="A66" s="322"/>
      <c r="B66" s="108" t="s">
        <v>130</v>
      </c>
      <c r="C66" s="359">
        <f>COUNTIFS(เรื่องร้องเรียน!E:E,"1",เรื่องร้องเรียน!AO:AO,"6",เรื่องร้องเรียน!AN:AN,"พลับพลาไชย 1",เรื่องร้องเรียน!T:T,"1")</f>
        <v>0</v>
      </c>
      <c r="D66" s="360">
        <f>COUNTIFS(เรื่องร้องเรียน!E:E,"1",เรื่องร้องเรียน!AO:AO,"6",เรื่องร้องเรียน!AN:AN,"พลับพลาไชย 1",เรื่องร้องเรียน!U:U,"1")</f>
        <v>0</v>
      </c>
      <c r="E66" s="360">
        <f>COUNTIFS(เรื่องร้องเรียน!E:E,"1",เรื่องร้องเรียน!AO:AO,"6",เรื่องร้องเรียน!AN:AN,"พลับพลาไชย 1",เรื่องร้องเรียน!V:V,"1")</f>
        <v>0</v>
      </c>
      <c r="F66" s="361">
        <f>COUNTIFS(เรื่องร้องเรียน!E:E,"2",เรื่องร้องเรียน!AO:AO,"6",เรื่องร้องเรียน!AN:AN,"พลับพลาไชย 1",เรื่องร้องเรียน!T:T,"1")</f>
        <v>0</v>
      </c>
      <c r="G66" s="361">
        <f>COUNTIFS(เรื่องร้องเรียน!E:E,"2",เรื่องร้องเรียน!AO:AO,"6",เรื่องร้องเรียน!AN:AN,"พลับพลาไชย 1",เรื่องร้องเรียน!U:U,"1")</f>
        <v>0</v>
      </c>
      <c r="H66" s="361">
        <f>COUNTIFS(เรื่องร้องเรียน!E:E,"2",เรื่องร้องเรียน!AO:AO,"6",เรื่องร้องเรียน!AN:AN,"พลับพลาไชย 1",เรื่องร้องเรียน!V:V,"1")</f>
        <v>0</v>
      </c>
      <c r="I66" s="362">
        <f>COUNTIFS(เรื่องร้องเรียน!E:E,"3",เรื่องร้องเรียน!AO:AO,"6",เรื่องร้องเรียน!AN:AN,"พลับพลาไชย 1",เรื่องร้องเรียน!T:T,"1")</f>
        <v>0</v>
      </c>
      <c r="J66" s="362">
        <f>COUNTIFS(เรื่องร้องเรียน!E:E,"3",เรื่องร้องเรียน!AO:AO,"6",เรื่องร้องเรียน!AN:AN,"พลับพลาไชย 1",เรื่องร้องเรียน!U:U,"1")</f>
        <v>0</v>
      </c>
      <c r="K66" s="362">
        <f>COUNTIFS(เรื่องร้องเรียน!E:E,"3",เรื่องร้องเรียน!AO:AO,"6",เรื่องร้องเรียน!AN:AN,"พลับพลาไชย 1",เรื่องร้องเรียน!V:V,"1")</f>
        <v>0</v>
      </c>
      <c r="L66" s="363">
        <f>COUNTIFS(เรื่องร้องเรียน!E:E,"4",เรื่องร้องเรียน!AO:AO,"6",เรื่องร้องเรียน!AN:AN,"พลับพลาไชย 1")</f>
        <v>0</v>
      </c>
      <c r="M66" s="364"/>
      <c r="N66" s="313">
        <f t="shared" si="14"/>
        <v>0</v>
      </c>
      <c r="O66" s="367">
        <f>COUNTIFS(เรื่องร้องเรียน!AO:AO,"6",เรื่องร้องเรียน!AN:AN,"พลับพลาไชย 1",เรื่องร้องเรียน!CL:CL,"1")</f>
        <v>0</v>
      </c>
      <c r="P66" s="370">
        <f>COUNTIFS(เรื่องร้องเรียน!E:E,"1",เรื่องร้องเรียน!AO:AO,"6",เรื่องร้องเรียน!AN:AN,"พลับพลาไชย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Q66" s="109">
        <f>COUNTIFS(เรื่องร้องเรียน!E:E,"2",เรื่องร้องเรียน!AO:AO,"6",เรื่องร้องเรียน!AN:AN,"พลับพลาไชย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R66" s="109">
        <f>COUNTIFS(เรื่องร้องเรียน!E:E,"3",เรื่องร้องเรียน!AO:AO,"6",เรื่องร้องเรียน!AN:AN,"พลับพลาไชย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S66" s="109">
        <f>COUNTIFS(เรื่องร้องเรียน!E:E,"4",เรื่องร้องเรียน!AO:AO,"6",เรื่องร้องเรียน!AN:AN,"พลับพลาไชย 1",เรื่องร้องเรียน!AQ:AQ,"1",เรื่องร้องเรียน!CL:CL,"")</f>
        <v>0</v>
      </c>
      <c r="T66" s="371"/>
      <c r="U66" s="241">
        <f t="shared" si="3"/>
        <v>0</v>
      </c>
      <c r="V66" s="317">
        <f t="shared" si="1"/>
        <v>0</v>
      </c>
      <c r="W66" s="339">
        <f>COUNTIFS(เรื่องร้องเรียน!AO:AO,"6",เรื่องร้องเรียน!AN:AN,"พลับพลาไชย 1",เรื่องร้องเรียน!CT:CT,"บำบัด")</f>
        <v>0</v>
      </c>
      <c r="X66" s="340">
        <f>COUNTIFS(เรื่องร้องเรียน!AO:AO,"6",เรื่องร้องเรียน!AN:AN,"พลับพลาไชย 1",เรื่องร้องเรียน!CT:CT,"อาการทางจิต")</f>
        <v>0</v>
      </c>
    </row>
    <row r="67" spans="1:24">
      <c r="A67" s="322"/>
      <c r="B67" s="108" t="s">
        <v>139</v>
      </c>
      <c r="C67" s="359">
        <f>COUNTIFS(เรื่องร้องเรียน!E:E,"1",เรื่องร้องเรียน!AO:AO,"6",เรื่องร้องเรียน!AN:AN,"พลับพลาไชย 2",เรื่องร้องเรียน!T:T,"1")</f>
        <v>0</v>
      </c>
      <c r="D67" s="360">
        <f>COUNTIFS(เรื่องร้องเรียน!E:E,"1",เรื่องร้องเรียน!AO:AO,"6",เรื่องร้องเรียน!AN:AN,"พลับพลาไชย 2",เรื่องร้องเรียน!U:U,"1")</f>
        <v>0</v>
      </c>
      <c r="E67" s="360">
        <f>COUNTIFS(เรื่องร้องเรียน!E:E,"1",เรื่องร้องเรียน!AO:AO,"6",เรื่องร้องเรียน!AN:AN,"พลับพลาไชย 2",เรื่องร้องเรียน!V:V,"1")</f>
        <v>0</v>
      </c>
      <c r="F67" s="361">
        <f>COUNTIFS(เรื่องร้องเรียน!E:E,"2",เรื่องร้องเรียน!AO:AO,"6",เรื่องร้องเรียน!AN:AN,"พลับพลาไชย 2",เรื่องร้องเรียน!T:T,"1")</f>
        <v>0</v>
      </c>
      <c r="G67" s="361">
        <f>COUNTIFS(เรื่องร้องเรียน!E:E,"2",เรื่องร้องเรียน!AO:AO,"6",เรื่องร้องเรียน!AN:AN,"พลับพลาไชย 2",เรื่องร้องเรียน!U:U,"1")</f>
        <v>0</v>
      </c>
      <c r="H67" s="361">
        <f>COUNTIFS(เรื่องร้องเรียน!E:E,"2",เรื่องร้องเรียน!AO:AO,"6",เรื่องร้องเรียน!AN:AN,"พลับพลาไชย 2",เรื่องร้องเรียน!V:V,"1")</f>
        <v>0</v>
      </c>
      <c r="I67" s="362">
        <f>COUNTIFS(เรื่องร้องเรียน!E:E,"3",เรื่องร้องเรียน!AO:AO,"6",เรื่องร้องเรียน!AN:AN,"พลับพลาไชย 2",เรื่องร้องเรียน!T:T,"1")</f>
        <v>0</v>
      </c>
      <c r="J67" s="362">
        <f>COUNTIFS(เรื่องร้องเรียน!E:E,"3",เรื่องร้องเรียน!AO:AO,"6",เรื่องร้องเรียน!AN:AN,"พลับพลาไชย 2",เรื่องร้องเรียน!U:U,"1")</f>
        <v>0</v>
      </c>
      <c r="K67" s="362">
        <f>COUNTIFS(เรื่องร้องเรียน!E:E,"3",เรื่องร้องเรียน!AO:AO,"6",เรื่องร้องเรียน!AN:AN,"พลับพลาไชย 2",เรื่องร้องเรียน!V:V,"1")</f>
        <v>0</v>
      </c>
      <c r="L67" s="363">
        <f>COUNTIFS(เรื่องร้องเรียน!E:E,"4",เรื่องร้องเรียน!AO:AO,"6",เรื่องร้องเรียน!AN:AN,"พลับพลาไชย 2")</f>
        <v>0</v>
      </c>
      <c r="M67" s="364"/>
      <c r="N67" s="313">
        <f t="shared" si="14"/>
        <v>0</v>
      </c>
      <c r="O67" s="367">
        <f>COUNTIFS(เรื่องร้องเรียน!AO:AO,"6",เรื่องร้องเรียน!AN:AN,"พลับพลาไชย 2",เรื่องร้องเรียน!CL:CL,"1")</f>
        <v>0</v>
      </c>
      <c r="P67" s="370">
        <f>COUNTIFS(เรื่องร้องเรียน!E:E,"1",เรื่องร้องเรียน!AO:AO,"6",เรื่องร้องเรียน!AN:AN,"พลับพลาไชย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Q67" s="109">
        <f>COUNTIFS(เรื่องร้องเรียน!E:E,"2",เรื่องร้องเรียน!AO:AO,"6",เรื่องร้องเรียน!AN:AN,"พลับพลาไชย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R67" s="109">
        <f>COUNTIFS(เรื่องร้องเรียน!E:E,"3",เรื่องร้องเรียน!AO:AO,"6",เรื่องร้องเรียน!AN:AN,"พลับพลาไชย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S67" s="109">
        <f>COUNTIFS(เรื่องร้องเรียน!E:E,"4",เรื่องร้องเรียน!AO:AO,"6",เรื่องร้องเรียน!AN:AN,"พลับพลาไชย 2",เรื่องร้องเรียน!AQ:AQ,"1",เรื่องร้องเรียน!CL:CL,"")</f>
        <v>0</v>
      </c>
      <c r="T67" s="371"/>
      <c r="U67" s="241">
        <f t="shared" si="3"/>
        <v>0</v>
      </c>
      <c r="V67" s="317">
        <f t="shared" si="1"/>
        <v>0</v>
      </c>
      <c r="W67" s="339">
        <f>COUNTIFS(เรื่องร้องเรียน!AO:AO,"6",เรื่องร้องเรียน!AN:AN,"พลับพลาไชย 2",เรื่องร้องเรียน!CT:CT,"บำบัด")</f>
        <v>0</v>
      </c>
      <c r="X67" s="340">
        <f>COUNTIFS(เรื่องร้องเรียน!AO:AO,"6",เรื่องร้องเรียน!AN:AN,"พลับพลาไชย 2",เรื่องร้องเรียน!CT:CT,"อาการทางจิต")</f>
        <v>0</v>
      </c>
    </row>
    <row r="68" spans="1:24">
      <c r="A68" s="322"/>
      <c r="B68" s="108" t="s">
        <v>80</v>
      </c>
      <c r="C68" s="359">
        <f>COUNTIFS(เรื่องร้องเรียน!E:E,"1",เรื่องร้องเรียน!AO:AO,"6",เรื่องร้องเรียน!AN:AN,"ยานนาวา",เรื่องร้องเรียน!T:T,"1")</f>
        <v>0</v>
      </c>
      <c r="D68" s="360">
        <f>COUNTIFS(เรื่องร้องเรียน!E:E,"1",เรื่องร้องเรียน!AO:AO,"6",เรื่องร้องเรียน!AN:AN,"ยานนาวา",เรื่องร้องเรียน!U:U,"1")</f>
        <v>0</v>
      </c>
      <c r="E68" s="360">
        <f>COUNTIFS(เรื่องร้องเรียน!E:E,"1",เรื่องร้องเรียน!AO:AO,"6",เรื่องร้องเรียน!AN:AN,"ยานนาวา",เรื่องร้องเรียน!V:V,"1")</f>
        <v>0</v>
      </c>
      <c r="F68" s="361">
        <f>COUNTIFS(เรื่องร้องเรียน!E:E,"2",เรื่องร้องเรียน!AO:AO,"6",เรื่องร้องเรียน!AN:AN,"ยานนาวา",เรื่องร้องเรียน!T:T,"1")</f>
        <v>0</v>
      </c>
      <c r="G68" s="361">
        <f>COUNTIFS(เรื่องร้องเรียน!E:E,"2",เรื่องร้องเรียน!AO:AO,"6",เรื่องร้องเรียน!AN:AN,"ยานนาวา",เรื่องร้องเรียน!U:U,"1")</f>
        <v>0</v>
      </c>
      <c r="H68" s="361">
        <f>COUNTIFS(เรื่องร้องเรียน!E:E,"2",เรื่องร้องเรียน!AO:AO,"6",เรื่องร้องเรียน!AN:AN,"ยานนาวา",เรื่องร้องเรียน!V:V,"1")</f>
        <v>0</v>
      </c>
      <c r="I68" s="362">
        <f>COUNTIFS(เรื่องร้องเรียน!E:E,"3",เรื่องร้องเรียน!AO:AO,"6",เรื่องร้องเรียน!AN:AN,"ยานนาวา",เรื่องร้องเรียน!T:T,"1")</f>
        <v>0</v>
      </c>
      <c r="J68" s="362">
        <f>COUNTIFS(เรื่องร้องเรียน!E:E,"3",เรื่องร้องเรียน!AO:AO,"6",เรื่องร้องเรียน!AN:AN,"ยานนาวา",เรื่องร้องเรียน!U:U,"1")</f>
        <v>0</v>
      </c>
      <c r="K68" s="362">
        <f>COUNTIFS(เรื่องร้องเรียน!E:E,"3",เรื่องร้องเรียน!AO:AO,"6",เรื่องร้องเรียน!AN:AN,"ยานนาวา",เรื่องร้องเรียน!V:V,"1")</f>
        <v>0</v>
      </c>
      <c r="L68" s="363">
        <f>COUNTIFS(เรื่องร้องเรียน!E:E,"4",เรื่องร้องเรียน!AO:AO,"6",เรื่องร้องเรียน!AN:AN,"ยานนาวา")</f>
        <v>0</v>
      </c>
      <c r="M68" s="364"/>
      <c r="N68" s="313">
        <f t="shared" si="14"/>
        <v>0</v>
      </c>
      <c r="O68" s="367">
        <f>COUNTIFS(เรื่องร้องเรียน!AO:AO,"6",เรื่องร้องเรียน!AN:AN,"ยานนาวา",เรื่องร้องเรียน!CL:CL,"1")</f>
        <v>0</v>
      </c>
      <c r="P68" s="370">
        <f>COUNTIFS(เรื่องร้องเรียน!E:E,"1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Q68" s="109">
        <f>COUNTIFS(เรื่องร้องเรียน!E:E,"2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R68" s="109">
        <f>COUNTIFS(เรื่องร้องเรียน!E:E,"3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S68" s="109">
        <f>COUNTIFS(เรื่องร้องเรียน!E:E,"4",เรื่องร้องเรียน!AO:AO,"6",เรื่องร้องเรียน!AN:AN,"ยานนาวา",เรื่องร้องเรียน!AQ:AQ,"1",เรื่องร้องเรียน!CL:CL,"")</f>
        <v>0</v>
      </c>
      <c r="T68" s="371"/>
      <c r="U68" s="241">
        <f t="shared" si="3"/>
        <v>0</v>
      </c>
      <c r="V68" s="317">
        <f t="shared" si="1"/>
        <v>0</v>
      </c>
      <c r="W68" s="339">
        <f>COUNTIFS(เรื่องร้องเรียน!AO:AO,"6",เรื่องร้องเรียน!AN:AN,"ยานนาวา",เรื่องร้องเรียน!CT:CT,"บำบัด")</f>
        <v>0</v>
      </c>
      <c r="X68" s="340">
        <f>COUNTIFS(เรื่องร้องเรียน!AO:AO,"6",เรื่องร้องเรียน!AN:AN,"ยานนาวา",เรื่องร้องเรียน!CT:CT,"อาการทางจิต")</f>
        <v>0</v>
      </c>
    </row>
    <row r="69" spans="1:24" ht="21.6" thickBot="1">
      <c r="A69" s="323"/>
      <c r="B69" s="112" t="s">
        <v>184</v>
      </c>
      <c r="C69" s="289">
        <f>COUNTIFS(เรื่องร้องเรียน!E:E,"1",เรื่องร้องเรียน!AO:AO,"6",เรื่องร้องเรียน!AN:AN,"สำราญราษฎร์",เรื่องร้องเรียน!T:T,"1")</f>
        <v>0</v>
      </c>
      <c r="D69" s="290">
        <f>COUNTIFS(เรื่องร้องเรียน!E:E,"1",เรื่องร้องเรียน!AO:AO,"6",เรื่องร้องเรียน!AN:AN,"สำราญราษฎร์",เรื่องร้องเรียน!U:U,"1")</f>
        <v>0</v>
      </c>
      <c r="E69" s="290">
        <f>COUNTIFS(เรื่องร้องเรียน!E:E,"1",เรื่องร้องเรียน!AO:AO,"6",เรื่องร้องเรียน!AN:AN,"สำราญราษฎร์",เรื่องร้องเรียน!V:V,"1")</f>
        <v>0</v>
      </c>
      <c r="F69" s="291">
        <f>COUNTIFS(เรื่องร้องเรียน!E:E,"2",เรื่องร้องเรียน!AO:AO,"6",เรื่องร้องเรียน!AN:AN,"สำราญราษฎร์",เรื่องร้องเรียน!T:T,"1")</f>
        <v>0</v>
      </c>
      <c r="G69" s="291">
        <f>COUNTIFS(เรื่องร้องเรียน!E:E,"2",เรื่องร้องเรียน!AO:AO,"6",เรื่องร้องเรียน!AN:AN,"สำราญราษฎร์",เรื่องร้องเรียน!U:U,"1")</f>
        <v>0</v>
      </c>
      <c r="H69" s="291">
        <f>COUNTIFS(เรื่องร้องเรียน!E:E,"2",เรื่องร้องเรียน!AO:AO,"6",เรื่องร้องเรียน!AN:AN,"สำราญราษฎร์",เรื่องร้องเรียน!V:V,"1")</f>
        <v>0</v>
      </c>
      <c r="I69" s="292">
        <f>COUNTIFS(เรื่องร้องเรียน!E:E,"3",เรื่องร้องเรียน!AO:AO,"6",เรื่องร้องเรียน!AN:AN,"สำราญราษฎร์",เรื่องร้องเรียน!T:T,"1")</f>
        <v>0</v>
      </c>
      <c r="J69" s="292">
        <f>COUNTIFS(เรื่องร้องเรียน!E:E,"3",เรื่องร้องเรียน!AO:AO,"6",เรื่องร้องเรียน!AN:AN,"สำราญราษฎร์",เรื่องร้องเรียน!U:U,"1")</f>
        <v>0</v>
      </c>
      <c r="K69" s="292">
        <f>COUNTIFS(เรื่องร้องเรียน!E:E,"3",เรื่องร้องเรียน!AO:AO,"6",เรื่องร้องเรียน!AN:AN,"สำราญราษฎร์",เรื่องร้องเรียน!V:V,"1")</f>
        <v>0</v>
      </c>
      <c r="L69" s="293">
        <f>COUNTIFS(เรื่องร้องเรียน!E:E,"4",เรื่องร้องเรียน!AO:AO,"6",เรื่องร้องเรียน!AN:AN,"สำราญราษฎร์")</f>
        <v>0</v>
      </c>
      <c r="M69" s="365"/>
      <c r="N69" s="314">
        <f t="shared" si="14"/>
        <v>0</v>
      </c>
      <c r="O69" s="350">
        <f>COUNTIFS(เรื่องร้องเรียน!AO:AO,"6",เรื่องร้องเรียน!AN:AN,"สำราญราษฎร์",เรื่องร้องเรียน!CL:CL,"1")</f>
        <v>0</v>
      </c>
      <c r="P69" s="245">
        <f>COUNTIFS(เรื่องร้องเรียน!E:E,"1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Q69" s="124">
        <f>COUNTIFS(เรื่องร้องเรียน!E:E,"2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R69" s="124">
        <f>COUNTIFS(เรื่องร้องเรียน!E:E,"3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S69" s="124">
        <f>COUNTIFS(เรื่องร้องเรียน!E:E,"4",เรื่องร้องเรียน!AO:AO,"6",เรื่องร้องเรียน!AN:AN,"สำราญราษฎร์",เรื่องร้องเรียน!AQ:AQ,"1",เรื่องร้องเรียน!CL:CL,"")</f>
        <v>0</v>
      </c>
      <c r="T69" s="333"/>
      <c r="U69" s="237">
        <f t="shared" si="3"/>
        <v>0</v>
      </c>
      <c r="V69" s="318">
        <f t="shared" si="1"/>
        <v>0</v>
      </c>
      <c r="W69" s="343">
        <f>COUNTIFS(เรื่องร้องเรียน!AO:AO,"6",เรื่องร้องเรียน!AN:AN,"สำราญราษฎร์",เรื่องร้องเรียน!CT:CT,"บำบัด")</f>
        <v>0</v>
      </c>
      <c r="X69" s="340">
        <f>COUNTIFS(เรื่องร้องเรียน!AO:AO,"6",เรื่องร้องเรียน!AN:AN,"สำราญราษฎร์",เรื่องร้องเรียน!CT:CT,"อาการทางจิต")</f>
        <v>0</v>
      </c>
    </row>
    <row r="70" spans="1:24" ht="21.6" thickBot="1">
      <c r="A70" s="320">
        <v>7</v>
      </c>
      <c r="B70" s="282"/>
      <c r="C70" s="283">
        <f>SUM(C71:C81)</f>
        <v>0</v>
      </c>
      <c r="D70" s="284">
        <f t="shared" ref="D70:S70" si="15">SUM(D71:D81)</f>
        <v>0</v>
      </c>
      <c r="E70" s="284">
        <f t="shared" si="15"/>
        <v>0</v>
      </c>
      <c r="F70" s="284">
        <f t="shared" si="15"/>
        <v>0</v>
      </c>
      <c r="G70" s="284">
        <f t="shared" si="15"/>
        <v>0</v>
      </c>
      <c r="H70" s="284">
        <f t="shared" si="15"/>
        <v>0</v>
      </c>
      <c r="I70" s="284">
        <f t="shared" si="15"/>
        <v>0</v>
      </c>
      <c r="J70" s="284">
        <f t="shared" si="15"/>
        <v>0</v>
      </c>
      <c r="K70" s="284">
        <f t="shared" si="15"/>
        <v>0</v>
      </c>
      <c r="L70" s="284">
        <f t="shared" si="15"/>
        <v>0</v>
      </c>
      <c r="M70" s="332"/>
      <c r="N70" s="311">
        <f>SUM(N71:N81)</f>
        <v>0</v>
      </c>
      <c r="O70" s="349">
        <f>SUM(O71:O81)</f>
        <v>0</v>
      </c>
      <c r="P70" s="285">
        <f t="shared" si="15"/>
        <v>0</v>
      </c>
      <c r="Q70" s="284">
        <f t="shared" si="15"/>
        <v>0</v>
      </c>
      <c r="R70" s="284">
        <f t="shared" si="15"/>
        <v>0</v>
      </c>
      <c r="S70" s="284">
        <f t="shared" si="15"/>
        <v>0</v>
      </c>
      <c r="T70" s="332"/>
      <c r="U70" s="287">
        <f t="shared" si="3"/>
        <v>0</v>
      </c>
      <c r="V70" s="315">
        <f t="shared" si="1"/>
        <v>0</v>
      </c>
      <c r="W70" s="341">
        <f>SUM(W71:W81)</f>
        <v>0</v>
      </c>
      <c r="X70" s="342">
        <f>SUM(X71:X81)</f>
        <v>0</v>
      </c>
    </row>
    <row r="71" spans="1:24">
      <c r="A71" s="321"/>
      <c r="B71" s="99" t="s">
        <v>185</v>
      </c>
      <c r="C71" s="353">
        <f>COUNTIFS(เรื่องร้องเรียน!E:E,"1",เรื่องร้องเรียน!AO:AO,"7",เรื่องร้องเรียน!AN:AN,"ตลิ่งชัน",เรื่องร้องเรียน!T:T,"1")</f>
        <v>0</v>
      </c>
      <c r="D71" s="354">
        <f>COUNTIFS(เรื่องร้องเรียน!E:E,"1",เรื่องร้องเรียน!AO:AO,"7",เรื่องร้องเรียน!AN:AN,"ตลิ่งชัน",เรื่องร้องเรียน!U:U,"1")</f>
        <v>0</v>
      </c>
      <c r="E71" s="354">
        <f>COUNTIFS(เรื่องร้องเรียน!E:E,"1",เรื่องร้องเรียน!AO:AO,"7",เรื่องร้องเรียน!AN:AN,"ตลิ่งชัน",เรื่องร้องเรียน!V:V,"1")</f>
        <v>0</v>
      </c>
      <c r="F71" s="355">
        <f>COUNTIFS(เรื่องร้องเรียน!E:E,"2",เรื่องร้องเรียน!AO:AO,"7",เรื่องร้องเรียน!AN:AN,"ตลิ่งชัน",เรื่องร้องเรียน!T:T,"1")</f>
        <v>0</v>
      </c>
      <c r="G71" s="355">
        <f>COUNTIFS(เรื่องร้องเรียน!E:E,"2",เรื่องร้องเรียน!AO:AO,"7",เรื่องร้องเรียน!AN:AN,"ตลิ่งชัน",เรื่องร้องเรียน!U:U,"1")</f>
        <v>0</v>
      </c>
      <c r="H71" s="355">
        <f>COUNTIFS(เรื่องร้องเรียน!E:E,"2",เรื่องร้องเรียน!AO:AO,"7",เรื่องร้องเรียน!AN:AN,"ตลิ่งชัน",เรื่องร้องเรียน!V:V,"1")</f>
        <v>0</v>
      </c>
      <c r="I71" s="356">
        <f>COUNTIFS(เรื่องร้องเรียน!E:E,"3",เรื่องร้องเรียน!AO:AO,"7",เรื่องร้องเรียน!AN:AN,"ตลิ่งชัน",เรื่องร้องเรียน!T:T,"1")</f>
        <v>0</v>
      </c>
      <c r="J71" s="356">
        <f>COUNTIFS(เรื่องร้องเรียน!E:E,"3",เรื่องร้องเรียน!AO:AO,"7",เรื่องร้องเรียน!AN:AN,"ตลิ่งชัน",เรื่องร้องเรียน!U:U,"1")</f>
        <v>0</v>
      </c>
      <c r="K71" s="356">
        <f>COUNTIFS(เรื่องร้องเรียน!E:E,"3",เรื่องร้องเรียน!AO:AO,"7",เรื่องร้องเรียน!AN:AN,"ตลิ่งชัน",เรื่องร้องเรียน!V:V,"1")</f>
        <v>0</v>
      </c>
      <c r="L71" s="357">
        <f>COUNTIFS(เรื่องร้องเรียน!E:E,"4",เรื่องร้องเรียน!AO:AO,"7",เรื่องร้องเรียน!AN:AN,"ตลิ่งชัน")</f>
        <v>0</v>
      </c>
      <c r="M71" s="358"/>
      <c r="N71" s="312">
        <f t="shared" ref="N71:N81" si="16">SUM(C71:L71)</f>
        <v>0</v>
      </c>
      <c r="O71" s="366">
        <f>COUNTIFS(เรื่องร้องเรียน!AO:AO,"7",เรื่องร้องเรียน!AN:AN,"ตลิ่งชัน",เรื่องร้องเรียน!CL:CL,"1")</f>
        <v>0</v>
      </c>
      <c r="P71" s="368">
        <f>COUNTIFS(เรื่องร้องเรียน!E:E,"1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Q71" s="105">
        <f>COUNTIFS(เรื่องร้องเรียน!E:E,"2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R71" s="105">
        <f>COUNTIFS(เรื่องร้องเรียน!E:E,"3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S71" s="105">
        <f>COUNTIFS(เรื่องร้องเรียน!E:E,"4",เรื่องร้องเรียน!AO:AO,"7",เรื่องร้องเรียน!AN:AN,"ตลิ่งชัน",เรื่องร้องเรียน!AQ:AQ,"1",เรื่องร้องเรียน!CL:CL,"")</f>
        <v>0</v>
      </c>
      <c r="T71" s="369"/>
      <c r="U71" s="240">
        <f t="shared" si="3"/>
        <v>0</v>
      </c>
      <c r="V71" s="316">
        <f t="shared" ref="V71:V104" si="17">N71-O71-U71</f>
        <v>0</v>
      </c>
      <c r="W71" s="339">
        <f>COUNTIFS(เรื่องร้องเรียน!AO:AO,"7",เรื่องร้องเรียน!AN:AN,"ตลิ่งชัน",เรื่องร้องเรียน!CT:CT,"บำบัด")</f>
        <v>0</v>
      </c>
      <c r="X71" s="340">
        <f>COUNTIFS(เรื่องร้องเรียน!AO:AO,"7",เรื่องร้องเรียน!AN:AN,"ตลิ่งชัน",เรื่องร้องเรียน!CT:CT,"อาการทางจิต")</f>
        <v>0</v>
      </c>
    </row>
    <row r="72" spans="1:24">
      <c r="A72" s="322"/>
      <c r="B72" s="108" t="s">
        <v>186</v>
      </c>
      <c r="C72" s="359">
        <f>COUNTIFS(เรื่องร้องเรียน!E:E,"1",เรื่องร้องเรียน!AO:AO,"7",เรื่องร้องเรียน!AN:AN,"ท่าพระ",เรื่องร้องเรียน!T:T,"1")</f>
        <v>0</v>
      </c>
      <c r="D72" s="360">
        <f>COUNTIFS(เรื่องร้องเรียน!E:E,"1",เรื่องร้องเรียน!AO:AO,"7",เรื่องร้องเรียน!AN:AN,"ท่าพระ",เรื่องร้องเรียน!U:U,"1")</f>
        <v>0</v>
      </c>
      <c r="E72" s="360">
        <f>COUNTIFS(เรื่องร้องเรียน!E:E,"1",เรื่องร้องเรียน!AO:AO,"7",เรื่องร้องเรียน!AN:AN,"ท่าพระ",เรื่องร้องเรียน!V:V,"1")</f>
        <v>0</v>
      </c>
      <c r="F72" s="361">
        <f>COUNTIFS(เรื่องร้องเรียน!E:E,"2",เรื่องร้องเรียน!AO:AO,"7",เรื่องร้องเรียน!AN:AN,"ท่าพระ",เรื่องร้องเรียน!T:T,"1")</f>
        <v>0</v>
      </c>
      <c r="G72" s="361">
        <f>COUNTIFS(เรื่องร้องเรียน!E:E,"2",เรื่องร้องเรียน!AO:AO,"7",เรื่องร้องเรียน!AN:AN,"ท่าพระ",เรื่องร้องเรียน!U:U,"1")</f>
        <v>0</v>
      </c>
      <c r="H72" s="361">
        <f>COUNTIFS(เรื่องร้องเรียน!E:E,"2",เรื่องร้องเรียน!AO:AO,"7",เรื่องร้องเรียน!AN:AN,"ท่าพระ",เรื่องร้องเรียน!V:V,"1")</f>
        <v>0</v>
      </c>
      <c r="I72" s="362">
        <f>COUNTIFS(เรื่องร้องเรียน!E:E,"3",เรื่องร้องเรียน!AO:AO,"7",เรื่องร้องเรียน!AN:AN,"ท่าพระ",เรื่องร้องเรียน!T:T,"1")</f>
        <v>0</v>
      </c>
      <c r="J72" s="362">
        <f>COUNTIFS(เรื่องร้องเรียน!E:E,"3",เรื่องร้องเรียน!AO:AO,"7",เรื่องร้องเรียน!AN:AN,"ท่าพระ",เรื่องร้องเรียน!U:U,"1")</f>
        <v>0</v>
      </c>
      <c r="K72" s="362">
        <f>COUNTIFS(เรื่องร้องเรียน!E:E,"3",เรื่องร้องเรียน!AO:AO,"7",เรื่องร้องเรียน!AN:AN,"ท่าพระ",เรื่องร้องเรียน!V:V,"1")</f>
        <v>0</v>
      </c>
      <c r="L72" s="363">
        <f>COUNTIFS(เรื่องร้องเรียน!E:E,"4",เรื่องร้องเรียน!AO:AO,"7",เรื่องร้องเรียน!AN:AN,"ท่าพระ")</f>
        <v>0</v>
      </c>
      <c r="M72" s="364"/>
      <c r="N72" s="313">
        <f t="shared" si="16"/>
        <v>0</v>
      </c>
      <c r="O72" s="367">
        <f>COUNTIFS(เรื่องร้องเรียน!AO:AO,"7",เรื่องร้องเรียน!AN:AN,"ท่าพระ",เรื่องร้องเรียน!CL:CL,"1")</f>
        <v>0</v>
      </c>
      <c r="P72" s="370">
        <f>COUNTIFS(เรื่องร้องเรียน!E:E,"1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Q72" s="109">
        <f>COUNTIFS(เรื่องร้องเรียน!E:E,"2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R72" s="109">
        <f>COUNTIFS(เรื่องร้องเรียน!E:E,"3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S72" s="109">
        <f>COUNTIFS(เรื่องร้องเรียน!E:E,"4",เรื่องร้องเรียน!AO:AO,"7",เรื่องร้องเรียน!AN:AN,"ท่าพระ",เรื่องร้องเรียน!AQ:AQ,"1",เรื่องร้องเรียน!CL:CL,"")</f>
        <v>0</v>
      </c>
      <c r="T72" s="371"/>
      <c r="U72" s="241">
        <f t="shared" ref="U72:U104" si="18">SUM(P72:T72)</f>
        <v>0</v>
      </c>
      <c r="V72" s="317">
        <f t="shared" si="17"/>
        <v>0</v>
      </c>
      <c r="W72" s="339">
        <f>COUNTIFS(เรื่องร้องเรียน!AO:AO,"7",เรื่องร้องเรียน!AN:AN,"ท่าพระ",เรื่องร้องเรียน!CT:CT,"บำบัด")</f>
        <v>0</v>
      </c>
      <c r="X72" s="340">
        <f>COUNTIFS(เรื่องร้องเรียน!AO:AO,"7",เรื่องร้องเรียน!AN:AN,"ท่าพระ",เรื่องร้องเรียน!CT:CT,"อาการทางจิต")</f>
        <v>0</v>
      </c>
    </row>
    <row r="73" spans="1:24">
      <c r="A73" s="322"/>
      <c r="B73" s="108" t="s">
        <v>187</v>
      </c>
      <c r="C73" s="359">
        <f>COUNTIFS(เรื่องร้องเรียน!E:E,"1",เรื่องร้องเรียน!AO:AO,"7",เรื่องร้องเรียน!AN:AN,"ธรรมศาลา",เรื่องร้องเรียน!T:T,"1")</f>
        <v>0</v>
      </c>
      <c r="D73" s="360">
        <f>COUNTIFS(เรื่องร้องเรียน!E:E,"1",เรื่องร้องเรียน!AO:AO,"7",เรื่องร้องเรียน!AN:AN,"ธรรมศาลา",เรื่องร้องเรียน!U:U,"1")</f>
        <v>0</v>
      </c>
      <c r="E73" s="360">
        <f>COUNTIFS(เรื่องร้องเรียน!E:E,"1",เรื่องร้องเรียน!AO:AO,"7",เรื่องร้องเรียน!AN:AN,"ธรรมศาลา",เรื่องร้องเรียน!V:V,"1")</f>
        <v>0</v>
      </c>
      <c r="F73" s="361">
        <f>COUNTIFS(เรื่องร้องเรียน!E:E,"2",เรื่องร้องเรียน!AO:AO,"7",เรื่องร้องเรียน!AN:AN,"ธรรมศาลา",เรื่องร้องเรียน!T:T,"1")</f>
        <v>0</v>
      </c>
      <c r="G73" s="361">
        <f>COUNTIFS(เรื่องร้องเรียน!E:E,"2",เรื่องร้องเรียน!AO:AO,"7",เรื่องร้องเรียน!AN:AN,"ธรรมศาลา",เรื่องร้องเรียน!U:U,"1")</f>
        <v>0</v>
      </c>
      <c r="H73" s="361">
        <f>COUNTIFS(เรื่องร้องเรียน!E:E,"2",เรื่องร้องเรียน!AO:AO,"7",เรื่องร้องเรียน!AN:AN,"ธรรมศาลา",เรื่องร้องเรียน!V:V,"1")</f>
        <v>0</v>
      </c>
      <c r="I73" s="362">
        <f>COUNTIFS(เรื่องร้องเรียน!E:E,"3",เรื่องร้องเรียน!AO:AO,"7",เรื่องร้องเรียน!AN:AN,"ธรรมศาลา",เรื่องร้องเรียน!T:T,"1")</f>
        <v>0</v>
      </c>
      <c r="J73" s="362">
        <f>COUNTIFS(เรื่องร้องเรียน!E:E,"3",เรื่องร้องเรียน!AO:AO,"7",เรื่องร้องเรียน!AN:AN,"ธรรมศาลา",เรื่องร้องเรียน!U:U,"1")</f>
        <v>0</v>
      </c>
      <c r="K73" s="362">
        <f>COUNTIFS(เรื่องร้องเรียน!E:E,"3",เรื่องร้องเรียน!AO:AO,"7",เรื่องร้องเรียน!AN:AN,"ธรรมศาลา",เรื่องร้องเรียน!V:V,"1")</f>
        <v>0</v>
      </c>
      <c r="L73" s="363">
        <f>COUNTIFS(เรื่องร้องเรียน!E:E,"4",เรื่องร้องเรียน!AO:AO,"7",เรื่องร้องเรียน!AN:AN,"ธรรมศาลา")</f>
        <v>0</v>
      </c>
      <c r="M73" s="364"/>
      <c r="N73" s="313">
        <f t="shared" si="16"/>
        <v>0</v>
      </c>
      <c r="O73" s="367">
        <f>COUNTIFS(เรื่องร้องเรียน!AO:AO,"7",เรื่องร้องเรียน!AN:AN,"ธรรมศาลา",เรื่องร้องเรียน!CL:CL,"1")</f>
        <v>0</v>
      </c>
      <c r="P73" s="370">
        <f>COUNTIFS(เรื่องร้องเรียน!E:E,"1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Q73" s="109">
        <f>COUNTIFS(เรื่องร้องเรียน!E:E,"2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R73" s="109">
        <f>COUNTIFS(เรื่องร้องเรียน!E:E,"3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S73" s="109">
        <f>COUNTIFS(เรื่องร้องเรียน!E:E,"4",เรื่องร้องเรียน!AO:AO,"7",เรื่องร้องเรียน!AN:AN,"ธรรมศาลา",เรื่องร้องเรียน!AQ:AQ,"1",เรื่องร้องเรียน!CL:CL,"")</f>
        <v>0</v>
      </c>
      <c r="T73" s="371"/>
      <c r="U73" s="241">
        <f t="shared" si="18"/>
        <v>0</v>
      </c>
      <c r="V73" s="317">
        <f t="shared" si="17"/>
        <v>0</v>
      </c>
      <c r="W73" s="339">
        <f>COUNTIFS(เรื่องร้องเรียน!AO:AO,"7",เรื่องร้องเรียน!AN:AN,"ธรรมศาลา",เรื่องร้องเรียน!CT:CT,"บำบัด")</f>
        <v>0</v>
      </c>
      <c r="X73" s="340">
        <f>COUNTIFS(เรื่องร้องเรียน!AO:AO,"7",เรื่องร้องเรียน!AN:AN,"ธรรมศาลา",เรื่องร้องเรียน!CT:CT,"อาการทางจิต")</f>
        <v>0</v>
      </c>
    </row>
    <row r="74" spans="1:24">
      <c r="A74" s="322"/>
      <c r="B74" s="108" t="s">
        <v>126</v>
      </c>
      <c r="C74" s="359">
        <f>COUNTIFS(เรื่องร้องเรียน!E:E,"1",เรื่องร้องเรียน!AO:AO,"7",เรื่องร้องเรียน!AN:AN,"บางกอกน้อย",เรื่องร้องเรียน!T:T,"1")</f>
        <v>0</v>
      </c>
      <c r="D74" s="360">
        <f>COUNTIFS(เรื่องร้องเรียน!E:E,"1",เรื่องร้องเรียน!AO:AO,"7",เรื่องร้องเรียน!AN:AN,"บางกอกน้อย",เรื่องร้องเรียน!U:U,"1")</f>
        <v>0</v>
      </c>
      <c r="E74" s="360">
        <f>COUNTIFS(เรื่องร้องเรียน!E:E,"1",เรื่องร้องเรียน!AO:AO,"7",เรื่องร้องเรียน!AN:AN,"บางกอกน้อย",เรื่องร้องเรียน!V:V,"1")</f>
        <v>0</v>
      </c>
      <c r="F74" s="361">
        <f>COUNTIFS(เรื่องร้องเรียน!E:E,"2",เรื่องร้องเรียน!AO:AO,"7",เรื่องร้องเรียน!AN:AN,"บางกอกน้อย",เรื่องร้องเรียน!T:T,"1")</f>
        <v>0</v>
      </c>
      <c r="G74" s="361">
        <f>COUNTIFS(เรื่องร้องเรียน!E:E,"2",เรื่องร้องเรียน!AO:AO,"7",เรื่องร้องเรียน!AN:AN,"บางกอกน้อย",เรื่องร้องเรียน!U:U,"1")</f>
        <v>0</v>
      </c>
      <c r="H74" s="361">
        <f>COUNTIFS(เรื่องร้องเรียน!E:E,"2",เรื่องร้องเรียน!AO:AO,"7",เรื่องร้องเรียน!AN:AN,"บางกอกน้อย",เรื่องร้องเรียน!V:V,"1")</f>
        <v>0</v>
      </c>
      <c r="I74" s="362">
        <f>COUNTIFS(เรื่องร้องเรียน!E:E,"3",เรื่องร้องเรียน!AO:AO,"7",เรื่องร้องเรียน!AN:AN,"บางกอกน้อย",เรื่องร้องเรียน!T:T,"1")</f>
        <v>0</v>
      </c>
      <c r="J74" s="362">
        <f>COUNTIFS(เรื่องร้องเรียน!E:E,"3",เรื่องร้องเรียน!AO:AO,"7",เรื่องร้องเรียน!AN:AN,"บางกอกน้อย",เรื่องร้องเรียน!U:U,"1")</f>
        <v>0</v>
      </c>
      <c r="K74" s="362">
        <f>COUNTIFS(เรื่องร้องเรียน!E:E,"3",เรื่องร้องเรียน!AO:AO,"7",เรื่องร้องเรียน!AN:AN,"บางกอกน้อย",เรื่องร้องเรียน!V:V,"1")</f>
        <v>0</v>
      </c>
      <c r="L74" s="363">
        <f>COUNTIFS(เรื่องร้องเรียน!E:E,"4",เรื่องร้องเรียน!AO:AO,"7",เรื่องร้องเรียน!AN:AN,"บางกอกน้อย")</f>
        <v>0</v>
      </c>
      <c r="M74" s="364"/>
      <c r="N74" s="313">
        <f t="shared" si="16"/>
        <v>0</v>
      </c>
      <c r="O74" s="367">
        <f>COUNTIFS(เรื่องร้องเรียน!AO:AO,"7",เรื่องร้องเรียน!AN:AN,"บางกอกน้อย",เรื่องร้องเรียน!CL:CL,"1")</f>
        <v>0</v>
      </c>
      <c r="P74" s="370">
        <f>COUNTIFS(เรื่องร้องเรียน!E:E,"1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Q74" s="109">
        <f>COUNTIFS(เรื่องร้องเรียน!E:E,"2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R74" s="109">
        <f>COUNTIFS(เรื่องร้องเรียน!E:E,"3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S74" s="109">
        <f>COUNTIFS(เรื่องร้องเรียน!E:E,"4",เรื่องร้องเรียน!AO:AO,"7",เรื่องร้องเรียน!AN:AN,"บางกอกน้อย",เรื่องร้องเรียน!AQ:AQ,"1",เรื่องร้องเรียน!CL:CL,"")</f>
        <v>0</v>
      </c>
      <c r="T74" s="371"/>
      <c r="U74" s="241">
        <f t="shared" si="18"/>
        <v>0</v>
      </c>
      <c r="V74" s="317">
        <f t="shared" si="17"/>
        <v>0</v>
      </c>
      <c r="W74" s="339">
        <f>COUNTIFS(เรื่องร้องเรียน!AO:AO,"7",เรื่องร้องเรียน!AN:AN,"บางกอกน้อย",เรื่องร้องเรียน!CT:CT,"บำบัด")</f>
        <v>0</v>
      </c>
      <c r="X74" s="340">
        <f>COUNTIFS(เรื่องร้องเรียน!AO:AO,"7",เรื่องร้องเรียน!AN:AN,"บางกอกน้อย",เรื่องร้องเรียน!CT:CT,"อาการทางจิต")</f>
        <v>0</v>
      </c>
    </row>
    <row r="75" spans="1:24">
      <c r="A75" s="322"/>
      <c r="B75" s="108" t="s">
        <v>188</v>
      </c>
      <c r="C75" s="359">
        <f>COUNTIFS(เรื่องร้องเรียน!E:E,"1",เรื่องร้องเรียน!AO:AO,"7",เรื่องร้องเรียน!AN:AN,"บางกอกใหญ่",เรื่องร้องเรียน!T:T,"1")</f>
        <v>0</v>
      </c>
      <c r="D75" s="360">
        <f>COUNTIFS(เรื่องร้องเรียน!E:E,"1",เรื่องร้องเรียน!AO:AO,"7",เรื่องร้องเรียน!AN:AN,"บางกอกใหญ่",เรื่องร้องเรียน!U:U,"1")</f>
        <v>0</v>
      </c>
      <c r="E75" s="360">
        <f>COUNTIFS(เรื่องร้องเรียน!E:E,"1",เรื่องร้องเรียน!AO:AO,"7",เรื่องร้องเรียน!AN:AN,"บางกอกใหญ่",เรื่องร้องเรียน!V:V,"1")</f>
        <v>0</v>
      </c>
      <c r="F75" s="361">
        <f>COUNTIFS(เรื่องร้องเรียน!E:E,"2",เรื่องร้องเรียน!AO:AO,"7",เรื่องร้องเรียน!AN:AN,"บางกอกใหญ่",เรื่องร้องเรียน!T:T,"1")</f>
        <v>0</v>
      </c>
      <c r="G75" s="361">
        <f>COUNTIFS(เรื่องร้องเรียน!E:E,"2",เรื่องร้องเรียน!AO:AO,"7",เรื่องร้องเรียน!AN:AN,"บางกอกใหญ่",เรื่องร้องเรียน!U:U,"1")</f>
        <v>0</v>
      </c>
      <c r="H75" s="361">
        <f>COUNTIFS(เรื่องร้องเรียน!E:E,"2",เรื่องร้องเรียน!AO:AO,"7",เรื่องร้องเรียน!AN:AN,"บางกอกใหญ่",เรื่องร้องเรียน!V:V,"1")</f>
        <v>0</v>
      </c>
      <c r="I75" s="362">
        <f>COUNTIFS(เรื่องร้องเรียน!E:E,"3",เรื่องร้องเรียน!AO:AO,"7",เรื่องร้องเรียน!AN:AN,"บางกอกใหญ่",เรื่องร้องเรียน!T:T,"1")</f>
        <v>0</v>
      </c>
      <c r="J75" s="362">
        <f>COUNTIFS(เรื่องร้องเรียน!E:E,"3",เรื่องร้องเรียน!AO:AO,"7",เรื่องร้องเรียน!AN:AN,"บางกอกใหญ่",เรื่องร้องเรียน!U:U,"1")</f>
        <v>0</v>
      </c>
      <c r="K75" s="362">
        <f>COUNTIFS(เรื่องร้องเรียน!E:E,"3",เรื่องร้องเรียน!AO:AO,"7",เรื่องร้องเรียน!AN:AN,"บางกอกใหญ่",เรื่องร้องเรียน!V:V,"1")</f>
        <v>0</v>
      </c>
      <c r="L75" s="363">
        <f>COUNTIFS(เรื่องร้องเรียน!E:E,"4",เรื่องร้องเรียน!AO:AO,"7",เรื่องร้องเรียน!AN:AN,"บางกอกใหญ่")</f>
        <v>0</v>
      </c>
      <c r="M75" s="364"/>
      <c r="N75" s="313">
        <f t="shared" si="16"/>
        <v>0</v>
      </c>
      <c r="O75" s="367">
        <f>COUNTIFS(เรื่องร้องเรียน!AO:AO,"7",เรื่องร้องเรียน!AN:AN,"บางกอกใหญ่",เรื่องร้องเรียน!CL:CL,"1")</f>
        <v>0</v>
      </c>
      <c r="P75" s="370">
        <f>COUNTIFS(เรื่องร้องเรียน!E:E,"1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Q75" s="109">
        <f>COUNTIFS(เรื่องร้องเรียน!E:E,"2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R75" s="109">
        <f>COUNTIFS(เรื่องร้องเรียน!E:E,"3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S75" s="109">
        <f>COUNTIFS(เรื่องร้องเรียน!E:E,"4",เรื่องร้องเรียน!AO:AO,"7",เรื่องร้องเรียน!AN:AN,"บางกอกใหญ่",เรื่องร้องเรียน!AQ:AQ,"1",เรื่องร้องเรียน!CL:CL,"")</f>
        <v>0</v>
      </c>
      <c r="T75" s="371"/>
      <c r="U75" s="241">
        <f t="shared" si="18"/>
        <v>0</v>
      </c>
      <c r="V75" s="317">
        <f t="shared" si="17"/>
        <v>0</v>
      </c>
      <c r="W75" s="339">
        <f>COUNTIFS(เรื่องร้องเรียน!AO:AO,"7",เรื่องร้องเรียน!AN:AN,"บางกอกใหญ่",เรื่องร้องเรียน!CT:CT,"บำบัด")</f>
        <v>0</v>
      </c>
      <c r="X75" s="340">
        <f>COUNTIFS(เรื่องร้องเรียน!AO:AO,"7",เรื่องร้องเรียน!AN:AN,"บางกอกใหญ่",เรื่องร้องเรียน!CT:CT,"อาการทางจิต")</f>
        <v>0</v>
      </c>
    </row>
    <row r="76" spans="1:24">
      <c r="A76" s="322"/>
      <c r="B76" s="108" t="s">
        <v>189</v>
      </c>
      <c r="C76" s="359">
        <f>COUNTIFS(เรื่องร้องเรียน!E:E,"1",เรื่องร้องเรียน!AO:AO,"7",เรื่องร้องเรียน!AN:AN,"บางขุนนนท์",เรื่องร้องเรียน!T:T,"1")</f>
        <v>0</v>
      </c>
      <c r="D76" s="360">
        <f>COUNTIFS(เรื่องร้องเรียน!E:E,"1",เรื่องร้องเรียน!AO:AO,"7",เรื่องร้องเรียน!AN:AN,"บางขุนนนท์",เรื่องร้องเรียน!U:U,"1")</f>
        <v>0</v>
      </c>
      <c r="E76" s="360">
        <f>COUNTIFS(เรื่องร้องเรียน!E:E,"1",เรื่องร้องเรียน!AO:AO,"7",เรื่องร้องเรียน!AN:AN,"บางขุนนนท์",เรื่องร้องเรียน!V:V,"1")</f>
        <v>0</v>
      </c>
      <c r="F76" s="361">
        <f>COUNTIFS(เรื่องร้องเรียน!E:E,"2",เรื่องร้องเรียน!AO:AO,"7",เรื่องร้องเรียน!AN:AN,"บางขุนนนท์",เรื่องร้องเรียน!T:T,"1")</f>
        <v>0</v>
      </c>
      <c r="G76" s="361">
        <f>COUNTIFS(เรื่องร้องเรียน!E:E,"2",เรื่องร้องเรียน!AO:AO,"7",เรื่องร้องเรียน!AN:AN,"บางขุนนนท์",เรื่องร้องเรียน!U:U,"1")</f>
        <v>0</v>
      </c>
      <c r="H76" s="361">
        <f>COUNTIFS(เรื่องร้องเรียน!E:E,"2",เรื่องร้องเรียน!AO:AO,"7",เรื่องร้องเรียน!AN:AN,"บางขุนนนท์",เรื่องร้องเรียน!V:V,"1")</f>
        <v>0</v>
      </c>
      <c r="I76" s="362">
        <f>COUNTIFS(เรื่องร้องเรียน!E:E,"3",เรื่องร้องเรียน!AO:AO,"7",เรื่องร้องเรียน!AN:AN,"บางขุนนนท์",เรื่องร้องเรียน!T:T,"1")</f>
        <v>0</v>
      </c>
      <c r="J76" s="362">
        <f>COUNTIFS(เรื่องร้องเรียน!E:E,"3",เรื่องร้องเรียน!AO:AO,"7",เรื่องร้องเรียน!AN:AN,"บางขุนนนท์",เรื่องร้องเรียน!U:U,"1")</f>
        <v>0</v>
      </c>
      <c r="K76" s="362">
        <f>COUNTIFS(เรื่องร้องเรียน!E:E,"3",เรื่องร้องเรียน!AO:AO,"7",เรื่องร้องเรียน!AN:AN,"บางขุนนนท์",เรื่องร้องเรียน!V:V,"1")</f>
        <v>0</v>
      </c>
      <c r="L76" s="363">
        <f>COUNTIFS(เรื่องร้องเรียน!E:E,"4",เรื่องร้องเรียน!AO:AO,"7",เรื่องร้องเรียน!AN:AN,"บางขุนนนท์")</f>
        <v>0</v>
      </c>
      <c r="M76" s="364"/>
      <c r="N76" s="313">
        <f t="shared" si="16"/>
        <v>0</v>
      </c>
      <c r="O76" s="367">
        <f>COUNTIFS(เรื่องร้องเรียน!AO:AO,"7",เรื่องร้องเรียน!AN:AN,"บางขุนนนท์",เรื่องร้องเรียน!CL:CL,"1")</f>
        <v>0</v>
      </c>
      <c r="P76" s="370">
        <f>COUNTIFS(เรื่องร้องเรียน!E:E,"1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Q76" s="109">
        <f>COUNTIFS(เรื่องร้องเรียน!E:E,"2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R76" s="109">
        <f>COUNTIFS(เรื่องร้องเรียน!E:E,"3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S76" s="109">
        <f>COUNTIFS(เรื่องร้องเรียน!E:E,"4",เรื่องร้องเรียน!AO:AO,"7",เรื่องร้องเรียน!AN:AN,"บางขุนนนท์",เรื่องร้องเรียน!AQ:AQ,"1",เรื่องร้องเรียน!CL:CL,"")</f>
        <v>0</v>
      </c>
      <c r="T76" s="371"/>
      <c r="U76" s="241">
        <f t="shared" si="18"/>
        <v>0</v>
      </c>
      <c r="V76" s="317">
        <f t="shared" si="17"/>
        <v>0</v>
      </c>
      <c r="W76" s="339">
        <f>COUNTIFS(เรื่องร้องเรียน!AO:AO,"7",เรื่องร้องเรียน!AN:AN,"บางขุนนนท์",เรื่องร้องเรียน!CT:CT,"บำบัด")</f>
        <v>0</v>
      </c>
      <c r="X76" s="340">
        <f>COUNTIFS(เรื่องร้องเรียน!AO:AO,"7",เรื่องร้องเรียน!AN:AN,"บางขุนนนท์",เรื่องร้องเรียน!CT:CT,"อาการทางจิต")</f>
        <v>0</v>
      </c>
    </row>
    <row r="77" spans="1:24">
      <c r="A77" s="322"/>
      <c r="B77" s="108" t="s">
        <v>106</v>
      </c>
      <c r="C77" s="359">
        <f>COUNTIFS(เรื่องร้องเรียน!E:E,"1",เรื่องร้องเรียน!AO:AO,"7",เรื่องร้องเรียน!AN:AN,"บางพลัด",เรื่องร้องเรียน!T:T,"1")</f>
        <v>0</v>
      </c>
      <c r="D77" s="360">
        <f>COUNTIFS(เรื่องร้องเรียน!E:E,"1",เรื่องร้องเรียน!AO:AO,"7",เรื่องร้องเรียน!AN:AN,"บางพลัด",เรื่องร้องเรียน!U:U,"1")</f>
        <v>0</v>
      </c>
      <c r="E77" s="360">
        <f>COUNTIFS(เรื่องร้องเรียน!E:E,"1",เรื่องร้องเรียน!AO:AO,"7",เรื่องร้องเรียน!AN:AN,"บางพลัด",เรื่องร้องเรียน!V:V,"1")</f>
        <v>0</v>
      </c>
      <c r="F77" s="361">
        <f>COUNTIFS(เรื่องร้องเรียน!E:E,"2",เรื่องร้องเรียน!AO:AO,"7",เรื่องร้องเรียน!AN:AN,"บางพลัด",เรื่องร้องเรียน!T:T,"1")</f>
        <v>0</v>
      </c>
      <c r="G77" s="361">
        <f>COUNTIFS(เรื่องร้องเรียน!E:E,"2",เรื่องร้องเรียน!AO:AO,"7",เรื่องร้องเรียน!AN:AN,"บางพลัด",เรื่องร้องเรียน!U:U,"1")</f>
        <v>0</v>
      </c>
      <c r="H77" s="361">
        <f>COUNTIFS(เรื่องร้องเรียน!E:E,"2",เรื่องร้องเรียน!AO:AO,"7",เรื่องร้องเรียน!AN:AN,"บางพลัด",เรื่องร้องเรียน!V:V,"1")</f>
        <v>0</v>
      </c>
      <c r="I77" s="362">
        <f>COUNTIFS(เรื่องร้องเรียน!E:E,"3",เรื่องร้องเรียน!AO:AO,"7",เรื่องร้องเรียน!AN:AN,"บางพลัด",เรื่องร้องเรียน!T:T,"1")</f>
        <v>0</v>
      </c>
      <c r="J77" s="362">
        <f>COUNTIFS(เรื่องร้องเรียน!E:E,"3",เรื่องร้องเรียน!AO:AO,"7",เรื่องร้องเรียน!AN:AN,"บางพลัด",เรื่องร้องเรียน!U:U,"1")</f>
        <v>0</v>
      </c>
      <c r="K77" s="362">
        <f>COUNTIFS(เรื่องร้องเรียน!E:E,"3",เรื่องร้องเรียน!AO:AO,"7",เรื่องร้องเรียน!AN:AN,"บางพลัด",เรื่องร้องเรียน!V:V,"1")</f>
        <v>0</v>
      </c>
      <c r="L77" s="363">
        <f>COUNTIFS(เรื่องร้องเรียน!E:E,"4",เรื่องร้องเรียน!AO:AO,"7",เรื่องร้องเรียน!AN:AN,"บางพลัด")</f>
        <v>0</v>
      </c>
      <c r="M77" s="364"/>
      <c r="N77" s="313">
        <f t="shared" si="16"/>
        <v>0</v>
      </c>
      <c r="O77" s="367">
        <f>COUNTIFS(เรื่องร้องเรียน!AO:AO,"7",เรื่องร้องเรียน!AN:AN,"บางพลัด",เรื่องร้องเรียน!CL:CL,"1")</f>
        <v>0</v>
      </c>
      <c r="P77" s="370">
        <f>COUNTIFS(เรื่องร้องเรียน!E:E,"1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Q77" s="109">
        <f>COUNTIFS(เรื่องร้องเรียน!E:E,"2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R77" s="109">
        <f>COUNTIFS(เรื่องร้องเรียน!E:E,"3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S77" s="109">
        <f>COUNTIFS(เรื่องร้องเรียน!E:E,"4",เรื่องร้องเรียน!AO:AO,"7",เรื่องร้องเรียน!AN:AN,"บางพลัด",เรื่องร้องเรียน!AQ:AQ,"1",เรื่องร้องเรียน!CL:CL,"")</f>
        <v>0</v>
      </c>
      <c r="T77" s="371"/>
      <c r="U77" s="241">
        <f t="shared" si="18"/>
        <v>0</v>
      </c>
      <c r="V77" s="317">
        <f t="shared" si="17"/>
        <v>0</v>
      </c>
      <c r="W77" s="339">
        <f>COUNTIFS(เรื่องร้องเรียน!AO:AO,"7",เรื่องร้องเรียน!AN:AN,"บางพลัด",เรื่องร้องเรียน!CT:CT,"บำบัด")</f>
        <v>0</v>
      </c>
      <c r="X77" s="340">
        <f>COUNTIFS(เรื่องร้องเรียน!AO:AO,"7",เรื่องร้องเรียน!AN:AN,"บางพลัด",เรื่องร้องเรียน!CT:CT,"อาการทางจิต")</f>
        <v>0</v>
      </c>
    </row>
    <row r="78" spans="1:24">
      <c r="A78" s="322"/>
      <c r="B78" s="108" t="s">
        <v>127</v>
      </c>
      <c r="C78" s="359">
        <f>COUNTIFS(เรื่องร้องเรียน!E:E,"1",เรื่องร้องเรียน!AO:AO,"7",เรื่องร้องเรียน!AN:AN,"บางยี่ขัน",เรื่องร้องเรียน!T:T,"1")</f>
        <v>0</v>
      </c>
      <c r="D78" s="360">
        <f>COUNTIFS(เรื่องร้องเรียน!E:E,"1",เรื่องร้องเรียน!AO:AO,"7",เรื่องร้องเรียน!AN:AN,"บางยี่ขัน",เรื่องร้องเรียน!U:U,"1")</f>
        <v>0</v>
      </c>
      <c r="E78" s="360">
        <f>COUNTIFS(เรื่องร้องเรียน!E:E,"1",เรื่องร้องเรียน!AO:AO,"7",เรื่องร้องเรียน!AN:AN,"บางยี่ขัน",เรื่องร้องเรียน!V:V,"1")</f>
        <v>0</v>
      </c>
      <c r="F78" s="361">
        <f>COUNTIFS(เรื่องร้องเรียน!E:E,"2",เรื่องร้องเรียน!AO:AO,"7",เรื่องร้องเรียน!AN:AN,"บางยี่ขัน",เรื่องร้องเรียน!T:T,"1")</f>
        <v>0</v>
      </c>
      <c r="G78" s="361">
        <f>COUNTIFS(เรื่องร้องเรียน!E:E,"2",เรื่องร้องเรียน!AO:AO,"7",เรื่องร้องเรียน!AN:AN,"บางยี่ขัน",เรื่องร้องเรียน!U:U,"1")</f>
        <v>0</v>
      </c>
      <c r="H78" s="361">
        <f>COUNTIFS(เรื่องร้องเรียน!E:E,"2",เรื่องร้องเรียน!AO:AO,"7",เรื่องร้องเรียน!AN:AN,"บางยี่ขัน",เรื่องร้องเรียน!V:V,"1")</f>
        <v>0</v>
      </c>
      <c r="I78" s="362">
        <f>COUNTIFS(เรื่องร้องเรียน!E:E,"3",เรื่องร้องเรียน!AO:AO,"7",เรื่องร้องเรียน!AN:AN,"บางยี่ขัน",เรื่องร้องเรียน!T:T,"1")</f>
        <v>0</v>
      </c>
      <c r="J78" s="362">
        <f>COUNTIFS(เรื่องร้องเรียน!E:E,"3",เรื่องร้องเรียน!AO:AO,"7",เรื่องร้องเรียน!AN:AN,"บางยี่ขัน",เรื่องร้องเรียน!U:U,"1")</f>
        <v>0</v>
      </c>
      <c r="K78" s="362">
        <f>COUNTIFS(เรื่องร้องเรียน!E:E,"3",เรื่องร้องเรียน!AO:AO,"7",เรื่องร้องเรียน!AN:AN,"บางยี่ขัน",เรื่องร้องเรียน!V:V,"1")</f>
        <v>0</v>
      </c>
      <c r="L78" s="363">
        <f>COUNTIFS(เรื่องร้องเรียน!E:E,"4",เรื่องร้องเรียน!AO:AO,"7",เรื่องร้องเรียน!AN:AN,"บางยี่ขัน")</f>
        <v>0</v>
      </c>
      <c r="M78" s="364"/>
      <c r="N78" s="313">
        <f t="shared" si="16"/>
        <v>0</v>
      </c>
      <c r="O78" s="367">
        <f>COUNTIFS(เรื่องร้องเรียน!AO:AO,"7",เรื่องร้องเรียน!AN:AN,"บางยี่ขัน",เรื่องร้องเรียน!CL:CL,"1")</f>
        <v>0</v>
      </c>
      <c r="P78" s="370">
        <f>COUNTIFS(เรื่องร้องเรียน!E:E,"1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Q78" s="109">
        <f>COUNTIFS(เรื่องร้องเรียน!E:E,"2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R78" s="109">
        <f>COUNTIFS(เรื่องร้องเรียน!E:E,"3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S78" s="109">
        <f>COUNTIFS(เรื่องร้องเรียน!E:E,"4",เรื่องร้องเรียน!AO:AO,"7",เรื่องร้องเรียน!AN:AN,"บางยี่ขัน",เรื่องร้องเรียน!AQ:AQ,"1",เรื่องร้องเรียน!CL:CL,"")</f>
        <v>0</v>
      </c>
      <c r="T78" s="371"/>
      <c r="U78" s="241">
        <f t="shared" si="18"/>
        <v>0</v>
      </c>
      <c r="V78" s="317">
        <f t="shared" si="17"/>
        <v>0</v>
      </c>
      <c r="W78" s="339">
        <f>COUNTIFS(เรื่องร้องเรียน!AO:AO,"7",เรื่องร้องเรียน!AN:AN,"บางยี่ขัน",เรื่องร้องเรียน!CT:CT,"บำบัด")</f>
        <v>0</v>
      </c>
      <c r="X78" s="340">
        <f>COUNTIFS(เรื่องร้องเรียน!AO:AO,"7",เรื่องร้องเรียน!AN:AN,"บางยี่ขัน",เรื่องร้องเรียน!CT:CT,"อาการทางจิต")</f>
        <v>0</v>
      </c>
    </row>
    <row r="79" spans="1:24">
      <c r="A79" s="322"/>
      <c r="B79" s="108" t="s">
        <v>190</v>
      </c>
      <c r="C79" s="359">
        <f>COUNTIFS(เรื่องร้องเรียน!E:E,"1",เรื่องร้องเรียน!AO:AO,"7",เรื่องร้องเรียน!AN:AN,"บางเสาธง",เรื่องร้องเรียน!T:T,"1")</f>
        <v>0</v>
      </c>
      <c r="D79" s="360">
        <f>COUNTIFS(เรื่องร้องเรียน!E:E,"1",เรื่องร้องเรียน!AO:AO,"7",เรื่องร้องเรียน!AN:AN,"บางเสาธง",เรื่องร้องเรียน!U:U,"1")</f>
        <v>0</v>
      </c>
      <c r="E79" s="360">
        <f>COUNTIFS(เรื่องร้องเรียน!E:E,"1",เรื่องร้องเรียน!AO:AO,"7",เรื่องร้องเรียน!AN:AN,"บางเสาธง",เรื่องร้องเรียน!V:V,"1")</f>
        <v>0</v>
      </c>
      <c r="F79" s="361">
        <f>COUNTIFS(เรื่องร้องเรียน!E:E,"2",เรื่องร้องเรียน!AO:AO,"7",เรื่องร้องเรียน!AN:AN,"บางเสาธง",เรื่องร้องเรียน!T:T,"1")</f>
        <v>0</v>
      </c>
      <c r="G79" s="361">
        <f>COUNTIFS(เรื่องร้องเรียน!E:E,"2",เรื่องร้องเรียน!AO:AO,"7",เรื่องร้องเรียน!AN:AN,"บางเสาธง",เรื่องร้องเรียน!U:U,"1")</f>
        <v>0</v>
      </c>
      <c r="H79" s="361">
        <f>COUNTIFS(เรื่องร้องเรียน!E:E,"2",เรื่องร้องเรียน!AO:AO,"7",เรื่องร้องเรียน!AN:AN,"บางเสาธง",เรื่องร้องเรียน!V:V,"1")</f>
        <v>0</v>
      </c>
      <c r="I79" s="362">
        <f>COUNTIFS(เรื่องร้องเรียน!E:E,"3",เรื่องร้องเรียน!AO:AO,"7",เรื่องร้องเรียน!AN:AN,"บางเสาธง",เรื่องร้องเรียน!T:T,"1")</f>
        <v>0</v>
      </c>
      <c r="J79" s="362">
        <f>COUNTIFS(เรื่องร้องเรียน!E:E,"3",เรื่องร้องเรียน!AO:AO,"7",เรื่องร้องเรียน!AN:AN,"บางเสาธง",เรื่องร้องเรียน!U:U,"1")</f>
        <v>0</v>
      </c>
      <c r="K79" s="362">
        <f>COUNTIFS(เรื่องร้องเรียน!E:E,"3",เรื่องร้องเรียน!AO:AO,"7",เรื่องร้องเรียน!AN:AN,"บางเสาธง",เรื่องร้องเรียน!V:V,"1")</f>
        <v>0</v>
      </c>
      <c r="L79" s="363">
        <f>COUNTIFS(เรื่องร้องเรียน!E:E,"4",เรื่องร้องเรียน!AO:AO,"7",เรื่องร้องเรียน!AN:AN,"บางเสาธง")</f>
        <v>0</v>
      </c>
      <c r="M79" s="364"/>
      <c r="N79" s="313">
        <f t="shared" si="16"/>
        <v>0</v>
      </c>
      <c r="O79" s="367">
        <f>COUNTIFS(เรื่องร้องเรียน!AO:AO,"7",เรื่องร้องเรียน!AN:AN,"บางเสาธง",เรื่องร้องเรียน!CL:CL,"1")</f>
        <v>0</v>
      </c>
      <c r="P79" s="370">
        <f>COUNTIFS(เรื่องร้องเรียน!E:E,"1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Q79" s="109">
        <f>COUNTIFS(เรื่องร้องเรียน!E:E,"2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R79" s="109">
        <f>COUNTIFS(เรื่องร้องเรียน!E:E,"3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S79" s="109">
        <f>COUNTIFS(เรื่องร้องเรียน!E:E,"4",เรื่องร้องเรียน!AO:AO,"7",เรื่องร้องเรียน!AN:AN,"บางเสาธง",เรื่องร้องเรียน!AQ:AQ,"1",เรื่องร้องเรียน!CL:CL,"")</f>
        <v>0</v>
      </c>
      <c r="T79" s="371"/>
      <c r="U79" s="241">
        <f t="shared" si="18"/>
        <v>0</v>
      </c>
      <c r="V79" s="317">
        <f t="shared" si="17"/>
        <v>0</v>
      </c>
      <c r="W79" s="339">
        <f>COUNTIFS(เรื่องร้องเรียน!AO:AO,"7",เรื่องร้องเรียน!AN:AN,"บางเสาธง",เรื่องร้องเรียน!CT:CT,"บำบัด")</f>
        <v>0</v>
      </c>
      <c r="X79" s="340">
        <f>COUNTIFS(เรื่องร้องเรียน!AO:AO,"7",เรื่องร้องเรียน!AN:AN,"บางเสาธง",เรื่องร้องเรียน!CT:CT,"อาการทางจิต")</f>
        <v>0</v>
      </c>
    </row>
    <row r="80" spans="1:24">
      <c r="A80" s="322"/>
      <c r="B80" s="108" t="s">
        <v>191</v>
      </c>
      <c r="C80" s="359">
        <f>COUNTIFS(เรื่องร้องเรียน!E:E,"1",เรื่องร้องเรียน!AO:AO,"7",เรื่องร้องเรียน!AN:AN,"ศาลาแดง",เรื่องร้องเรียน!T:T,"1")</f>
        <v>0</v>
      </c>
      <c r="D80" s="360">
        <f>COUNTIFS(เรื่องร้องเรียน!E:E,"1",เรื่องร้องเรียน!AO:AO,"7",เรื่องร้องเรียน!AN:AN,"ศาลาแดง",เรื่องร้องเรียน!U:U,"1")</f>
        <v>0</v>
      </c>
      <c r="E80" s="360">
        <f>COUNTIFS(เรื่องร้องเรียน!E:E,"1",เรื่องร้องเรียน!AO:AO,"7",เรื่องร้องเรียน!AN:AN,"ศาลาแดง",เรื่องร้องเรียน!V:V,"1")</f>
        <v>0</v>
      </c>
      <c r="F80" s="361">
        <f>COUNTIFS(เรื่องร้องเรียน!E:E,"2",เรื่องร้องเรียน!AO:AO,"7",เรื่องร้องเรียน!AN:AN,"ศาลาแดง",เรื่องร้องเรียน!T:T,"1")</f>
        <v>0</v>
      </c>
      <c r="G80" s="361">
        <f>COUNTIFS(เรื่องร้องเรียน!E:E,"2",เรื่องร้องเรียน!AO:AO,"7",เรื่องร้องเรียน!AN:AN,"ศาลาแดง",เรื่องร้องเรียน!U:U,"1")</f>
        <v>0</v>
      </c>
      <c r="H80" s="361">
        <f>COUNTIFS(เรื่องร้องเรียน!E:E,"2",เรื่องร้องเรียน!AO:AO,"7",เรื่องร้องเรียน!AN:AN,"ศาลาแดง",เรื่องร้องเรียน!V:V,"1")</f>
        <v>0</v>
      </c>
      <c r="I80" s="362">
        <f>COUNTIFS(เรื่องร้องเรียน!E:E,"3",เรื่องร้องเรียน!AO:AO,"7",เรื่องร้องเรียน!AN:AN,"ศาลาแดง",เรื่องร้องเรียน!T:T,"1")</f>
        <v>0</v>
      </c>
      <c r="J80" s="362">
        <f>COUNTIFS(เรื่องร้องเรียน!E:E,"3",เรื่องร้องเรียน!AO:AO,"7",เรื่องร้องเรียน!AN:AN,"ศาลาแดง",เรื่องร้องเรียน!U:U,"1")</f>
        <v>0</v>
      </c>
      <c r="K80" s="362">
        <f>COUNTIFS(เรื่องร้องเรียน!E:E,"3",เรื่องร้องเรียน!AO:AO,"7",เรื่องร้องเรียน!AN:AN,"ศาลาแดง",เรื่องร้องเรียน!V:V,"1")</f>
        <v>0</v>
      </c>
      <c r="L80" s="363">
        <f>COUNTIFS(เรื่องร้องเรียน!E:E,"4",เรื่องร้องเรียน!AO:AO,"7",เรื่องร้องเรียน!AN:AN,"ศาลาแดง")</f>
        <v>0</v>
      </c>
      <c r="M80" s="364"/>
      <c r="N80" s="313">
        <f t="shared" si="16"/>
        <v>0</v>
      </c>
      <c r="O80" s="367">
        <f>COUNTIFS(เรื่องร้องเรียน!AO:AO,"7",เรื่องร้องเรียน!AN:AN,"ศาลาแดง",เรื่องร้องเรียน!CL:CL,"1")</f>
        <v>0</v>
      </c>
      <c r="P80" s="370">
        <f>COUNTIFS(เรื่องร้องเรียน!E:E,"1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Q80" s="109">
        <f>COUNTIFS(เรื่องร้องเรียน!E:E,"2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R80" s="109">
        <f>COUNTIFS(เรื่องร้องเรียน!E:E,"3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S80" s="109">
        <f>COUNTIFS(เรื่องร้องเรียน!E:E,"4",เรื่องร้องเรียน!AO:AO,"7",เรื่องร้องเรียน!AN:AN,"ศาลาแดง",เรื่องร้องเรียน!AQ:AQ,"1",เรื่องร้องเรียน!CL:CL,"")</f>
        <v>0</v>
      </c>
      <c r="T80" s="371"/>
      <c r="U80" s="241">
        <f t="shared" si="18"/>
        <v>0</v>
      </c>
      <c r="V80" s="317">
        <f t="shared" si="17"/>
        <v>0</v>
      </c>
      <c r="W80" s="339">
        <f>COUNTIFS(เรื่องร้องเรียน!AO:AO,"7",เรื่องร้องเรียน!AN:AN,"ศาลาแดง",เรื่องร้องเรียน!CT:CT,"บำบัด")</f>
        <v>0</v>
      </c>
      <c r="X80" s="340">
        <f>COUNTIFS(เรื่องร้องเรียน!AO:AO,"7",เรื่องร้องเรียน!AN:AN,"ศาลาแดง",เรื่องร้องเรียน!CT:CT,"อาการทางจิต")</f>
        <v>0</v>
      </c>
    </row>
    <row r="81" spans="1:25" ht="21.6" thickBot="1">
      <c r="A81" s="323"/>
      <c r="B81" s="112" t="s">
        <v>192</v>
      </c>
      <c r="C81" s="289">
        <f>COUNTIFS(เรื่องร้องเรียน!E:E,"1",เรื่องร้องเรียน!AO:AO,"7",เรื่องร้องเรียน!AN:AN,"บวรมงคล",เรื่องร้องเรียน!T:T,"1")</f>
        <v>0</v>
      </c>
      <c r="D81" s="290">
        <f>COUNTIFS(เรื่องร้องเรียน!E:E,"1",เรื่องร้องเรียน!AO:AO,"7",เรื่องร้องเรียน!AN:AN,"บวรมงคล",เรื่องร้องเรียน!U:U,"1")</f>
        <v>0</v>
      </c>
      <c r="E81" s="290">
        <f>COUNTIFS(เรื่องร้องเรียน!E:E,"1",เรื่องร้องเรียน!AO:AO,"7",เรื่องร้องเรียน!AN:AN,"บวรมงคล",เรื่องร้องเรียน!V:V,"1")</f>
        <v>0</v>
      </c>
      <c r="F81" s="291">
        <f>COUNTIFS(เรื่องร้องเรียน!E:E,"2",เรื่องร้องเรียน!AO:AO,"7",เรื่องร้องเรียน!AN:AN,"บวรมงคล",เรื่องร้องเรียน!T:T,"1")</f>
        <v>0</v>
      </c>
      <c r="G81" s="291">
        <f>COUNTIFS(เรื่องร้องเรียน!E:E,"2",เรื่องร้องเรียน!AO:AO,"7",เรื่องร้องเรียน!AN:AN,"บวรมงคล",เรื่องร้องเรียน!U:U,"1")</f>
        <v>0</v>
      </c>
      <c r="H81" s="291">
        <f>COUNTIFS(เรื่องร้องเรียน!E:E,"2",เรื่องร้องเรียน!AO:AO,"7",เรื่องร้องเรียน!AN:AN,"บวรมงคล",เรื่องร้องเรียน!V:V,"1")</f>
        <v>0</v>
      </c>
      <c r="I81" s="292">
        <f>COUNTIFS(เรื่องร้องเรียน!E:E,"3",เรื่องร้องเรียน!AO:AO,"7",เรื่องร้องเรียน!AN:AN,"บวรมงคล",เรื่องร้องเรียน!T:T,"1")</f>
        <v>0</v>
      </c>
      <c r="J81" s="292">
        <f>COUNTIFS(เรื่องร้องเรียน!E:E,"3",เรื่องร้องเรียน!AO:AO,"7",เรื่องร้องเรียน!AN:AN,"บวรมงคล",เรื่องร้องเรียน!U:U,"1")</f>
        <v>0</v>
      </c>
      <c r="K81" s="292">
        <f>COUNTIFS(เรื่องร้องเรียน!E:E,"3",เรื่องร้องเรียน!AO:AO,"7",เรื่องร้องเรียน!AN:AN,"บวรมงคล",เรื่องร้องเรียน!V:V,"1")</f>
        <v>0</v>
      </c>
      <c r="L81" s="293">
        <f>COUNTIFS(เรื่องร้องเรียน!E:E,"4",เรื่องร้องเรียน!AO:AO,"7",เรื่องร้องเรียน!AN:AN,"บวรมงคล")</f>
        <v>0</v>
      </c>
      <c r="M81" s="365"/>
      <c r="N81" s="314">
        <f t="shared" si="16"/>
        <v>0</v>
      </c>
      <c r="O81" s="350">
        <f>COUNTIFS(เรื่องร้องเรียน!AO:AO,"7",เรื่องร้องเรียน!AN:AN,"บวรมงคล",เรื่องร้องเรียน!CL:CL,"1")</f>
        <v>0</v>
      </c>
      <c r="P81" s="245">
        <f>COUNTIFS(เรื่องร้องเรียน!E:E,"1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Q81" s="124">
        <f>COUNTIFS(เรื่องร้องเรียน!E:E,"2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R81" s="124">
        <f>COUNTIFS(เรื่องร้องเรียน!E:E,"3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S81" s="124">
        <f>COUNTIFS(เรื่องร้องเรียน!E:E,"4",เรื่องร้องเรียน!AO:AO,"7",เรื่องร้องเรียน!AN:AN,"บวรมงคล",เรื่องร้องเรียน!AQ:AQ,"1",เรื่องร้องเรียน!CL:CL,"")</f>
        <v>0</v>
      </c>
      <c r="T81" s="333"/>
      <c r="U81" s="237">
        <f t="shared" si="18"/>
        <v>0</v>
      </c>
      <c r="V81" s="318">
        <f t="shared" si="17"/>
        <v>0</v>
      </c>
      <c r="W81" s="343">
        <f>COUNTIFS(เรื่องร้องเรียน!AO:AO,"7",เรื่องร้องเรียน!AN:AN,"บวรมงคล",เรื่องร้องเรียน!CT:CT,"บำบัด")</f>
        <v>0</v>
      </c>
      <c r="X81" s="340">
        <f>COUNTIFS(เรื่องร้องเรียน!AO:AO,"7",เรื่องร้องเรียน!AN:AN,"บวรมงคล",เรื่องร้องเรียน!CT:CT,"อาการทางจิต")</f>
        <v>0</v>
      </c>
    </row>
    <row r="82" spans="1:25" ht="21.6" thickBot="1">
      <c r="A82" s="320">
        <v>8</v>
      </c>
      <c r="B82" s="282"/>
      <c r="C82" s="283">
        <f>SUM(C83:C93)</f>
        <v>0</v>
      </c>
      <c r="D82" s="284">
        <f t="shared" ref="D82:S82" si="19">SUM(D83:D93)</f>
        <v>0</v>
      </c>
      <c r="E82" s="284">
        <f t="shared" si="19"/>
        <v>0</v>
      </c>
      <c r="F82" s="284">
        <f t="shared" si="19"/>
        <v>0</v>
      </c>
      <c r="G82" s="284">
        <f t="shared" si="19"/>
        <v>0</v>
      </c>
      <c r="H82" s="284">
        <f t="shared" si="19"/>
        <v>0</v>
      </c>
      <c r="I82" s="284">
        <f t="shared" si="19"/>
        <v>0</v>
      </c>
      <c r="J82" s="284">
        <f t="shared" si="19"/>
        <v>0</v>
      </c>
      <c r="K82" s="284">
        <f t="shared" si="19"/>
        <v>0</v>
      </c>
      <c r="L82" s="284">
        <f t="shared" si="19"/>
        <v>0</v>
      </c>
      <c r="M82" s="332"/>
      <c r="N82" s="311">
        <f>SUM(N83:N93)</f>
        <v>0</v>
      </c>
      <c r="O82" s="349">
        <f>SUM(O83:O93)</f>
        <v>0</v>
      </c>
      <c r="P82" s="285">
        <f t="shared" si="19"/>
        <v>0</v>
      </c>
      <c r="Q82" s="284">
        <f t="shared" si="19"/>
        <v>0</v>
      </c>
      <c r="R82" s="284">
        <f t="shared" si="19"/>
        <v>0</v>
      </c>
      <c r="S82" s="284">
        <f t="shared" si="19"/>
        <v>0</v>
      </c>
      <c r="T82" s="332"/>
      <c r="U82" s="287">
        <f t="shared" si="18"/>
        <v>0</v>
      </c>
      <c r="V82" s="315">
        <f t="shared" si="17"/>
        <v>0</v>
      </c>
      <c r="W82" s="341">
        <f>SUM(W83:W93)</f>
        <v>0</v>
      </c>
      <c r="X82" s="342">
        <f>SUM(X83:X93)</f>
        <v>0</v>
      </c>
    </row>
    <row r="83" spans="1:25">
      <c r="A83" s="321"/>
      <c r="B83" s="99" t="s">
        <v>193</v>
      </c>
      <c r="C83" s="353">
        <f>COUNTIFS(เรื่องร้องเรียน!E:E,"1",เรื่องร้องเรียน!AO:AO,"8",เรื่องร้องเรียน!AN:AN,"ตลาดพลู",เรื่องร้องเรียน!T:T,"1")</f>
        <v>0</v>
      </c>
      <c r="D83" s="354">
        <f>COUNTIFS(เรื่องร้องเรียน!E:E,"1",เรื่องร้องเรียน!AO:AO,"8",เรื่องร้องเรียน!AN:AN,"ตลาดพลู",เรื่องร้องเรียน!U:U,"1")</f>
        <v>0</v>
      </c>
      <c r="E83" s="354">
        <f>COUNTIFS(เรื่องร้องเรียน!E:E,"1",เรื่องร้องเรียน!AO:AO,"8",เรื่องร้องเรียน!AN:AN,"ตลาดพลู",เรื่องร้องเรียน!V:V,"1")</f>
        <v>0</v>
      </c>
      <c r="F83" s="355">
        <f>COUNTIFS(เรื่องร้องเรียน!E:E,"2",เรื่องร้องเรียน!AO:AO,"8",เรื่องร้องเรียน!AN:AN,"ตลาดพลู",เรื่องร้องเรียน!T:T,"1")</f>
        <v>0</v>
      </c>
      <c r="G83" s="355">
        <f>COUNTIFS(เรื่องร้องเรียน!E:E,"2",เรื่องร้องเรียน!AO:AO,"8",เรื่องร้องเรียน!AN:AN,"ตลาดพลู",เรื่องร้องเรียน!U:U,"1")</f>
        <v>0</v>
      </c>
      <c r="H83" s="355">
        <f>COUNTIFS(เรื่องร้องเรียน!E:E,"2",เรื่องร้องเรียน!AO:AO,"8",เรื่องร้องเรียน!AN:AN,"ตลาดพลู",เรื่องร้องเรียน!V:V,"1")</f>
        <v>0</v>
      </c>
      <c r="I83" s="356">
        <f>COUNTIFS(เรื่องร้องเรียน!E:E,"3",เรื่องร้องเรียน!AO:AO,"8",เรื่องร้องเรียน!AN:AN,"ตลาดพลู",เรื่องร้องเรียน!T:T,"1")</f>
        <v>0</v>
      </c>
      <c r="J83" s="356">
        <f>COUNTIFS(เรื่องร้องเรียน!E:E,"3",เรื่องร้องเรียน!AO:AO,"8",เรื่องร้องเรียน!AN:AN,"ตลาดพลู",เรื่องร้องเรียน!U:U,"1")</f>
        <v>0</v>
      </c>
      <c r="K83" s="356">
        <f>COUNTIFS(เรื่องร้องเรียน!E:E,"3",เรื่องร้องเรียน!AO:AO,"8",เรื่องร้องเรียน!AN:AN,"ตลาดพลู",เรื่องร้องเรียน!V:V,"1")</f>
        <v>0</v>
      </c>
      <c r="L83" s="357">
        <f>COUNTIFS(เรื่องร้องเรียน!E:E,"4",เรื่องร้องเรียน!AO:AO,"8",เรื่องร้องเรียน!AN:AN,"ตลาดพลู")</f>
        <v>0</v>
      </c>
      <c r="M83" s="358"/>
      <c r="N83" s="312">
        <f t="shared" ref="N83:N93" si="20">SUM(C83:L83)</f>
        <v>0</v>
      </c>
      <c r="O83" s="366">
        <f>COUNTIFS(เรื่องร้องเรียน!AO:AO,"8",เรื่องร้องเรียน!AN:AN,"ตลาดพลู",เรื่องร้องเรียน!CL:CL,"1")</f>
        <v>0</v>
      </c>
      <c r="P83" s="368">
        <f>COUNTIFS(เรื่องร้องเรียน!E:E,"1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Q83" s="105">
        <f>COUNTIFS(เรื่องร้องเรียน!E:E,"2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R83" s="105">
        <f>COUNTIFS(เรื่องร้องเรียน!E:E,"3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S83" s="105">
        <f>COUNTIFS(เรื่องร้องเรียน!E:E,"4",เรื่องร้องเรียน!AO:AO,"8",เรื่องร้องเรียน!AN:AN,"ตลาดพลู",เรื่องร้องเรียน!AQ:AQ,"1",เรื่องร้องเรียน!CL:CL,"")</f>
        <v>0</v>
      </c>
      <c r="T83" s="369"/>
      <c r="U83" s="240">
        <f t="shared" si="18"/>
        <v>0</v>
      </c>
      <c r="V83" s="316">
        <f t="shared" si="17"/>
        <v>0</v>
      </c>
      <c r="W83" s="339">
        <f>COUNTIFS(เรื่องร้องเรียน!AO:AO,"8",เรื่องร้องเรียน!AN:AN,"ตลาดพลู",เรื่องร้องเรียน!CT:CT,"บำบัด")</f>
        <v>0</v>
      </c>
      <c r="X83" s="340">
        <f>COUNTIFS(เรื่องร้องเรียน!AO:AO,"8",เรื่องร้องเรียน!AN:AN,"ตลาดพลู",เรื่องร้องเรียน!CT:CT,"อาการทางจิต")</f>
        <v>0</v>
      </c>
    </row>
    <row r="84" spans="1:25">
      <c r="A84" s="322"/>
      <c r="B84" s="108" t="s">
        <v>194</v>
      </c>
      <c r="C84" s="359">
        <f>COUNTIFS(เรื่องร้องเรียน!E:E,"1",เรื่องร้องเรียน!AO:AO,"8",เรื่องร้องเรียน!AN:AN,"ทุ่งครุ",เรื่องร้องเรียน!T:T,"1")</f>
        <v>0</v>
      </c>
      <c r="D84" s="360">
        <f>COUNTIFS(เรื่องร้องเรียน!E:E,"1",เรื่องร้องเรียน!AO:AO,"8",เรื่องร้องเรียน!AN:AN,"ทุ่งครุ",เรื่องร้องเรียน!U:U,"1")</f>
        <v>0</v>
      </c>
      <c r="E84" s="360">
        <f>COUNTIFS(เรื่องร้องเรียน!E:E,"1",เรื่องร้องเรียน!AO:AO,"8",เรื่องร้องเรียน!AN:AN,"ทุ่งครุ",เรื่องร้องเรียน!V:V,"1")</f>
        <v>0</v>
      </c>
      <c r="F84" s="361">
        <f>COUNTIFS(เรื่องร้องเรียน!E:E,"2",เรื่องร้องเรียน!AO:AO,"8",เรื่องร้องเรียน!AN:AN,"ทุ่งครุ",เรื่องร้องเรียน!T:T,"1")</f>
        <v>0</v>
      </c>
      <c r="G84" s="361">
        <f>COUNTIFS(เรื่องร้องเรียน!E:E,"2",เรื่องร้องเรียน!AO:AO,"8",เรื่องร้องเรียน!AN:AN,"ทุ่งครุ",เรื่องร้องเรียน!U:U,"1")</f>
        <v>0</v>
      </c>
      <c r="H84" s="361">
        <f>COUNTIFS(เรื่องร้องเรียน!E:E,"2",เรื่องร้องเรียน!AO:AO,"8",เรื่องร้องเรียน!AN:AN,"ทุ่งครุ",เรื่องร้องเรียน!V:V,"1")</f>
        <v>0</v>
      </c>
      <c r="I84" s="362">
        <f>COUNTIFS(เรื่องร้องเรียน!E:E,"3",เรื่องร้องเรียน!AO:AO,"8",เรื่องร้องเรียน!AN:AN,"ทุ่งครุ",เรื่องร้องเรียน!T:T,"1")</f>
        <v>0</v>
      </c>
      <c r="J84" s="362">
        <f>COUNTIFS(เรื่องร้องเรียน!E:E,"3",เรื่องร้องเรียน!AO:AO,"8",เรื่องร้องเรียน!AN:AN,"ทุ่งครุ",เรื่องร้องเรียน!U:U,"1")</f>
        <v>0</v>
      </c>
      <c r="K84" s="362">
        <f>COUNTIFS(เรื่องร้องเรียน!E:E,"3",เรื่องร้องเรียน!AO:AO,"8",เรื่องร้องเรียน!AN:AN,"ทุ่งครุ",เรื่องร้องเรียน!V:V,"1")</f>
        <v>0</v>
      </c>
      <c r="L84" s="363">
        <f>COUNTIFS(เรื่องร้องเรียน!E:E,"4",เรื่องร้องเรียน!AO:AO,"8",เรื่องร้องเรียน!AN:AN,"ทุ่งครุ")</f>
        <v>0</v>
      </c>
      <c r="M84" s="364"/>
      <c r="N84" s="313">
        <f t="shared" si="20"/>
        <v>0</v>
      </c>
      <c r="O84" s="367">
        <f>COUNTIFS(เรื่องร้องเรียน!AO:AO,"8",เรื่องร้องเรียน!AN:AN,"ทุ่งครุ",เรื่องร้องเรียน!CL:CL,"1")</f>
        <v>0</v>
      </c>
      <c r="P84" s="370">
        <f>COUNTIFS(เรื่องร้องเรียน!E:E,"1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Q84" s="109">
        <f>COUNTIFS(เรื่องร้องเรียน!E:E,"2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R84" s="109">
        <f>COUNTIFS(เรื่องร้องเรียน!E:E,"3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S84" s="109">
        <f>COUNTIFS(เรื่องร้องเรียน!E:E,"4",เรื่องร้องเรียน!AO:AO,"8",เรื่องร้องเรียน!AN:AN,"ทุ่งครุ",เรื่องร้องเรียน!AQ:AQ,"1",เรื่องร้องเรียน!CL:CL,"")</f>
        <v>0</v>
      </c>
      <c r="T84" s="371"/>
      <c r="U84" s="241">
        <f t="shared" si="18"/>
        <v>0</v>
      </c>
      <c r="V84" s="317">
        <f t="shared" si="17"/>
        <v>0</v>
      </c>
      <c r="W84" s="339">
        <f>COUNTIFS(เรื่องร้องเรียน!AO:AO,"8",เรื่องร้องเรียน!AN:AN,"ทุ่งครุ",เรื่องร้องเรียน!CT:CT,"บำบัด")</f>
        <v>0</v>
      </c>
      <c r="X84" s="340">
        <f>COUNTIFS(เรื่องร้องเรียน!AO:AO,"8",เรื่องร้องเรียน!AN:AN,"ทุ่งครุ",เรื่องร้องเรียน!CT:CT,"อาการทางจิต")</f>
        <v>0</v>
      </c>
    </row>
    <row r="85" spans="1:25">
      <c r="A85" s="322"/>
      <c r="B85" s="108" t="s">
        <v>110</v>
      </c>
      <c r="C85" s="359">
        <f>COUNTIFS(เรื่องร้องเรียน!E:E,"1",เรื่องร้องเรียน!AO:AO,"8",เรื่องร้องเรียน!AN:AN,"บางมด",เรื่องร้องเรียน!T:T,"1")</f>
        <v>0</v>
      </c>
      <c r="D85" s="360">
        <f>COUNTIFS(เรื่องร้องเรียน!E:E,"1",เรื่องร้องเรียน!AO:AO,"8",เรื่องร้องเรียน!AN:AN,"บางมด",เรื่องร้องเรียน!U:U,"1")</f>
        <v>0</v>
      </c>
      <c r="E85" s="360">
        <f>COUNTIFS(เรื่องร้องเรียน!E:E,"1",เรื่องร้องเรียน!AO:AO,"8",เรื่องร้องเรียน!AN:AN,"บางมด",เรื่องร้องเรียน!V:V,"1")</f>
        <v>0</v>
      </c>
      <c r="F85" s="361">
        <f>COUNTIFS(เรื่องร้องเรียน!E:E,"2",เรื่องร้องเรียน!AO:AO,"8",เรื่องร้องเรียน!AN:AN,"บางมด",เรื่องร้องเรียน!T:T,"1")</f>
        <v>0</v>
      </c>
      <c r="G85" s="361">
        <f>COUNTIFS(เรื่องร้องเรียน!E:E,"2",เรื่องร้องเรียน!AO:AO,"8",เรื่องร้องเรียน!AN:AN,"บางมด",เรื่องร้องเรียน!U:U,"1")</f>
        <v>0</v>
      </c>
      <c r="H85" s="361">
        <f>COUNTIFS(เรื่องร้องเรียน!E:E,"2",เรื่องร้องเรียน!AO:AO,"8",เรื่องร้องเรียน!AN:AN,"บางมด",เรื่องร้องเรียน!V:V,"1")</f>
        <v>0</v>
      </c>
      <c r="I85" s="362">
        <f>COUNTIFS(เรื่องร้องเรียน!E:E,"3",เรื่องร้องเรียน!AO:AO,"8",เรื่องร้องเรียน!AN:AN,"บางมด",เรื่องร้องเรียน!T:T,"1")</f>
        <v>0</v>
      </c>
      <c r="J85" s="362">
        <f>COUNTIFS(เรื่องร้องเรียน!E:E,"3",เรื่องร้องเรียน!AO:AO,"8",เรื่องร้องเรียน!AN:AN,"บางมด",เรื่องร้องเรียน!U:U,"1")</f>
        <v>0</v>
      </c>
      <c r="K85" s="362">
        <f>COUNTIFS(เรื่องร้องเรียน!E:E,"3",เรื่องร้องเรียน!AO:AO,"8",เรื่องร้องเรียน!AN:AN,"บางมด",เรื่องร้องเรียน!V:V,"1")</f>
        <v>0</v>
      </c>
      <c r="L85" s="363">
        <f>COUNTIFS(เรื่องร้องเรียน!E:E,"4",เรื่องร้องเรียน!AO:AO,"8",เรื่องร้องเรียน!AN:AN,"บางมด")</f>
        <v>0</v>
      </c>
      <c r="M85" s="364"/>
      <c r="N85" s="313">
        <f t="shared" si="20"/>
        <v>0</v>
      </c>
      <c r="O85" s="367">
        <f>COUNTIFS(เรื่องร้องเรียน!AO:AO,"8",เรื่องร้องเรียน!AN:AN,"บางมด",เรื่องร้องเรียน!CL:CL,"1")</f>
        <v>0</v>
      </c>
      <c r="P85" s="370">
        <f>COUNTIFS(เรื่องร้องเรียน!E:E,"1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Q85" s="109">
        <f>COUNTIFS(เรื่องร้องเรียน!E:E,"2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R85" s="109">
        <f>COUNTIFS(เรื่องร้องเรียน!E:E,"3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S85" s="109">
        <f>COUNTIFS(เรื่องร้องเรียน!E:E,"4",เรื่องร้องเรียน!AO:AO,"8",เรื่องร้องเรียน!AN:AN,"บางมด",เรื่องร้องเรียน!AQ:AQ,"1",เรื่องร้องเรียน!CL:CL,"")</f>
        <v>0</v>
      </c>
      <c r="T85" s="371"/>
      <c r="U85" s="241">
        <f t="shared" si="18"/>
        <v>0</v>
      </c>
      <c r="V85" s="317">
        <f t="shared" si="17"/>
        <v>0</v>
      </c>
      <c r="W85" s="339">
        <f>COUNTIFS(เรื่องร้องเรียน!AO:AO,"8",เรื่องร้องเรียน!AN:AN,"บางมด",เรื่องร้องเรียน!CT:CT,"บำบัด")</f>
        <v>0</v>
      </c>
      <c r="X85" s="340">
        <f>COUNTIFS(เรื่องร้องเรียน!AO:AO,"8",เรื่องร้องเรียน!AN:AN,"บางมด",เรื่องร้องเรียน!CT:CT,"อาการทางจิต")</f>
        <v>0</v>
      </c>
    </row>
    <row r="86" spans="1:25">
      <c r="A86" s="322"/>
      <c r="B86" s="108" t="s">
        <v>195</v>
      </c>
      <c r="C86" s="359">
        <f>COUNTIFS(เรื่องร้องเรียน!E:E,"1",เรื่องร้องเรียน!AO:AO,"8",เรื่องร้องเรียน!AN:AN,"บางยี่เรือ",เรื่องร้องเรียน!T:T,"1")</f>
        <v>0</v>
      </c>
      <c r="D86" s="360">
        <f>COUNTIFS(เรื่องร้องเรียน!E:E,"1",เรื่องร้องเรียน!AO:AO,"8",เรื่องร้องเรียน!AN:AN,"บางยี่เรือ",เรื่องร้องเรียน!U:U,"1")</f>
        <v>0</v>
      </c>
      <c r="E86" s="360">
        <f>COUNTIFS(เรื่องร้องเรียน!E:E,"1",เรื่องร้องเรียน!AO:AO,"8",เรื่องร้องเรียน!AN:AN,"บางยี่เรือ",เรื่องร้องเรียน!V:V,"1")</f>
        <v>0</v>
      </c>
      <c r="F86" s="361">
        <f>COUNTIFS(เรื่องร้องเรียน!E:E,"2",เรื่องร้องเรียน!AO:AO,"8",เรื่องร้องเรียน!AN:AN,"บางยี่เรือ",เรื่องร้องเรียน!T:T,"1")</f>
        <v>0</v>
      </c>
      <c r="G86" s="361">
        <f>COUNTIFS(เรื่องร้องเรียน!E:E,"2",เรื่องร้องเรียน!AO:AO,"8",เรื่องร้องเรียน!AN:AN,"บางยี่เรือ",เรื่องร้องเรียน!U:U,"1")</f>
        <v>0</v>
      </c>
      <c r="H86" s="361">
        <f>COUNTIFS(เรื่องร้องเรียน!E:E,"2",เรื่องร้องเรียน!AO:AO,"8",เรื่องร้องเรียน!AN:AN,"บางยี่เรือ",เรื่องร้องเรียน!V:V,"1")</f>
        <v>0</v>
      </c>
      <c r="I86" s="362">
        <f>COUNTIFS(เรื่องร้องเรียน!E:E,"3",เรื่องร้องเรียน!AO:AO,"8",เรื่องร้องเรียน!AN:AN,"บางยี่เรือ",เรื่องร้องเรียน!T:T,"1")</f>
        <v>0</v>
      </c>
      <c r="J86" s="362">
        <f>COUNTIFS(เรื่องร้องเรียน!E:E,"3",เรื่องร้องเรียน!AO:AO,"8",เรื่องร้องเรียน!AN:AN,"บางยี่เรือ",เรื่องร้องเรียน!U:U,"1")</f>
        <v>0</v>
      </c>
      <c r="K86" s="362">
        <f>COUNTIFS(เรื่องร้องเรียน!E:E,"3",เรื่องร้องเรียน!AO:AO,"8",เรื่องร้องเรียน!AN:AN,"บางยี่เรือ",เรื่องร้องเรียน!V:V,"1")</f>
        <v>0</v>
      </c>
      <c r="L86" s="363">
        <f>COUNTIFS(เรื่องร้องเรียน!E:E,"4",เรื่องร้องเรียน!AO:AO,"8",เรื่องร้องเรียน!AN:AN,"บางยี่เรือ")</f>
        <v>0</v>
      </c>
      <c r="M86" s="364"/>
      <c r="N86" s="313">
        <f t="shared" si="20"/>
        <v>0</v>
      </c>
      <c r="O86" s="367">
        <f>COUNTIFS(เรื่องร้องเรียน!AO:AO,"8",เรื่องร้องเรียน!AN:AN,"บางยี่เรือ",เรื่องร้องเรียน!CL:CL,"1")</f>
        <v>0</v>
      </c>
      <c r="P86" s="370">
        <f>COUNTIFS(เรื่องร้องเรียน!E:E,"1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Q86" s="109">
        <f>COUNTIFS(เรื่องร้องเรียน!E:E,"2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R86" s="109">
        <f>COUNTIFS(เรื่องร้องเรียน!E:E,"3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S86" s="109">
        <f>COUNTIFS(เรื่องร้องเรียน!E:E,"4",เรื่องร้องเรียน!AO:AO,"8",เรื่องร้องเรียน!AN:AN,"บางยี่เรือ",เรื่องร้องเรียน!AQ:AQ,"1",เรื่องร้องเรียน!CL:CL,"")</f>
        <v>0</v>
      </c>
      <c r="T86" s="371"/>
      <c r="U86" s="241">
        <f t="shared" si="18"/>
        <v>0</v>
      </c>
      <c r="V86" s="317">
        <f t="shared" si="17"/>
        <v>0</v>
      </c>
      <c r="W86" s="339">
        <f>COUNTIFS(เรื่องร้องเรียน!AO:AO,"8",เรื่องร้องเรียน!AN:AN,"บางยี่เรือ",เรื่องร้องเรียน!CT:CT,"บำบัด")</f>
        <v>0</v>
      </c>
      <c r="X86" s="340">
        <f>COUNTIFS(เรื่องร้องเรียน!AO:AO,"8",เรื่องร้องเรียน!AN:AN,"บางยี่เรือ",เรื่องร้องเรียน!CT:CT,"อาการทางจิต")</f>
        <v>0</v>
      </c>
    </row>
    <row r="87" spans="1:25">
      <c r="A87" s="322"/>
      <c r="B87" s="108" t="s">
        <v>196</v>
      </c>
      <c r="C87" s="359">
        <f>COUNTIFS(เรื่องร้องเรียน!E:E,"1",เรื่องร้องเรียน!AO:AO,"8",เรื่องร้องเรียน!AN:AN,"บุคคโล",เรื่องร้องเรียน!T:T,"1")</f>
        <v>0</v>
      </c>
      <c r="D87" s="360">
        <f>COUNTIFS(เรื่องร้องเรียน!E:E,"1",เรื่องร้องเรียน!AO:AO,"8",เรื่องร้องเรียน!AN:AN,"บุคคโล",เรื่องร้องเรียน!U:U,"1")</f>
        <v>0</v>
      </c>
      <c r="E87" s="360">
        <f>COUNTIFS(เรื่องร้องเรียน!E:E,"1",เรื่องร้องเรียน!AO:AO,"8",เรื่องร้องเรียน!AN:AN,"บุคคโล",เรื่องร้องเรียน!V:V,"1")</f>
        <v>0</v>
      </c>
      <c r="F87" s="361">
        <f>COUNTIFS(เรื่องร้องเรียน!E:E,"2",เรื่องร้องเรียน!AO:AO,"8",เรื่องร้องเรียน!AN:AN,"บุคคโล",เรื่องร้องเรียน!T:T,"1")</f>
        <v>0</v>
      </c>
      <c r="G87" s="361">
        <f>COUNTIFS(เรื่องร้องเรียน!E:E,"2",เรื่องร้องเรียน!AO:AO,"8",เรื่องร้องเรียน!AN:AN,"บุคคโล",เรื่องร้องเรียน!U:U,"1")</f>
        <v>0</v>
      </c>
      <c r="H87" s="361">
        <f>COUNTIFS(เรื่องร้องเรียน!E:E,"2",เรื่องร้องเรียน!AO:AO,"8",เรื่องร้องเรียน!AN:AN,"บุคคโล",เรื่องร้องเรียน!V:V,"1")</f>
        <v>0</v>
      </c>
      <c r="I87" s="362">
        <f>COUNTIFS(เรื่องร้องเรียน!E:E,"3",เรื่องร้องเรียน!AO:AO,"8",เรื่องร้องเรียน!AN:AN,"บุคคโล",เรื่องร้องเรียน!T:T,"1")</f>
        <v>0</v>
      </c>
      <c r="J87" s="362">
        <f>COUNTIFS(เรื่องร้องเรียน!E:E,"3",เรื่องร้องเรียน!AO:AO,"8",เรื่องร้องเรียน!AN:AN,"บุคคโล",เรื่องร้องเรียน!U:U,"1")</f>
        <v>0</v>
      </c>
      <c r="K87" s="362">
        <f>COUNTIFS(เรื่องร้องเรียน!E:E,"3",เรื่องร้องเรียน!AO:AO,"8",เรื่องร้องเรียน!AN:AN,"บุคคโล",เรื่องร้องเรียน!V:V,"1")</f>
        <v>0</v>
      </c>
      <c r="L87" s="363">
        <f>COUNTIFS(เรื่องร้องเรียน!E:E,"4",เรื่องร้องเรียน!AO:AO,"8",เรื่องร้องเรียน!AN:AN,"บุคคโล")</f>
        <v>0</v>
      </c>
      <c r="M87" s="364"/>
      <c r="N87" s="313">
        <f t="shared" si="20"/>
        <v>0</v>
      </c>
      <c r="O87" s="367">
        <f>COUNTIFS(เรื่องร้องเรียน!AO:AO,"8",เรื่องร้องเรียน!AN:AN,"บุคคโล",เรื่องร้องเรียน!CL:CL,"1")</f>
        <v>0</v>
      </c>
      <c r="P87" s="370">
        <f>COUNTIFS(เรื่องร้องเรียน!E:E,"1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Q87" s="109">
        <f>COUNTIFS(เรื่องร้องเรียน!E:E,"2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R87" s="109">
        <f>COUNTIFS(เรื่องร้องเรียน!E:E,"3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S87" s="109">
        <f>COUNTIFS(เรื่องร้องเรียน!E:E,"4",เรื่องร้องเรียน!AO:AO,"8",เรื่องร้องเรียน!AN:AN,"บุคคโล",เรื่องร้องเรียน!AQ:AQ,"1",เรื่องร้องเรียน!CL:CL,"")</f>
        <v>0</v>
      </c>
      <c r="T87" s="371"/>
      <c r="U87" s="241">
        <f t="shared" si="18"/>
        <v>0</v>
      </c>
      <c r="V87" s="317">
        <f t="shared" si="17"/>
        <v>0</v>
      </c>
      <c r="W87" s="339">
        <f>COUNTIFS(เรื่องร้องเรียน!AO:AO,"8",เรื่องร้องเรียน!AN:AN,"บุคคโล",เรื่องร้องเรียน!CT:CT,"บำบัด")</f>
        <v>0</v>
      </c>
      <c r="X87" s="340">
        <f>COUNTIFS(เรื่องร้องเรียน!AO:AO,"8",เรื่องร้องเรียน!AN:AN,"บุคคโล",เรื่องร้องเรียน!CT:CT,"อาการทางจิต")</f>
        <v>0</v>
      </c>
    </row>
    <row r="88" spans="1:25">
      <c r="A88" s="322"/>
      <c r="B88" s="108" t="s">
        <v>123</v>
      </c>
      <c r="C88" s="359">
        <f>COUNTIFS(เรื่องร้องเรียน!E:E,"1",เรื่องร้องเรียน!AO:AO,"8",เรื่องร้องเรียน!AN:AN,"บุปผาราม",เรื่องร้องเรียน!T:T,"1")</f>
        <v>0</v>
      </c>
      <c r="D88" s="360">
        <f>COUNTIFS(เรื่องร้องเรียน!E:E,"1",เรื่องร้องเรียน!AO:AO,"8",เรื่องร้องเรียน!AN:AN,"บุปผาราม",เรื่องร้องเรียน!U:U,"1")</f>
        <v>0</v>
      </c>
      <c r="E88" s="360">
        <f>COUNTIFS(เรื่องร้องเรียน!E:E,"1",เรื่องร้องเรียน!AO:AO,"8",เรื่องร้องเรียน!AN:AN,"บุปผาราม",เรื่องร้องเรียน!V:V,"1")</f>
        <v>0</v>
      </c>
      <c r="F88" s="361">
        <f>COUNTIFS(เรื่องร้องเรียน!E:E,"2",เรื่องร้องเรียน!AO:AO,"8",เรื่องร้องเรียน!AN:AN,"บุปผาราม",เรื่องร้องเรียน!T:T,"1")</f>
        <v>0</v>
      </c>
      <c r="G88" s="361">
        <f>COUNTIFS(เรื่องร้องเรียน!E:E,"2",เรื่องร้องเรียน!AO:AO,"8",เรื่องร้องเรียน!AN:AN,"บุปผาราม",เรื่องร้องเรียน!U:U,"1")</f>
        <v>0</v>
      </c>
      <c r="H88" s="361">
        <f>COUNTIFS(เรื่องร้องเรียน!E:E,"2",เรื่องร้องเรียน!AO:AO,"8",เรื่องร้องเรียน!AN:AN,"บุปผาราม",เรื่องร้องเรียน!V:V,"1")</f>
        <v>0</v>
      </c>
      <c r="I88" s="362">
        <f>COUNTIFS(เรื่องร้องเรียน!E:E,"3",เรื่องร้องเรียน!AO:AO,"8",เรื่องร้องเรียน!AN:AN,"บุปผาราม",เรื่องร้องเรียน!T:T,"1")</f>
        <v>0</v>
      </c>
      <c r="J88" s="362">
        <f>COUNTIFS(เรื่องร้องเรียน!E:E,"3",เรื่องร้องเรียน!AO:AO,"8",เรื่องร้องเรียน!AN:AN,"บุปผาราม",เรื่องร้องเรียน!U:U,"1")</f>
        <v>0</v>
      </c>
      <c r="K88" s="362">
        <f>COUNTIFS(เรื่องร้องเรียน!E:E,"3",เรื่องร้องเรียน!AO:AO,"8",เรื่องร้องเรียน!AN:AN,"บุปผาราม",เรื่องร้องเรียน!V:V,"1")</f>
        <v>0</v>
      </c>
      <c r="L88" s="363">
        <f>COUNTIFS(เรื่องร้องเรียน!E:E,"4",เรื่องร้องเรียน!AO:AO,"8",เรื่องร้องเรียน!AN:AN,"บุปผาราม")</f>
        <v>0</v>
      </c>
      <c r="M88" s="364"/>
      <c r="N88" s="313">
        <f t="shared" si="20"/>
        <v>0</v>
      </c>
      <c r="O88" s="367">
        <f>COUNTIFS(เรื่องร้องเรียน!AO:AO,"8",เรื่องร้องเรียน!AN:AN,"บุปผาราม",เรื่องร้องเรียน!CL:CL,"1")</f>
        <v>0</v>
      </c>
      <c r="P88" s="370">
        <f>COUNTIFS(เรื่องร้องเรียน!E:E,"1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Q88" s="109">
        <f>COUNTIFS(เรื่องร้องเรียน!E:E,"2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R88" s="109">
        <f>COUNTIFS(เรื่องร้องเรียน!E:E,"3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S88" s="109">
        <f>COUNTIFS(เรื่องร้องเรียน!E:E,"4",เรื่องร้องเรียน!AO:AO,"8",เรื่องร้องเรียน!AN:AN,"บุปผาราม",เรื่องร้องเรียน!AQ:AQ,"1",เรื่องร้องเรียน!CL:CL,"")</f>
        <v>0</v>
      </c>
      <c r="T88" s="371"/>
      <c r="U88" s="241">
        <f t="shared" si="18"/>
        <v>0</v>
      </c>
      <c r="V88" s="317">
        <f t="shared" si="17"/>
        <v>0</v>
      </c>
      <c r="W88" s="339">
        <f>COUNTIFS(เรื่องร้องเรียน!AO:AO,"8",เรื่องร้องเรียน!AN:AN,"บุปผาราม",เรื่องร้องเรียน!CT:CT,"บำบัด")</f>
        <v>0</v>
      </c>
      <c r="X88" s="340">
        <f>COUNTIFS(เรื่องร้องเรียน!AO:AO,"8",เรื่องร้องเรียน!AN:AN,"บุปผาราม",เรื่องร้องเรียน!CT:CT,"อาการทางจิต")</f>
        <v>0</v>
      </c>
    </row>
    <row r="89" spans="1:25">
      <c r="A89" s="322"/>
      <c r="B89" s="108" t="s">
        <v>113</v>
      </c>
      <c r="C89" s="359">
        <f>COUNTIFS(เรื่องร้องเรียน!E:E,"1",เรื่องร้องเรียน!AO:AO,"8",เรื่องร้องเรียน!AN:AN,"ราษฎร์บูรณะ",เรื่องร้องเรียน!T:T,"1")</f>
        <v>0</v>
      </c>
      <c r="D89" s="360">
        <f>COUNTIFS(เรื่องร้องเรียน!E:E,"1",เรื่องร้องเรียน!AO:AO,"8",เรื่องร้องเรียน!AN:AN,"ราษฎร์บูรณะ",เรื่องร้องเรียน!U:U,"1")</f>
        <v>0</v>
      </c>
      <c r="E89" s="360">
        <f>COUNTIFS(เรื่องร้องเรียน!E:E,"1",เรื่องร้องเรียน!AO:AO,"8",เรื่องร้องเรียน!AN:AN,"ราษฎร์บูรณะ",เรื่องร้องเรียน!V:V,"1")</f>
        <v>0</v>
      </c>
      <c r="F89" s="361">
        <f>COUNTIFS(เรื่องร้องเรียน!E:E,"2",เรื่องร้องเรียน!AO:AO,"8",เรื่องร้องเรียน!AN:AN,"ราษฎร์บูรณะ",เรื่องร้องเรียน!T:T,"1")</f>
        <v>0</v>
      </c>
      <c r="G89" s="361">
        <f>COUNTIFS(เรื่องร้องเรียน!E:E,"2",เรื่องร้องเรียน!AO:AO,"8",เรื่องร้องเรียน!AN:AN,"ราษฎร์บูรณะ",เรื่องร้องเรียน!U:U,"1")</f>
        <v>0</v>
      </c>
      <c r="H89" s="361">
        <f>COUNTIFS(เรื่องร้องเรียน!E:E,"2",เรื่องร้องเรียน!AO:AO,"8",เรื่องร้องเรียน!AN:AN,"ราษฎร์บูรณะ",เรื่องร้องเรียน!V:V,"1")</f>
        <v>0</v>
      </c>
      <c r="I89" s="362">
        <f>COUNTIFS(เรื่องร้องเรียน!E:E,"3",เรื่องร้องเรียน!AO:AO,"8",เรื่องร้องเรียน!AN:AN,"ราษฎร์บูรณะ",เรื่องร้องเรียน!T:T,"1")</f>
        <v>0</v>
      </c>
      <c r="J89" s="362">
        <f>COUNTIFS(เรื่องร้องเรียน!E:E,"3",เรื่องร้องเรียน!AO:AO,"8",เรื่องร้องเรียน!AN:AN,"ราษฎร์บูรณะ",เรื่องร้องเรียน!U:U,"1")</f>
        <v>0</v>
      </c>
      <c r="K89" s="362">
        <f>COUNTIFS(เรื่องร้องเรียน!E:E,"3",เรื่องร้องเรียน!AO:AO,"8",เรื่องร้องเรียน!AN:AN,"ราษฎร์บูรณะ",เรื่องร้องเรียน!V:V,"1")</f>
        <v>0</v>
      </c>
      <c r="L89" s="363">
        <f>COUNTIFS(เรื่องร้องเรียน!E:E,"4",เรื่องร้องเรียน!AO:AO,"8",เรื่องร้องเรียน!AN:AN,"ราษฎร์บูรณะ")</f>
        <v>0</v>
      </c>
      <c r="M89" s="364"/>
      <c r="N89" s="313">
        <f t="shared" si="20"/>
        <v>0</v>
      </c>
      <c r="O89" s="367">
        <f>COUNTIFS(เรื่องร้องเรียน!AO:AO,"8",เรื่องร้องเรียน!AN:AN,"ราษฎร์บูรณะ",เรื่องร้องเรียน!CL:CL,"1")</f>
        <v>0</v>
      </c>
      <c r="P89" s="370">
        <f>COUNTIFS(เรื่องร้องเรียน!E:E,"1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Q89" s="109">
        <f>COUNTIFS(เรื่องร้องเรียน!E:E,"2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R89" s="109">
        <f>COUNTIFS(เรื่องร้องเรียน!E:E,"3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S89" s="109">
        <f>COUNTIFS(เรื่องร้องเรียน!E:E,"4",เรื่องร้องเรียน!AO:AO,"8",เรื่องร้องเรียน!AN:AN,"ราษฎร์บูรณะ",เรื่องร้องเรียน!AQ:AQ,"1",เรื่องร้องเรียน!CL:CL,"")</f>
        <v>0</v>
      </c>
      <c r="T89" s="371"/>
      <c r="U89" s="241">
        <f t="shared" si="18"/>
        <v>0</v>
      </c>
      <c r="V89" s="317">
        <f t="shared" si="17"/>
        <v>0</v>
      </c>
      <c r="W89" s="339">
        <f>COUNTIFS(เรื่องร้องเรียน!AO:AO,"8",เรื่องร้องเรียน!AN:AN,"ราษฎร์บูรณะ",เรื่องร้องเรียน!CT:CT,"บำบัด")</f>
        <v>0</v>
      </c>
      <c r="X89" s="340">
        <f>COUNTIFS(เรื่องร้องเรียน!AO:AO,"8",เรื่องร้องเรียน!AN:AN,"ราษฎร์บูรณะ",เรื่องร้องเรียน!CT:CT,"อาการทางจิต")</f>
        <v>0</v>
      </c>
    </row>
    <row r="90" spans="1:25">
      <c r="A90" s="322"/>
      <c r="B90" s="108" t="s">
        <v>83</v>
      </c>
      <c r="C90" s="359">
        <f>COUNTIFS(เรื่องร้องเรียน!E:E,"1",เรื่องร้องเรียน!AO:AO,"8",เรื่องร้องเรียน!AN:AN,"สมเด็จเจ้าพระยา",เรื่องร้องเรียน!T:T,"1")</f>
        <v>0</v>
      </c>
      <c r="D90" s="360">
        <f>COUNTIFS(เรื่องร้องเรียน!E:E,"1",เรื่องร้องเรียน!AO:AO,"8",เรื่องร้องเรียน!AN:AN,"สมเด็จเจ้าพระยา",เรื่องร้องเรียน!U:U,"1")</f>
        <v>0</v>
      </c>
      <c r="E90" s="360">
        <f>COUNTIFS(เรื่องร้องเรียน!E:E,"1",เรื่องร้องเรียน!AO:AO,"8",เรื่องร้องเรียน!AN:AN,"สมเด็จเจ้าพระยา",เรื่องร้องเรียน!V:V,"1")</f>
        <v>0</v>
      </c>
      <c r="F90" s="36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COUNTIFS(เรื่องร้องเรียน!E:E,"2",เรื่องร้องเรียน!AO:AO,"8",เรื่องร้องเรียน!AN:AN,"สมเด็จเจ้าพระยา",เรื่องร้องเรียน!T:T,"1")</f>
        <v>0</v>
      </c>
      <c r="G90" s="36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COUNTIFS(เรื่องร้องเรียน!E:E,"2",เรื่องร้องเรียน!AO:AO,"8",เรื่องร้องเรียน!AN:AN,"สมเด็จเจ้าพระยา",เรื่องร้องเรียน!U:U,"1")</f>
        <v>0</v>
      </c>
      <c r="H90" s="36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COUNTIFS(เรื่องร้องเรียน!E:E,"2",เรื่องร้องเรียน!AO:AO,"8",เรื่องร้องเรียน!AN:AN,"สมเด็จเจ้าพระยา",เรื่องร้องเรียน!V:V,"1")</f>
        <v>0</v>
      </c>
      <c r="I90" s="362">
        <f>COUNTIFS(เรื่องร้องเรียน!E:E,"3",เรื่องร้องเรียน!AO:AO,"8",เรื่องร้องเรียน!AN:AN,"สมเด็จเจ้าพระยา",เรื่องร้องเรียน!T:T,"1")</f>
        <v>0</v>
      </c>
      <c r="J90" s="362">
        <f>COUNTIFS(เรื่องร้องเรียน!E:E,"3",เรื่องร้องเรียน!AO:AO,"8",เรื่องร้องเรียน!AN:AN,"สมเด็จเจ้าพระยา",เรื่องร้องเรียน!U:U,"1")</f>
        <v>0</v>
      </c>
      <c r="K90" s="362">
        <f>COUNTIFS(เรื่องร้องเรียน!E:E,"3",เรื่องร้องเรียน!AO:AO,"8",เรื่องร้องเรียน!AN:AN,"สมเด็จเจ้าพระยา",เรื่องร้องเรียน!V:V,"1")</f>
        <v>0</v>
      </c>
      <c r="L90" s="363">
        <f>COUNTIFS(เรื่องร้องเรียน!E:E,"4",เรื่องร้องเรียน!AO:AO,"8",เรื่องร้องเรียน!AN:AN,"สมเด็จเจ้าพระยา")</f>
        <v>0</v>
      </c>
      <c r="M90" s="364"/>
      <c r="N90" s="313">
        <f t="shared" si="20"/>
        <v>0</v>
      </c>
      <c r="O90" s="367">
        <f>COUNTIFS(เรื่องร้องเรียน!AO:AO,"8",เรื่องร้องเรียน!AN:AN,"สมเด็จเจ้าพระยา",เรื่องร้องเรียน!CL:CL,"1")</f>
        <v>0</v>
      </c>
      <c r="P90" s="370">
        <f>COUNTIFS(เรื่องร้องเรียน!E:E,"1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Q90" s="109">
        <f>COUNTIFS(เรื่องร้องเรียน!E:E,"2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R90" s="109">
        <f>COUNTIFS(เรื่องร้องเรียน!E:E,"3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S90" s="109">
        <f>COUNTIFS(เรื่องร้องเรียน!E:E,"4",เรื่องร้องเรียน!AO:AO,"8",เรื่องร้องเรียน!AN:AN,"สมเด็จเจ้าพระยา",เรื่องร้องเรียน!AQ:AQ,"1",เรื่องร้องเรียน!CL:CL,"")</f>
        <v>0</v>
      </c>
      <c r="T90" s="371"/>
      <c r="U90" s="241">
        <f t="shared" si="18"/>
        <v>0</v>
      </c>
      <c r="V90" s="317">
        <f t="shared" si="17"/>
        <v>0</v>
      </c>
      <c r="W90" s="339">
        <f>COUNTIFS(เรื่องร้องเรียน!AO:AO,"8",เรื่องร้องเรียน!AN:AN,"สมเด็จเจ้าพระยา",เรื่องร้องเรียน!CT:CT,"บำบัด")</f>
        <v>0</v>
      </c>
      <c r="X90" s="340">
        <f>COUNTIFS(เรื่องร้องเรียน!AO:AO,"8",เรื่องร้องเรียน!AN:AN,"สมเด็จเจ้าพระยา",เรื่องร้องเรียน!CT:CT,"อาการทางจิต")</f>
        <v>0</v>
      </c>
    </row>
    <row r="91" spans="1:25">
      <c r="A91" s="322"/>
      <c r="B91" s="108" t="s">
        <v>197</v>
      </c>
      <c r="C91" s="359">
        <f>COUNTIFS(เรื่องร้องเรียน!E:E,"1",เรื่องร้องเรียน!AO:AO,"8",เรื่องร้องเรียน!AN:AN,"สำเหร่",เรื่องร้องเรียน!T:T,"1")</f>
        <v>0</v>
      </c>
      <c r="D91" s="360">
        <f>COUNTIFS(เรื่องร้องเรียน!E:E,"1",เรื่องร้องเรียน!AO:AO,"8",เรื่องร้องเรียน!AN:AN,"สำเหร่",เรื่องร้องเรียน!U:U,"1")</f>
        <v>0</v>
      </c>
      <c r="E91" s="360">
        <f>COUNTIFS(เรื่องร้องเรียน!E:E,"1",เรื่องร้องเรียน!AO:AO,"8",เรื่องร้องเรียน!AN:AN,"สำเหร่",เรื่องร้องเรียน!V:V,"1")</f>
        <v>0</v>
      </c>
      <c r="F91" s="361">
        <f>COUNTIFS(เรื่องร้องเรียน!E:E,"2",เรื่องร้องเรียน!AO:AO,"8",เรื่องร้องเรียน!AN:AN,"สำเหร่",เรื่องร้องเรียน!T:T,"1")</f>
        <v>0</v>
      </c>
      <c r="G91" s="361">
        <f>COUNTIFS(เรื่องร้องเรียน!E:E,"2",เรื่องร้องเรียน!AO:AO,"8",เรื่องร้องเรียน!AN:AN,"สำเหร่",เรื่องร้องเรียน!U:U,"1")</f>
        <v>0</v>
      </c>
      <c r="H91" s="361">
        <f>COUNTIFS(เรื่องร้องเรียน!E:E,"2",เรื่องร้องเรียน!AO:AO,"8",เรื่องร้องเรียน!AN:AN,"สำเหร่",เรื่องร้องเรียน!V:V,"1")</f>
        <v>0</v>
      </c>
      <c r="I91" s="362">
        <f>COUNTIFS(เรื่องร้องเรียน!E:E,"3",เรื่องร้องเรียน!AO:AO,"8",เรื่องร้องเรียน!AN:AN,"สำเหร่",เรื่องร้องเรียน!T:T,"1")</f>
        <v>0</v>
      </c>
      <c r="J91" s="362">
        <f>COUNTIFS(เรื่องร้องเรียน!E:E,"3",เรื่องร้องเรียน!AO:AO,"8",เรื่องร้องเรียน!AN:AN,"สำเหร่",เรื่องร้องเรียน!U:U,"1")</f>
        <v>0</v>
      </c>
      <c r="K91" s="362">
        <f>COUNTIFS(เรื่องร้องเรียน!E:E,"3",เรื่องร้องเรียน!AO:AO,"8",เรื่องร้องเรียน!AN:AN,"สำเหร่",เรื่องร้องเรียน!V:V,"1")</f>
        <v>0</v>
      </c>
      <c r="L91" s="363">
        <f>COUNTIFS(เรื่องร้องเรียน!E:E,"4",เรื่องร้องเรียน!AO:AO,"8",เรื่องร้องเรียน!AN:AN,"สำเหร่")</f>
        <v>0</v>
      </c>
      <c r="M91" s="364"/>
      <c r="N91" s="313">
        <f t="shared" si="20"/>
        <v>0</v>
      </c>
      <c r="O91" s="367">
        <f>COUNTIFS(เรื่องร้องเรียน!AO:AO,"8",เรื่องร้องเรียน!AN:AN,"สำเหร่",เรื่องร้องเรียน!CL:CL,"1")</f>
        <v>0</v>
      </c>
      <c r="P91" s="370">
        <f>COUNTIFS(เรื่องร้องเรียน!E:E,"1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Q91" s="109">
        <f>COUNTIFS(เรื่องร้องเรียน!E:E,"2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R91" s="109">
        <f>COUNTIFS(เรื่องร้องเรียน!E:E,"3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S91" s="109">
        <f>COUNTIFS(เรื่องร้องเรียน!E:E,"4",เรื่องร้องเรียน!AO:AO,"8",เรื่องร้องเรียน!AN:AN,"สำเหร่",เรื่องร้องเรียน!AQ:AQ,"1",เรื่องร้องเรียน!CL:CL,"")</f>
        <v>0</v>
      </c>
      <c r="T91" s="371"/>
      <c r="U91" s="241">
        <f t="shared" si="18"/>
        <v>0</v>
      </c>
      <c r="V91" s="317">
        <f t="shared" si="17"/>
        <v>0</v>
      </c>
      <c r="W91" s="339">
        <f>COUNTIFS(เรื่องร้องเรียน!AO:AO,"8",เรื่องร้องเรียน!AN:AN,"สำเหร่",เรื่องร้องเรียน!CT:CT,"บำบัด")</f>
        <v>0</v>
      </c>
      <c r="X91" s="340">
        <f>COUNTIFS(เรื่องร้องเรียน!AO:AO,"8",เรื่องร้องเรียน!AN:AN,"สำเหร่",เรื่องร้องเรียน!CT:CT,"อาการทางจิต")</f>
        <v>0</v>
      </c>
    </row>
    <row r="92" spans="1:25">
      <c r="A92" s="322"/>
      <c r="B92" s="108" t="s">
        <v>105</v>
      </c>
      <c r="C92" s="359">
        <f>COUNTIFS(เรื่องร้องเรียน!E:E,"1",เรื่องร้องเรียน!AO:AO,"8",เรื่องร้องเรียน!AN:AN,"บางคอแหลม",เรื่องร้องเรียน!T:T,"1")</f>
        <v>0</v>
      </c>
      <c r="D92" s="360">
        <f>COUNTIFS(เรื่องร้องเรียน!E:E,"1",เรื่องร้องเรียน!AO:AO,"8",เรื่องร้องเรียน!AN:AN,"บางคอแหลม",เรื่องร้องเรียน!U:U,"1")</f>
        <v>0</v>
      </c>
      <c r="E92" s="360">
        <f>COUNTIFS(เรื่องร้องเรียน!E:E,"1",เรื่องร้องเรียน!AO:AO,"8",เรื่องร้องเรียน!AN:AN,"บางคอแหลม",เรื่องร้องเรียน!V:V,"1")</f>
        <v>0</v>
      </c>
      <c r="F92" s="361">
        <f>COUNTIFS(เรื่องร้องเรียน!E:E,"2",เรื่องร้องเรียน!AO:AO,"8",เรื่องร้องเรียน!AN:AN,"บางคอแหลม",เรื่องร้องเรียน!T:T,"1")</f>
        <v>0</v>
      </c>
      <c r="G92" s="361">
        <f>COUNTIFS(เรื่องร้องเรียน!E:E,"2",เรื่องร้องเรียน!AO:AO,"8",เรื่องร้องเรียน!AN:AN,"บางคอแหลม",เรื่องร้องเรียน!U:U,"1")</f>
        <v>0</v>
      </c>
      <c r="H92" s="361">
        <f>COUNTIFS(เรื่องร้องเรียน!E:E,"2",เรื่องร้องเรียน!AO:AO,"8",เรื่องร้องเรียน!AN:AN,"บางคอแหลม",เรื่องร้องเรียน!V:V,"1")</f>
        <v>0</v>
      </c>
      <c r="I92" s="362">
        <f>COUNTIFS(เรื่องร้องเรียน!E:E,"3",เรื่องร้องเรียน!AO:AO,"8",เรื่องร้องเรียน!AN:AN,"บางคอแหลม",เรื่องร้องเรียน!T:T,"1")</f>
        <v>0</v>
      </c>
      <c r="J92" s="362">
        <f>COUNTIFS(เรื่องร้องเรียน!E:E,"3",เรื่องร้องเรียน!AO:AO,"8",เรื่องร้องเรียน!AN:AN,"บางคอแหลม",เรื่องร้องเรียน!U:U,"1")</f>
        <v>0</v>
      </c>
      <c r="K92" s="362">
        <f>COUNTIFS(เรื่องร้องเรียน!E:E,"3",เรื่องร้องเรียน!AO:AO,"8",เรื่องร้องเรียน!AN:AN,"บางคอแหลม",เรื่องร้องเรียน!V:V,"1")</f>
        <v>0</v>
      </c>
      <c r="L92" s="363">
        <f>COUNTIFS(เรื่องร้องเรียน!E:E,"4",เรื่องร้องเรียน!AO:AO,"8",เรื่องร้องเรียน!AN:AN,"บางคอแหลม")</f>
        <v>0</v>
      </c>
      <c r="M92" s="364"/>
      <c r="N92" s="313">
        <f t="shared" si="20"/>
        <v>0</v>
      </c>
      <c r="O92" s="367">
        <f>COUNTIFS(เรื่องร้องเรียน!AO:AO,"8",เรื่องร้องเรียน!AN:AN,"บางคอแหลม",เรื่องร้องเรียน!CL:CL,"1")</f>
        <v>0</v>
      </c>
      <c r="P92" s="370">
        <f>COUNTIFS(เรื่องร้องเรียน!E:E,"1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Q92" s="109">
        <f>COUNTIFS(เรื่องร้องเรียน!E:E,"2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R92" s="109">
        <f>COUNTIFS(เรื่องร้องเรียน!E:E,"3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S92" s="109">
        <f>COUNTIFS(เรื่องร้องเรียน!E:E,"4",เรื่องร้องเรียน!AO:AO,"8",เรื่องร้องเรียน!AN:AN,"บางคอแหลม",เรื่องร้องเรียน!AQ:AQ,"1",เรื่องร้องเรียน!CL:CL,"")</f>
        <v>0</v>
      </c>
      <c r="T92" s="371"/>
      <c r="U92" s="241">
        <f t="shared" si="18"/>
        <v>0</v>
      </c>
      <c r="V92" s="317">
        <f t="shared" si="17"/>
        <v>0</v>
      </c>
      <c r="W92" s="339">
        <f>COUNTIFS(เรื่องร้องเรียน!AO:AO,"8",เรื่องร้องเรียน!AN:AN,"บางคอแหลม",เรื่องร้องเรียน!CT:CT,"บำบัด")</f>
        <v>0</v>
      </c>
      <c r="X92" s="340">
        <f>COUNTIFS(เรื่องร้องเรียน!AO:AO,"8",เรื่องร้องเรียน!AN:AN,"บางคอแหลม",เรื่องร้องเรียน!CT:CT,"อาการทางจิต")</f>
        <v>0</v>
      </c>
      <c r="Y92" s="444" t="s">
        <v>251</v>
      </c>
    </row>
    <row r="93" spans="1:25" ht="21.6" thickBot="1">
      <c r="A93" s="323"/>
      <c r="B93" s="112" t="s">
        <v>198</v>
      </c>
      <c r="C93" s="289">
        <f>COUNTIFS(เรื่องร้องเรียน!E:E,"1",เรื่องร้องเรียน!AO:AO,"8",เรื่องร้องเรียน!AN:AN,"ปากคลองสาน",เรื่องร้องเรียน!T:T,"1")</f>
        <v>0</v>
      </c>
      <c r="D93" s="290">
        <f>COUNTIFS(เรื่องร้องเรียน!E:E,"1",เรื่องร้องเรียน!AO:AO,"8",เรื่องร้องเรียน!AN:AN,"ปากคลองสาน",เรื่องร้องเรียน!U:U,"1")</f>
        <v>0</v>
      </c>
      <c r="E93" s="290">
        <f>COUNTIFS(เรื่องร้องเรียน!E:E,"1",เรื่องร้องเรียน!AO:AO,"8",เรื่องร้องเรียน!AN:AN,"ปากคลองสาน",เรื่องร้องเรียน!V:V,"1")</f>
        <v>0</v>
      </c>
      <c r="F93" s="291">
        <f>COUNTIFS(เรื่องร้องเรียน!E:E,"2",เรื่องร้องเรียน!AO:AO,"8",เรื่องร้องเรียน!AN:AN,"ปากคลองสาน",เรื่องร้องเรียน!T:T,"1")</f>
        <v>0</v>
      </c>
      <c r="G93" s="291">
        <f>COUNTIFS(เรื่องร้องเรียน!E:E,"2",เรื่องร้องเรียน!AO:AO,"8",เรื่องร้องเรียน!AN:AN,"ปากคลองสาน",เรื่องร้องเรียน!U:U,"1")</f>
        <v>0</v>
      </c>
      <c r="H93" s="291">
        <f>COUNTIFS(เรื่องร้องเรียน!E:E,"2",เรื่องร้องเรียน!AO:AO,"8",เรื่องร้องเรียน!AN:AN,"ปากคลองสาน",เรื่องร้องเรียน!V:V,"1")</f>
        <v>0</v>
      </c>
      <c r="I93" s="292">
        <f>COUNTIFS(เรื่องร้องเรียน!E:E,"3",เรื่องร้องเรียน!AO:AO,"8",เรื่องร้องเรียน!AN:AN,"ปากคลองสาน",เรื่องร้องเรียน!T:T,"1")</f>
        <v>0</v>
      </c>
      <c r="J93" s="292">
        <f>COUNTIFS(เรื่องร้องเรียน!E:E,"3",เรื่องร้องเรียน!AO:AO,"8",เรื่องร้องเรียน!AN:AN,"ปากคลองสาน",เรื่องร้องเรียน!U:U,"1")</f>
        <v>0</v>
      </c>
      <c r="K93" s="292">
        <f>COUNTIFS(เรื่องร้องเรียน!E:E,"3",เรื่องร้องเรียน!AO:AO,"8",เรื่องร้องเรียน!AN:AN,"ปากคลองสาน",เรื่องร้องเรียน!V:V,"1")</f>
        <v>0</v>
      </c>
      <c r="L93" s="293">
        <f>COUNTIFS(เรื่องร้องเรียน!E:E,"4",เรื่องร้องเรียน!AO:AO,"8",เรื่องร้องเรียน!AN:AN,"ปากคลองสาน")</f>
        <v>0</v>
      </c>
      <c r="M93" s="365"/>
      <c r="N93" s="314">
        <f t="shared" si="20"/>
        <v>0</v>
      </c>
      <c r="O93" s="350">
        <f>COUNTIFS(เรื่องร้องเรียน!AO:AO,"8",เรื่องร้องเรียน!AN:AN,"ปากคลองสาน",เรื่องร้องเรียน!CL:CL,"1")</f>
        <v>0</v>
      </c>
      <c r="P93" s="245">
        <f>COUNTIFS(เรื่องร้องเรียน!E:E,"1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Q93" s="124">
        <f>COUNTIFS(เรื่องร้องเรียน!E:E,"2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R93" s="124">
        <f>COUNTIFS(เรื่องร้องเรียน!E:E,"3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S93" s="124">
        <f>COUNTIFS(เรื่องร้องเรียน!E:E,"4",เรื่องร้องเรียน!AO:AO,"8",เรื่องร้องเรียน!AN:AN,"ปากคลองสาน",เรื่องร้องเรียน!AQ:AQ,"1",เรื่องร้องเรียน!CL:CL,"")</f>
        <v>0</v>
      </c>
      <c r="T93" s="333"/>
      <c r="U93" s="237">
        <f t="shared" si="18"/>
        <v>0</v>
      </c>
      <c r="V93" s="318">
        <f t="shared" si="17"/>
        <v>0</v>
      </c>
      <c r="W93" s="343">
        <f>COUNTIFS(เรื่องร้องเรียน!AO:AO,"8",เรื่องร้องเรียน!AN:AN,"ปากคลองสาน",เรื่องร้องเรียน!CT:CT,"บำบัด")</f>
        <v>0</v>
      </c>
      <c r="X93" s="340">
        <f>COUNTIFS(เรื่องร้องเรียน!AO:AO,"8",เรื่องร้องเรียน!AN:AN,"ปากคลองสาน",เรื่องร้องเรียน!CT:CT,"อาการทางจิต")</f>
        <v>0</v>
      </c>
    </row>
    <row r="94" spans="1:25" ht="21.6" thickBot="1">
      <c r="A94" s="320">
        <v>9</v>
      </c>
      <c r="B94" s="282"/>
      <c r="C94" s="283">
        <f>SUM(C95:C104)</f>
        <v>0</v>
      </c>
      <c r="D94" s="284">
        <f t="shared" ref="D94:S94" si="21">SUM(D95:D104)</f>
        <v>0</v>
      </c>
      <c r="E94" s="284">
        <f t="shared" si="21"/>
        <v>0</v>
      </c>
      <c r="F94" s="284">
        <f t="shared" si="21"/>
        <v>0</v>
      </c>
      <c r="G94" s="284">
        <f t="shared" si="21"/>
        <v>0</v>
      </c>
      <c r="H94" s="284">
        <f t="shared" si="21"/>
        <v>0</v>
      </c>
      <c r="I94" s="284">
        <f t="shared" si="21"/>
        <v>0</v>
      </c>
      <c r="J94" s="284">
        <f t="shared" si="21"/>
        <v>0</v>
      </c>
      <c r="K94" s="284">
        <f t="shared" si="21"/>
        <v>0</v>
      </c>
      <c r="L94" s="284">
        <f t="shared" si="21"/>
        <v>0</v>
      </c>
      <c r="M94" s="332"/>
      <c r="N94" s="311">
        <f>SUM(N95:N104)</f>
        <v>0</v>
      </c>
      <c r="O94" s="349">
        <f>SUM(O95:O104)</f>
        <v>0</v>
      </c>
      <c r="P94" s="285">
        <f t="shared" si="21"/>
        <v>0</v>
      </c>
      <c r="Q94" s="284">
        <f t="shared" si="21"/>
        <v>0</v>
      </c>
      <c r="R94" s="284">
        <f t="shared" si="21"/>
        <v>0</v>
      </c>
      <c r="S94" s="284">
        <f t="shared" si="21"/>
        <v>0</v>
      </c>
      <c r="T94" s="332"/>
      <c r="U94" s="287">
        <f t="shared" si="18"/>
        <v>0</v>
      </c>
      <c r="V94" s="315">
        <f t="shared" si="17"/>
        <v>0</v>
      </c>
      <c r="W94" s="341">
        <f>SUM(W95:W104)</f>
        <v>0</v>
      </c>
      <c r="X94" s="342">
        <f>SUM(X95:X104)</f>
        <v>0</v>
      </c>
    </row>
    <row r="95" spans="1:25">
      <c r="A95" s="321"/>
      <c r="B95" s="99" t="s">
        <v>112</v>
      </c>
      <c r="C95" s="353">
        <f>COUNTIFS(เรื่องร้องเรียน!E:E,"1",เรื่องร้องเรียน!AO:AO,"9",เรื่องร้องเรียน!AN:AN,"ท่าข้าม",เรื่องร้องเรียน!T:T,"1")</f>
        <v>0</v>
      </c>
      <c r="D95" s="354">
        <f>COUNTIFS(เรื่องร้องเรียน!E:E,"1",เรื่องร้องเรียน!AO:AO,"9",เรื่องร้องเรียน!AN:AN,"ท่าข้าม",เรื่องร้องเรียน!U:U,"1")</f>
        <v>0</v>
      </c>
      <c r="E95" s="354">
        <f>COUNTIFS(เรื่องร้องเรียน!E:E,"1",เรื่องร้องเรียน!AO:AO,"9",เรื่องร้องเรียน!AN:AN,"ท่าข้าม",เรื่องร้องเรียน!V:V,"1")</f>
        <v>0</v>
      </c>
      <c r="F95" s="355">
        <f>COUNTIFS(เรื่องร้องเรียน!E:E,"2",เรื่องร้องเรียน!AO:AO,"9",เรื่องร้องเรียน!AN:AN,"ท่าข้าม",เรื่องร้องเรียน!T:T,"1")</f>
        <v>0</v>
      </c>
      <c r="G95" s="355">
        <f>COUNTIFS(เรื่องร้องเรียน!E:E,"2",เรื่องร้องเรียน!AO:AO,"9",เรื่องร้องเรียน!AN:AN,"ท่าข้าม",เรื่องร้องเรียน!U:U,"1")</f>
        <v>0</v>
      </c>
      <c r="H95" s="355">
        <f>COUNTIFS(เรื่องร้องเรียน!E:E,"2",เรื่องร้องเรียน!AO:AO,"9",เรื่องร้องเรียน!AN:AN,"ท่าข้าม",เรื่องร้องเรียน!V:V,"1")</f>
        <v>0</v>
      </c>
      <c r="I95" s="356">
        <f>COUNTIFS(เรื่องร้องเรียน!E:E,"3",เรื่องร้องเรียน!AO:AO,"9",เรื่องร้องเรียน!AN:AN,"ท่าข้าม",เรื่องร้องเรียน!T:T,"1")</f>
        <v>0</v>
      </c>
      <c r="J95" s="356">
        <f>COUNTIFS(เรื่องร้องเรียน!E:E,"3",เรื่องร้องเรียน!AO:AO,"9",เรื่องร้องเรียน!AN:AN,"ท่าข้าม",เรื่องร้องเรียน!U:U,"1")</f>
        <v>0</v>
      </c>
      <c r="K95" s="356">
        <f>COUNTIFS(เรื่องร้องเรียน!E:E,"3",เรื่องร้องเรียน!AO:AO,"9",เรื่องร้องเรียน!AN:AN,"ท่าข้าม",เรื่องร้องเรียน!V:V,"1")</f>
        <v>0</v>
      </c>
      <c r="L95" s="357">
        <f>COUNTIFS(เรื่องร้องเรียน!E:E,"4",เรื่องร้องเรียน!AO:AO,"9",เรื่องร้องเรียน!AN:AN,"ท่าข้าม")</f>
        <v>0</v>
      </c>
      <c r="M95" s="358"/>
      <c r="N95" s="312">
        <f t="shared" ref="N95:N104" si="22">SUM(C95:L95)</f>
        <v>0</v>
      </c>
      <c r="O95" s="366">
        <f>COUNTIFS(เรื่องร้องเรียน!AO:AO,"9",เรื่องร้องเรียน!AN:AN,"ท่าข้าม",เรื่องร้องเรียน!CL:CL,"1")</f>
        <v>0</v>
      </c>
      <c r="P95" s="368">
        <f>COUNTIFS(เรื่องร้องเรียน!E:E,"1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Q95" s="105">
        <f>COUNTIFS(เรื่องร้องเรียน!E:E,"2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R95" s="105">
        <f>COUNTIFS(เรื่องร้องเรียน!E:E,"3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S95" s="105">
        <f>COUNTIFS(เรื่องร้องเรียน!E:E,"4",เรื่องร้องเรียน!AO:AO,"9",เรื่องร้องเรียน!AN:AN,"ท่าข้าม",เรื่องร้องเรียน!AQ:AQ,"1",เรื่องร้องเรียน!CL:CL,"")</f>
        <v>0</v>
      </c>
      <c r="T95" s="369"/>
      <c r="U95" s="240">
        <f t="shared" si="18"/>
        <v>0</v>
      </c>
      <c r="V95" s="316">
        <f t="shared" si="17"/>
        <v>0</v>
      </c>
      <c r="W95" s="339">
        <f>COUNTIFS(เรื่องร้องเรียน!AO:AO,"9",เรื่องร้องเรียน!AN:AN,"ท่าข้าม",เรื่องร้องเรียน!CT:CT,"บำบัด")</f>
        <v>0</v>
      </c>
      <c r="X95" s="340">
        <f>COUNTIFS(เรื่องร้องเรียน!AO:AO,"9",เรื่องร้องเรียน!AN:AN,"ท่าข้าม",เรื่องร้องเรียน!CT:CT,"อาการทางจิต")</f>
        <v>0</v>
      </c>
    </row>
    <row r="96" spans="1:25">
      <c r="A96" s="322"/>
      <c r="B96" s="108" t="s">
        <v>121</v>
      </c>
      <c r="C96" s="359">
        <f>COUNTIFS(เรื่องร้องเรียน!E:E,"1",เรื่องร้องเรียน!AO:AO,"9",เรื่องร้องเรียน!AN:AN,"เทียนทะเล",เรื่องร้องเรียน!T:T,"1")</f>
        <v>0</v>
      </c>
      <c r="D96" s="360">
        <f>COUNTIFS(เรื่องร้องเรียน!E:E,"1",เรื่องร้องเรียน!AO:AO,"9",เรื่องร้องเรียน!AN:AN,"เทียนทะเล",เรื่องร้องเรียน!U:U,"1")</f>
        <v>0</v>
      </c>
      <c r="E96" s="360">
        <f>COUNTIFS(เรื่องร้องเรียน!E:E,"1",เรื่องร้องเรียน!AO:AO,"9",เรื่องร้องเรียน!AN:AN,"เทียนทะเล",เรื่องร้องเรียน!V:V,"1")</f>
        <v>0</v>
      </c>
      <c r="F96" s="361">
        <f>COUNTIFS(เรื่องร้องเรียน!E:E,"2",เรื่องร้องเรียน!AO:AO,"9",เรื่องร้องเรียน!AN:AN,"เทียนทะเล",เรื่องร้องเรียน!T:T,"1")</f>
        <v>0</v>
      </c>
      <c r="G96" s="361">
        <f>COUNTIFS(เรื่องร้องเรียน!E:E,"2",เรื่องร้องเรียน!AO:AO,"9",เรื่องร้องเรียน!AN:AN,"เทียนทะเล",เรื่องร้องเรียน!U:U,"1")</f>
        <v>0</v>
      </c>
      <c r="H96" s="361">
        <f>COUNTIFS(เรื่องร้องเรียน!E:E,"2",เรื่องร้องเรียน!AO:AO,"9",เรื่องร้องเรียน!AN:AN,"เทียนทะเล",เรื่องร้องเรียน!V:V,"1")</f>
        <v>0</v>
      </c>
      <c r="I96" s="362">
        <f>COUNTIFS(เรื่องร้องเรียน!E:E,"3",เรื่องร้องเรียน!AO:AO,"9",เรื่องร้องเรียน!AN:AN,"เทียนทะเล",เรื่องร้องเรียน!T:T,"1")</f>
        <v>0</v>
      </c>
      <c r="J96" s="362">
        <f>COUNTIFS(เรื่องร้องเรียน!E:E,"3",เรื่องร้องเรียน!AO:AO,"9",เรื่องร้องเรียน!AN:AN,"เทียนทะเล",เรื่องร้องเรียน!U:U,"1")</f>
        <v>0</v>
      </c>
      <c r="K96" s="362">
        <f>COUNTIFS(เรื่องร้องเรียน!E:E,"3",เรื่องร้องเรียน!AO:AO,"9",เรื่องร้องเรียน!AN:AN,"เทียนทะเล",เรื่องร้องเรียน!V:V,"1")</f>
        <v>0</v>
      </c>
      <c r="L96" s="363">
        <f>COUNTIFS(เรื่องร้องเรียน!E:E,"4",เรื่องร้องเรียน!AO:AO,"9",เรื่องร้องเรียน!AN:AN,"เทียนทะเล")</f>
        <v>0</v>
      </c>
      <c r="M96" s="364"/>
      <c r="N96" s="313">
        <f t="shared" si="22"/>
        <v>0</v>
      </c>
      <c r="O96" s="367">
        <f>COUNTIFS(เรื่องร้องเรียน!AO:AO,"9",เรื่องร้องเรียน!AN:AN,"เทียนทะเล",เรื่องร้องเรียน!CL:CL,"1")</f>
        <v>0</v>
      </c>
      <c r="P96" s="370">
        <f>COUNTIFS(เรื่องร้องเรียน!E:E,"1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Q96" s="109">
        <f>COUNTIFS(เรื่องร้องเรียน!E:E,"2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R96" s="109">
        <f>COUNTIFS(เรื่องร้องเรียน!E:E,"3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S96" s="109">
        <f>COUNTIFS(เรื่องร้องเรียน!E:E,"4",เรื่องร้องเรียน!AO:AO,"9",เรื่องร้องเรียน!AN:AN,"เทียนทะเล",เรื่องร้องเรียน!AQ:AQ,"1",เรื่องร้องเรียน!CL:CL,"")</f>
        <v>0</v>
      </c>
      <c r="T96" s="371"/>
      <c r="U96" s="241">
        <f t="shared" si="18"/>
        <v>0</v>
      </c>
      <c r="V96" s="317">
        <f t="shared" si="17"/>
        <v>0</v>
      </c>
      <c r="W96" s="339">
        <f>COUNTIFS(เรื่องร้องเรียน!AO:AO,"9",เรื่องร้องเรียน!AN:AN,"เทียนทะเล",เรื่องร้องเรียน!CT:CT,"บำบัด")</f>
        <v>0</v>
      </c>
      <c r="X96" s="340">
        <f>COUNTIFS(เรื่องร้องเรียน!AO:AO,"9",เรื่องร้องเรียน!AN:AN,"เทียนทะเล",เรื่องร้องเรียน!CT:CT,"อาการทางจิต")</f>
        <v>0</v>
      </c>
    </row>
    <row r="97" spans="1:24">
      <c r="A97" s="322"/>
      <c r="B97" s="108" t="s">
        <v>71</v>
      </c>
      <c r="C97" s="359">
        <f>COUNTIFS(เรื่องร้องเรียน!E:E,"1",เรื่องร้องเรียน!AO:AO,"9",เรื่องร้องเรียน!AN:AN,"บางขุนเทียน",เรื่องร้องเรียน!T:T,"1")</f>
        <v>0</v>
      </c>
      <c r="D97" s="360">
        <f>COUNTIFS(เรื่องร้องเรียน!E:E,"1",เรื่องร้องเรียน!AO:AO,"9",เรื่องร้องเรียน!AN:AN,"บางขุนเทียน",เรื่องร้องเรียน!U:U,"1")</f>
        <v>0</v>
      </c>
      <c r="E97" s="360">
        <f>COUNTIFS(เรื่องร้องเรียน!E:E,"1",เรื่องร้องเรียน!AO:AO,"9",เรื่องร้องเรียน!AN:AN,"บางขุนเทียน",เรื่องร้องเรียน!V:V,"1")</f>
        <v>0</v>
      </c>
      <c r="F97" s="361">
        <f>COUNTIFS(เรื่องร้องเรียน!E:E,"2",เรื่องร้องเรียน!AO:AO,"9",เรื่องร้องเรียน!AN:AN,"บางขุนเทียน",เรื่องร้องเรียน!T:T,"1")</f>
        <v>0</v>
      </c>
      <c r="G97" s="361">
        <f>COUNTIFS(เรื่องร้องเรียน!E:E,"2",เรื่องร้องเรียน!AO:AO,"9",เรื่องร้องเรียน!AN:AN,"บางขุนเทียน",เรื่องร้องเรียน!U:U,"1")</f>
        <v>0</v>
      </c>
      <c r="H97" s="361">
        <f>COUNTIFS(เรื่องร้องเรียน!E:E,"2",เรื่องร้องเรียน!AO:AO,"9",เรื่องร้องเรียน!AN:AN,"บางขุนเทียน",เรื่องร้องเรียน!V:V,"1")</f>
        <v>0</v>
      </c>
      <c r="I97" s="362">
        <f>COUNTIFS(เรื่องร้องเรียน!E:E,"3",เรื่องร้องเรียน!AO:AO,"9",เรื่องร้องเรียน!AN:AN,"บางขุนเทียน",เรื่องร้องเรียน!T:T,"1")</f>
        <v>0</v>
      </c>
      <c r="J97" s="362">
        <f>COUNTIFS(เรื่องร้องเรียน!E:E,"3",เรื่องร้องเรียน!AO:AO,"9",เรื่องร้องเรียน!AN:AN,"บางขุนเทียน",เรื่องร้องเรียน!U:U,"1")</f>
        <v>0</v>
      </c>
      <c r="K97" s="362">
        <f>COUNTIFS(เรื่องร้องเรียน!E:E,"3",เรื่องร้องเรียน!AO:AO,"9",เรื่องร้องเรียน!AN:AN,"บางขุนเทียน",เรื่องร้องเรียน!V:V,"1")</f>
        <v>0</v>
      </c>
      <c r="L97" s="363">
        <f>COUNTIFS(เรื่องร้องเรียน!E:E,"4",เรื่องร้องเรียน!AO:AO,"9",เรื่องร้องเรียน!AN:AN,"บางขุนเทียน")</f>
        <v>0</v>
      </c>
      <c r="M97" s="364"/>
      <c r="N97" s="313">
        <f t="shared" si="22"/>
        <v>0</v>
      </c>
      <c r="O97" s="367">
        <f>COUNTIFS(เรื่องร้องเรียน!AO:AO,"9",เรื่องร้องเรียน!AN:AN,"บางขุนเทียน",เรื่องร้องเรียน!CL:CL,"1")</f>
        <v>0</v>
      </c>
      <c r="P97" s="370">
        <f>COUNTIFS(เรื่องร้องเรียน!E:E,"1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Q97" s="109">
        <f>COUNTIFS(เรื่องร้องเรียน!E:E,"2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R97" s="109">
        <f>COUNTIFS(เรื่องร้องเรียน!E:E,"3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S97" s="109">
        <f>COUNTIFS(เรื่องร้องเรียน!E:E,"4",เรื่องร้องเรียน!AO:AO,"9",เรื่องร้องเรียน!AN:AN,"บางขุนเทียน",เรื่องร้องเรียน!AQ:AQ,"1",เรื่องร้องเรียน!CL:CL,"")</f>
        <v>0</v>
      </c>
      <c r="T97" s="371"/>
      <c r="U97" s="241">
        <f t="shared" si="18"/>
        <v>0</v>
      </c>
      <c r="V97" s="317">
        <f t="shared" si="17"/>
        <v>0</v>
      </c>
      <c r="W97" s="339">
        <f>COUNTIFS(เรื่องร้องเรียน!AO:AO,"9",เรื่องร้องเรียน!AN:AN,"บางขุนเทียน",เรื่องร้องเรียน!CT:CT,"บำบัด")</f>
        <v>0</v>
      </c>
      <c r="X97" s="340">
        <f>COUNTIFS(เรื่องร้องเรียน!AO:AO,"9",เรื่องร้องเรียน!AN:AN,"บางขุนเทียน",เรื่องร้องเรียน!CT:CT,"อาการทางจิต")</f>
        <v>0</v>
      </c>
    </row>
    <row r="98" spans="1:24">
      <c r="A98" s="322"/>
      <c r="B98" s="108" t="s">
        <v>94</v>
      </c>
      <c r="C98" s="359">
        <f>COUNTIFS(เรื่องร้องเรียน!E:E,"1",เรื่องร้องเรียน!AO:AO,"9",เรื่องร้องเรียน!AN:AN,"บางบอน",เรื่องร้องเรียน!T:T,"1")</f>
        <v>0</v>
      </c>
      <c r="D98" s="360">
        <f>COUNTIFS(เรื่องร้องเรียน!E:E,"1",เรื่องร้องเรียน!AO:AO,"9",เรื่องร้องเรียน!AN:AN,"บางบอน",เรื่องร้องเรียน!U:U,"1")</f>
        <v>0</v>
      </c>
      <c r="E98" s="360">
        <f>COUNTIFS(เรื่องร้องเรียน!E:E,"1",เรื่องร้องเรียน!AO:AO,"9",เรื่องร้องเรียน!AN:AN,"บางบอน",เรื่องร้องเรียน!V:V,"1")</f>
        <v>0</v>
      </c>
      <c r="F98" s="361">
        <f>COUNTIFS(เรื่องร้องเรียน!E:E,"2",เรื่องร้องเรียน!AO:AO,"9",เรื่องร้องเรียน!AN:AN,"บางบอน",เรื่องร้องเรียน!T:T,"1")</f>
        <v>0</v>
      </c>
      <c r="G98" s="361">
        <f>COUNTIFS(เรื่องร้องเรียน!E:E,"2",เรื่องร้องเรียน!AO:AO,"9",เรื่องร้องเรียน!AN:AN,"บางบอน",เรื่องร้องเรียน!U:U,"1")</f>
        <v>0</v>
      </c>
      <c r="H98" s="361">
        <f>COUNTIFS(เรื่องร้องเรียน!E:E,"2",เรื่องร้องเรียน!AO:AO,"9",เรื่องร้องเรียน!AN:AN,"บางบอน",เรื่องร้องเรียน!V:V,"1")</f>
        <v>0</v>
      </c>
      <c r="I98" s="362">
        <f>COUNTIFS(เรื่องร้องเรียน!E:E,"3",เรื่องร้องเรียน!AO:AO,"9",เรื่องร้องเรียน!AN:AN,"บางบอน",เรื่องร้องเรียน!T:T,"1")</f>
        <v>0</v>
      </c>
      <c r="J98" s="362">
        <f>COUNTIFS(เรื่องร้องเรียน!E:E,"3",เรื่องร้องเรียน!AO:AO,"9",เรื่องร้องเรียน!AN:AN,"บางบอน",เรื่องร้องเรียน!U:U,"1")</f>
        <v>0</v>
      </c>
      <c r="K98" s="362">
        <f>COUNTIFS(เรื่องร้องเรียน!E:E,"3",เรื่องร้องเรียน!AO:AO,"9",เรื่องร้องเรียน!AN:AN,"บางบอน",เรื่องร้องเรียน!V:V,"1")</f>
        <v>0</v>
      </c>
      <c r="L98" s="363">
        <f>COUNTIFS(เรื่องร้องเรียน!E:E,"4",เรื่องร้องเรียน!AO:AO,"9",เรื่องร้องเรียน!AN:AN,"บางบอน")</f>
        <v>0</v>
      </c>
      <c r="M98" s="364"/>
      <c r="N98" s="313">
        <f t="shared" si="22"/>
        <v>0</v>
      </c>
      <c r="O98" s="367">
        <f>COUNTIFS(เรื่องร้องเรียน!AO:AO,"9",เรื่องร้องเรียน!AN:AN,"บางบอน",เรื่องร้องเรียน!CL:CL,"1")</f>
        <v>0</v>
      </c>
      <c r="P98" s="370">
        <f>COUNTIFS(เรื่องร้องเรียน!E:E,"1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Q98" s="109">
        <f>COUNTIFS(เรื่องร้องเรียน!E:E,"2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R98" s="109">
        <f>COUNTIFS(เรื่องร้องเรียน!E:E,"3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S98" s="109">
        <f>COUNTIFS(เรื่องร้องเรียน!E:E,"4",เรื่องร้องเรียน!AO:AO,"9",เรื่องร้องเรียน!AN:AN,"บางบอน",เรื่องร้องเรียน!AQ:AQ,"1",เรื่องร้องเรียน!CL:CL,"")</f>
        <v>0</v>
      </c>
      <c r="T98" s="371"/>
      <c r="U98" s="241">
        <f t="shared" si="18"/>
        <v>0</v>
      </c>
      <c r="V98" s="317">
        <f t="shared" si="17"/>
        <v>0</v>
      </c>
      <c r="W98" s="339">
        <f>COUNTIFS(เรื่องร้องเรียน!AO:AO,"9",เรื่องร้องเรียน!AN:AN,"บางบอน",เรื่องร้องเรียน!CT:CT,"บำบัด")</f>
        <v>0</v>
      </c>
      <c r="X98" s="340">
        <f>COUNTIFS(เรื่องร้องเรียน!AO:AO,"9",เรื่องร้องเรียน!AN:AN,"บางบอน",เรื่องร้องเรียน!CT:CT,"อาการทางจิต")</f>
        <v>0</v>
      </c>
    </row>
    <row r="99" spans="1:24">
      <c r="A99" s="322"/>
      <c r="B99" s="108" t="s">
        <v>76</v>
      </c>
      <c r="C99" s="359">
        <f>COUNTIFS(เรื่องร้องเรียน!E:E,"1",เรื่องร้องเรียน!AO:AO,"9",เรื่องร้องเรียน!AN:AN,"เพชรเกษม",เรื่องร้องเรียน!T:T,"1")</f>
        <v>0</v>
      </c>
      <c r="D99" s="360">
        <f>COUNTIFS(เรื่องร้องเรียน!E:E,"1",เรื่องร้องเรียน!AO:AO,"9",เรื่องร้องเรียน!AN:AN,"เพชรเกษม",เรื่องร้องเรียน!U:U,"1")</f>
        <v>0</v>
      </c>
      <c r="E99" s="360">
        <f>COUNTIFS(เรื่องร้องเรียน!E:E,"1",เรื่องร้องเรียน!AO:AO,"9",เรื่องร้องเรียน!AN:AN,"เพชรเกษม",เรื่องร้องเรียน!V:V,"1")</f>
        <v>0</v>
      </c>
      <c r="F99" s="361">
        <f>COUNTIFS(เรื่องร้องเรียน!E:E,"2",เรื่องร้องเรียน!AO:AO,"9",เรื่องร้องเรียน!AN:AN,"เพชรเกษม",เรื่องร้องเรียน!T:T,"1")</f>
        <v>0</v>
      </c>
      <c r="G99" s="361">
        <f>COUNTIFS(เรื่องร้องเรียน!E:E,"2",เรื่องร้องเรียน!AO:AO,"9",เรื่องร้องเรียน!AN:AN,"เพชรเกษม",เรื่องร้องเรียน!U:U,"1")</f>
        <v>0</v>
      </c>
      <c r="H99" s="361">
        <f>COUNTIFS(เรื่องร้องเรียน!E:E,"2",เรื่องร้องเรียน!AO:AO,"9",เรื่องร้องเรียน!AN:AN,"เพชรเกษม",เรื่องร้องเรียน!V:V,"1")</f>
        <v>0</v>
      </c>
      <c r="I99" s="362">
        <f>COUNTIFS(เรื่องร้องเรียน!E:E,"3",เรื่องร้องเรียน!AO:AO,"9",เรื่องร้องเรียน!AN:AN,"เพชรเกษม",เรื่องร้องเรียน!T:T,"1")</f>
        <v>0</v>
      </c>
      <c r="J99" s="362">
        <f>COUNTIFS(เรื่องร้องเรียน!E:E,"3",เรื่องร้องเรียน!AO:AO,"9",เรื่องร้องเรียน!AN:AN,"เพชรเกษม",เรื่องร้องเรียน!U:U,"1")</f>
        <v>0</v>
      </c>
      <c r="K99" s="362">
        <f>COUNTIFS(เรื่องร้องเรียน!E:E,"3",เรื่องร้องเรียน!AO:AO,"9",เรื่องร้องเรียน!AN:AN,"เพชรเกษม",เรื่องร้องเรียน!V:V,"1")</f>
        <v>0</v>
      </c>
      <c r="L99" s="363">
        <f>COUNTIFS(เรื่องร้องเรียน!E:E,"4",เรื่องร้องเรียน!AO:AO,"9",เรื่องร้องเรียน!AN:AN,"เพชรเกษม")</f>
        <v>0</v>
      </c>
      <c r="M99" s="364"/>
      <c r="N99" s="313">
        <f t="shared" si="22"/>
        <v>0</v>
      </c>
      <c r="O99" s="367">
        <f>COUNTIFS(เรื่องร้องเรียน!AO:AO,"9",เรื่องร้องเรียน!AN:AN,"เพชรเกษม",เรื่องร้องเรียน!CL:CL,"1")</f>
        <v>0</v>
      </c>
      <c r="P99" s="370">
        <f>COUNTIFS(เรื่องร้องเรียน!E:E,"1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Q99" s="109">
        <f>COUNTIFS(เรื่องร้องเรียน!E:E,"2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R99" s="109">
        <f>COUNTIFS(เรื่องร้องเรียน!E:E,"3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S99" s="109">
        <f>COUNTIFS(เรื่องร้องเรียน!E:E,"4",เรื่องร้องเรียน!AO:AO,"9",เรื่องร้องเรียน!AN:AN,"เพชรเกษม",เรื่องร้องเรียน!AQ:AQ,"1",เรื่องร้องเรียน!CL:CL,"")</f>
        <v>0</v>
      </c>
      <c r="T99" s="371"/>
      <c r="U99" s="241">
        <f t="shared" si="18"/>
        <v>0</v>
      </c>
      <c r="V99" s="317">
        <f t="shared" si="17"/>
        <v>0</v>
      </c>
      <c r="W99" s="339">
        <f>COUNTIFS(เรื่องร้องเรียน!AO:AO,"9",เรื่องร้องเรียน!AN:AN,"เพชรเกษม",เรื่องร้องเรียน!CT:CT,"บำบัด")</f>
        <v>0</v>
      </c>
      <c r="X99" s="340">
        <f>COUNTIFS(เรื่องร้องเรียน!AO:AO,"9",เรื่องร้องเรียน!AN:AN,"เพชรเกษม",เรื่องร้องเรียน!CT:CT,"อาการทางจิต")</f>
        <v>0</v>
      </c>
    </row>
    <row r="100" spans="1:24">
      <c r="A100" s="322"/>
      <c r="B100" s="108" t="s">
        <v>199</v>
      </c>
      <c r="C100" s="359">
        <f>COUNTIFS(เรื่องร้องเรียน!E:E,"1",เรื่องร้องเรียน!AO:AO,"9",เรื่องร้องเรียน!AN:AN,"ภาษีเจริญ",เรื่องร้องเรียน!T:T,"1")</f>
        <v>0</v>
      </c>
      <c r="D100" s="360">
        <f>COUNTIFS(เรื่องร้องเรียน!E:E,"1",เรื่องร้องเรียน!AO:AO,"9",เรื่องร้องเรียน!AN:AN,"ภาษีเจริญ",เรื่องร้องเรียน!U:U,"1")</f>
        <v>0</v>
      </c>
      <c r="E100" s="360">
        <f>COUNTIFS(เรื่องร้องเรียน!E:E,"1",เรื่องร้องเรียน!AO:AO,"9",เรื่องร้องเรียน!AN:AN,"ภาษีเจริญ",เรื่องร้องเรียน!V:V,"1")</f>
        <v>0</v>
      </c>
      <c r="F100" s="361">
        <f>COUNTIFS(เรื่องร้องเรียน!E:E,"2",เรื่องร้องเรียน!AO:AO,"9",เรื่องร้องเรียน!AN:AN,"ภาษีเจริญ",เรื่องร้องเรียน!T:T,"1")</f>
        <v>0</v>
      </c>
      <c r="G100" s="361">
        <f>COUNTIFS(เรื่องร้องเรียน!E:E,"2",เรื่องร้องเรียน!AO:AO,"9",เรื่องร้องเรียน!AN:AN,"ภาษีเจริญ",เรื่องร้องเรียน!U:U,"1")</f>
        <v>0</v>
      </c>
      <c r="H100" s="361">
        <f>COUNTIFS(เรื่องร้องเรียน!E:E,"2",เรื่องร้องเรียน!AO:AO,"9",เรื่องร้องเรียน!AN:AN,"ภาษีเจริญ",เรื่องร้องเรียน!V:V,"1")</f>
        <v>0</v>
      </c>
      <c r="I100" s="362">
        <f>COUNTIFS(เรื่องร้องเรียน!E:E,"3",เรื่องร้องเรียน!AO:AO,"9",เรื่องร้องเรียน!AN:AN,"ภาษีเจริญ",เรื่องร้องเรียน!T:T,"1")</f>
        <v>0</v>
      </c>
      <c r="J100" s="362">
        <f>COUNTIFS(เรื่องร้องเรียน!E:E,"3",เรื่องร้องเรียน!AO:AO,"9",เรื่องร้องเรียน!AN:AN,"ภาษีเจริญ",เรื่องร้องเรียน!U:U,"1")</f>
        <v>0</v>
      </c>
      <c r="K100" s="362">
        <f>COUNTIFS(เรื่องร้องเรียน!E:E,"3",เรื่องร้องเรียน!AO:AO,"9",เรื่องร้องเรียน!AN:AN,"ภาษีเจริญ",เรื่องร้องเรียน!V:V,"1")</f>
        <v>0</v>
      </c>
      <c r="L100" s="363">
        <f>COUNTIFS(เรื่องร้องเรียน!E:E,"4",เรื่องร้องเรียน!AO:AO,"9",เรื่องร้องเรียน!AN:AN,"ภาษีเจริญ")</f>
        <v>0</v>
      </c>
      <c r="M100" s="364"/>
      <c r="N100" s="313">
        <f t="shared" si="22"/>
        <v>0</v>
      </c>
      <c r="O100" s="367">
        <f>COUNTIFS(เรื่องร้องเรียน!AO:AO,"9",เรื่องร้องเรียน!AN:AN,"ภาษีเจริญ",เรื่องร้องเรียน!CL:CL,"1")</f>
        <v>0</v>
      </c>
      <c r="P100" s="370">
        <f>COUNTIFS(เรื่องร้องเรียน!E:E,"1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Q100" s="109">
        <f>COUNTIFS(เรื่องร้องเรียน!E:E,"2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R100" s="109">
        <f>COUNTIFS(เรื่องร้องเรียน!E:E,"3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S100" s="109">
        <f>COUNTIFS(เรื่องร้องเรียน!E:E,"4",เรื่องร้องเรียน!AO:AO,"9",เรื่องร้องเรียน!AN:AN,"ภาษีเจริญ",เรื่องร้องเรียน!AQ:AQ,"1",เรื่องร้องเรียน!CL:CL,"")</f>
        <v>0</v>
      </c>
      <c r="T100" s="371"/>
      <c r="U100" s="241">
        <f t="shared" si="18"/>
        <v>0</v>
      </c>
      <c r="V100" s="317">
        <f t="shared" si="17"/>
        <v>0</v>
      </c>
      <c r="W100" s="339">
        <f>COUNTIFS(เรื่องร้องเรียน!AO:AO,"9",เรื่องร้องเรียน!AN:AN,"ภาษีเจริญ",เรื่องร้องเรียน!CT:CT,"บำบัด")</f>
        <v>0</v>
      </c>
      <c r="X100" s="340">
        <f>COUNTIFS(เรื่องร้องเรียน!AO:AO,"9",เรื่องร้องเรียน!AN:AN,"ภาษีเจริญ",เรื่องร้องเรียน!CT:CT,"อาการทางจิต")</f>
        <v>0</v>
      </c>
    </row>
    <row r="101" spans="1:24">
      <c r="A101" s="322"/>
      <c r="B101" s="108" t="s">
        <v>70</v>
      </c>
      <c r="C101" s="359">
        <f>COUNTIFS(เรื่องร้องเรียน!E:E,"1",เรื่องร้องเรียน!AO:AO,"9",เรื่องร้องเรียน!AN:AN,"แสมดำ",เรื่องร้องเรียน!T:T,"1")</f>
        <v>0</v>
      </c>
      <c r="D101" s="360">
        <f>COUNTIFS(เรื่องร้องเรียน!E:E,"1",เรื่องร้องเรียน!AO:AO,"9",เรื่องร้องเรียน!AN:AN,"แสมดำ",เรื่องร้องเรียน!U:U,"1")</f>
        <v>0</v>
      </c>
      <c r="E101" s="360">
        <f>COUNTIFS(เรื่องร้องเรียน!E:E,"1",เรื่องร้องเรียน!AO:AO,"9",เรื่องร้องเรียน!AN:AN,"แสมดำ",เรื่องร้องเรียน!V:V,"1")</f>
        <v>0</v>
      </c>
      <c r="F101" s="361">
        <f>COUNTIFS(เรื่องร้องเรียน!E:E,"2",เรื่องร้องเรียน!AO:AO,"9",เรื่องร้องเรียน!AN:AN,"แสมดำ",เรื่องร้องเรียน!T:T,"1")</f>
        <v>0</v>
      </c>
      <c r="G101" s="361">
        <f>COUNTIFS(เรื่องร้องเรียน!E:E,"2",เรื่องร้องเรียน!AO:AO,"9",เรื่องร้องเรียน!AN:AN,"แสมดำ",เรื่องร้องเรียน!U:U,"1")</f>
        <v>0</v>
      </c>
      <c r="H101" s="361">
        <f>COUNTIFS(เรื่องร้องเรียน!E:E,"2",เรื่องร้องเรียน!AO:AO,"9",เรื่องร้องเรียน!AN:AN,"แสมดำ",เรื่องร้องเรียน!V:V,"1")</f>
        <v>0</v>
      </c>
      <c r="I101" s="362">
        <f>COUNTIFS(เรื่องร้องเรียน!E:E,"3",เรื่องร้องเรียน!AO:AO,"9",เรื่องร้องเรียน!AN:AN,"แสมดำ",เรื่องร้องเรียน!T:T,"1")</f>
        <v>0</v>
      </c>
      <c r="J101" s="362">
        <f>COUNTIFS(เรื่องร้องเรียน!E:E,"3",เรื่องร้องเรียน!AO:AO,"9",เรื่องร้องเรียน!AN:AN,"แสมดำ",เรื่องร้องเรียน!U:U,"1")</f>
        <v>0</v>
      </c>
      <c r="K101" s="362">
        <f>COUNTIFS(เรื่องร้องเรียน!E:E,"3",เรื่องร้องเรียน!AO:AO,"9",เรื่องร้องเรียน!AN:AN,"แสมดำ",เรื่องร้องเรียน!V:V,"1")</f>
        <v>0</v>
      </c>
      <c r="L101" s="363">
        <f>COUNTIFS(เรื่องร้องเรียน!E:E,"4",เรื่องร้องเรียน!AO:AO,"9",เรื่องร้องเรียน!AN:AN,"แสมดำ")</f>
        <v>0</v>
      </c>
      <c r="M101" s="364"/>
      <c r="N101" s="313">
        <f t="shared" si="22"/>
        <v>0</v>
      </c>
      <c r="O101" s="367">
        <f>COUNTIFS(เรื่องร้องเรียน!AO:AO,"9",เรื่องร้องเรียน!AN:AN,"แสมดำ",เรื่องร้องเรียน!CL:CL,"1")</f>
        <v>0</v>
      </c>
      <c r="P101" s="370">
        <f>COUNTIFS(เรื่องร้องเรียน!E:E,"1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Q101" s="109">
        <f>COUNTIFS(เรื่องร้องเรียน!E:E,"2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R101" s="109">
        <f>COUNTIFS(เรื่องร้องเรียน!E:E,"3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S101" s="109">
        <f>COUNTIFS(เรื่องร้องเรียน!E:E,"4",เรื่องร้องเรียน!AO:AO,"9",เรื่องร้องเรียน!AN:AN,"แสมดำ",เรื่องร้องเรียน!AQ:AQ,"1",เรื่องร้องเรียน!CL:CL,"")</f>
        <v>0</v>
      </c>
      <c r="T101" s="371"/>
      <c r="U101" s="241">
        <f t="shared" si="18"/>
        <v>0</v>
      </c>
      <c r="V101" s="317">
        <f t="shared" si="17"/>
        <v>0</v>
      </c>
      <c r="W101" s="339">
        <f>COUNTIFS(เรื่องร้องเรียน!AO:AO,"9",เรื่องร้องเรียน!AN:AN,"แสมดำ",เรื่องร้องเรียน!CT:CT,"บำบัด")</f>
        <v>0</v>
      </c>
      <c r="X101" s="340">
        <f>COUNTIFS(เรื่องร้องเรียน!AO:AO,"9",เรื่องร้องเรียน!AN:AN,"แสมดำ",เรื่องร้องเรียน!CT:CT,"อาการทางจิต")</f>
        <v>0</v>
      </c>
    </row>
    <row r="102" spans="1:24">
      <c r="A102" s="322"/>
      <c r="B102" s="108" t="s">
        <v>93</v>
      </c>
      <c r="C102" s="359">
        <f>COUNTIFS(เรื่องร้องเรียน!E:E,"1",เรื่องร้องเรียน!AO:AO,"9",เรื่องร้องเรียน!AN:AN,"หนองแขม",เรื่องร้องเรียน!T:T,"1")</f>
        <v>0</v>
      </c>
      <c r="D102" s="360">
        <f>COUNTIFS(เรื่องร้องเรียน!E:E,"1",เรื่องร้องเรียน!AO:AO,"9",เรื่องร้องเรียน!AN:AN,"หนองแขม",เรื่องร้องเรียน!U:U,"1")</f>
        <v>0</v>
      </c>
      <c r="E102" s="360">
        <f>COUNTIFS(เรื่องร้องเรียน!E:E,"1",เรื่องร้องเรียน!AO:AO,"9",เรื่องร้องเรียน!AN:AN,"หนองแขม",เรื่องร้องเรียน!V:V,"1")</f>
        <v>0</v>
      </c>
      <c r="F102" s="361">
        <f>COUNTIFS(เรื่องร้องเรียน!E:E,"2",เรื่องร้องเรียน!AO:AO,"9",เรื่องร้องเรียน!AN:AN,"หนองแขม",เรื่องร้องเรียน!T:T,"1")</f>
        <v>0</v>
      </c>
      <c r="G102" s="361">
        <f>COUNTIFS(เรื่องร้องเรียน!E:E,"2",เรื่องร้องเรียน!AO:AO,"9",เรื่องร้องเรียน!AN:AN,"หนองแขม",เรื่องร้องเรียน!U:U,"1")</f>
        <v>0</v>
      </c>
      <c r="H102" s="361">
        <f>COUNTIFS(เรื่องร้องเรียน!E:E,"2",เรื่องร้องเรียน!AO:AO,"9",เรื่องร้องเรียน!AN:AN,"หนองแขม",เรื่องร้องเรียน!V:V,"1")</f>
        <v>0</v>
      </c>
      <c r="I102" s="362">
        <f>COUNTIFS(เรื่องร้องเรียน!E:E,"3",เรื่องร้องเรียน!AO:AO,"9",เรื่องร้องเรียน!AN:AN,"หนองแขม",เรื่องร้องเรียน!T:T,"1")</f>
        <v>0</v>
      </c>
      <c r="J102" s="362">
        <f>COUNTIFS(เรื่องร้องเรียน!E:E,"3",เรื่องร้องเรียน!AO:AO,"9",เรื่องร้องเรียน!AN:AN,"หนองแขม",เรื่องร้องเรียน!U:U,"1")</f>
        <v>0</v>
      </c>
      <c r="K102" s="362">
        <f>COUNTIFS(เรื่องร้องเรียน!E:E,"3",เรื่องร้องเรียน!AO:AO,"9",เรื่องร้องเรียน!AN:AN,"หนองแขม",เรื่องร้องเรียน!V:V,"1")</f>
        <v>0</v>
      </c>
      <c r="L102" s="363">
        <f>COUNTIFS(เรื่องร้องเรียน!E:E,"4",เรื่องร้องเรียน!AO:AO,"9",เรื่องร้องเรียน!AN:AN,"หนองแขม")</f>
        <v>0</v>
      </c>
      <c r="M102" s="364"/>
      <c r="N102" s="313">
        <f t="shared" si="22"/>
        <v>0</v>
      </c>
      <c r="O102" s="367">
        <f>COUNTIFS(เรื่องร้องเรียน!AO:AO,"9",เรื่องร้องเรียน!AN:AN,"หนองแขม",เรื่องร้องเรียน!CL:CL,"1")</f>
        <v>0</v>
      </c>
      <c r="P102" s="370">
        <f>COUNTIFS(เรื่องร้องเรียน!E:E,"1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Q102" s="109">
        <f>COUNTIFS(เรื่องร้องเรียน!E:E,"2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R102" s="109">
        <f>COUNTIFS(เรื่องร้องเรียน!E:E,"3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S102" s="109">
        <f>COUNTIFS(เรื่องร้องเรียน!E:E,"4",เรื่องร้องเรียน!AO:AO,"9",เรื่องร้องเรียน!AN:AN,"หนองแขม",เรื่องร้องเรียน!AQ:AQ,"1",เรื่องร้องเรียน!CL:CL,"")</f>
        <v>0</v>
      </c>
      <c r="T102" s="371"/>
      <c r="U102" s="241">
        <f t="shared" si="18"/>
        <v>0</v>
      </c>
      <c r="V102" s="317">
        <f t="shared" si="17"/>
        <v>0</v>
      </c>
      <c r="W102" s="339">
        <f>COUNTIFS(เรื่องร้องเรียน!AO:AO,"9",เรื่องร้องเรียน!AN:AN,"หนองแขม",เรื่องร้องเรียน!CT:CT,"บำบัด")</f>
        <v>0</v>
      </c>
      <c r="X102" s="340">
        <f>COUNTIFS(เรื่องร้องเรียน!AO:AO,"9",เรื่องร้องเรียน!AN:AN,"หนองแขม",เรื่องร้องเรียน!CT:CT,"อาการทางจิต")</f>
        <v>0</v>
      </c>
    </row>
    <row r="103" spans="1:24">
      <c r="A103" s="322"/>
      <c r="B103" s="108" t="s">
        <v>135</v>
      </c>
      <c r="C103" s="359">
        <f>COUNTIFS(เรื่องร้องเรียน!E:E,"1",เรื่องร้องเรียน!AO:AO,"9",เรื่องร้องเรียน!AN:AN,"หนองค้างพลู",เรื่องร้องเรียน!T:T,"1")</f>
        <v>0</v>
      </c>
      <c r="D103" s="360">
        <f>COUNTIFS(เรื่องร้องเรียน!E:E,"1",เรื่องร้องเรียน!AO:AO,"9",เรื่องร้องเรียน!AN:AN,"หนองค้างพลู",เรื่องร้องเรียน!U:U,"1")</f>
        <v>0</v>
      </c>
      <c r="E103" s="360">
        <f>COUNTIFS(เรื่องร้องเรียน!E:E,"1",เรื่องร้องเรียน!AO:AO,"9",เรื่องร้องเรียน!AN:AN,"หนองค้างพลู",เรื่องร้องเรียน!V:V,"1")</f>
        <v>0</v>
      </c>
      <c r="F103" s="361">
        <f>COUNTIFS(เรื่องร้องเรียน!E:E,"2",เรื่องร้องเรียน!AO:AO,"9",เรื่องร้องเรียน!AN:AN,"หนองค้างพลู",เรื่องร้องเรียน!T:T,"1")</f>
        <v>0</v>
      </c>
      <c r="G103" s="361">
        <f>COUNTIFS(เรื่องร้องเรียน!E:E,"2",เรื่องร้องเรียน!AO:AO,"9",เรื่องร้องเรียน!AN:AN,"หนองค้างพลู",เรื่องร้องเรียน!U:U,"1")</f>
        <v>0</v>
      </c>
      <c r="H103" s="361">
        <f>COUNTIFS(เรื่องร้องเรียน!E:E,"2",เรื่องร้องเรียน!AO:AO,"9",เรื่องร้องเรียน!AN:AN,"หนองค้างพลู",เรื่องร้องเรียน!V:V,"1")</f>
        <v>0</v>
      </c>
      <c r="I103" s="362">
        <f>COUNTIFS(เรื่องร้องเรียน!E:E,"3",เรื่องร้องเรียน!AO:AO,"9",เรื่องร้องเรียน!AN:AN,"หนองค้างพลู",เรื่องร้องเรียน!T:T,"1")</f>
        <v>0</v>
      </c>
      <c r="J103" s="362">
        <f>COUNTIFS(เรื่องร้องเรียน!E:E,"3",เรื่องร้องเรียน!AO:AO,"9",เรื่องร้องเรียน!AN:AN,"หนองค้างพลู",เรื่องร้องเรียน!U:U,"1")</f>
        <v>0</v>
      </c>
      <c r="K103" s="362">
        <f>COUNTIFS(เรื่องร้องเรียน!E:E,"3",เรื่องร้องเรียน!AO:AO,"9",เรื่องร้องเรียน!AN:AN,"หนองค้างพลู",เรื่องร้องเรียน!V:V,"1")</f>
        <v>0</v>
      </c>
      <c r="L103" s="363">
        <f>COUNTIFS(เรื่องร้องเรียน!E:E,"4",เรื่องร้องเรียน!AO:AO,"9",เรื่องร้องเรียน!AN:AN,"หนองค้างพลู")</f>
        <v>0</v>
      </c>
      <c r="M103" s="364"/>
      <c r="N103" s="313">
        <f t="shared" si="22"/>
        <v>0</v>
      </c>
      <c r="O103" s="367">
        <f>COUNTIFS(เรื่องร้องเรียน!AO:AO,"9",เรื่องร้องเรียน!AN:AN,"หนองค้างพลู",เรื่องร้องเรียน!CL:CL,"1")</f>
        <v>0</v>
      </c>
      <c r="P103" s="370">
        <f>COUNTIFS(เรื่องร้องเรียน!E:E,"1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Q103" s="109">
        <f>COUNTIFS(เรื่องร้องเรียน!E:E,"2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R103" s="109">
        <f>COUNTIFS(เรื่องร้องเรียน!E:E,"3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S103" s="109">
        <f>COUNTIFS(เรื่องร้องเรียน!E:E,"4",เรื่องร้องเรียน!AO:AO,"9",เรื่องร้องเรียน!AN:AN,"หนองค้างพลู",เรื่องร้องเรียน!AQ:AQ,"1",เรื่องร้องเรียน!CL:CL,"")</f>
        <v>0</v>
      </c>
      <c r="T103" s="371"/>
      <c r="U103" s="241">
        <f t="shared" si="18"/>
        <v>0</v>
      </c>
      <c r="V103" s="317">
        <f t="shared" si="17"/>
        <v>0</v>
      </c>
      <c r="W103" s="339">
        <f>COUNTIFS(เรื่องร้องเรียน!AO:AO,"9",เรื่องร้องเรียน!AN:AN,"หนองค้างพลู",เรื่องร้องเรียน!CT:CT,"บำบัด")</f>
        <v>0</v>
      </c>
      <c r="X103" s="340">
        <f>COUNTIFS(เรื่องร้องเรียน!AO:AO,"9",เรื่องร้องเรียน!AN:AN,"หนองค้างพลู",เรื่องร้องเรียน!CT:CT,"อาการทางจิต")</f>
        <v>0</v>
      </c>
    </row>
    <row r="104" spans="1:24" ht="21.6" thickBot="1">
      <c r="A104" s="324"/>
      <c r="B104" s="244" t="s">
        <v>92</v>
      </c>
      <c r="C104" s="289">
        <f>COUNTIFS(เรื่องร้องเรียน!E:E,"1",เรื่องร้องเรียน!AO:AO,"9",เรื่องร้องเรียน!AN:AN,"หลักสอง",เรื่องร้องเรียน!T:T,"1")</f>
        <v>0</v>
      </c>
      <c r="D104" s="290">
        <f>COUNTIFS(เรื่องร้องเรียน!E:E,"1",เรื่องร้องเรียน!AO:AO,"9",เรื่องร้องเรียน!AN:AN,"หลักสอง",เรื่องร้องเรียน!U:U,"1")</f>
        <v>0</v>
      </c>
      <c r="E104" s="290">
        <f>COUNTIFS(เรื่องร้องเรียน!E:E,"1",เรื่องร้องเรียน!AO:AO,"9",เรื่องร้องเรียน!AN:AN,"หลักสอง",เรื่องร้องเรียน!V:V,"1")</f>
        <v>0</v>
      </c>
      <c r="F104" s="291">
        <f>COUNTIFS(เรื่องร้องเรียน!E:E,"2",เรื่องร้องเรียน!AO:AO,"9",เรื่องร้องเรียน!AN:AN,"หลักสอง",เรื่องร้องเรียน!T:T,"1")</f>
        <v>0</v>
      </c>
      <c r="G104" s="291">
        <f>COUNTIFS(เรื่องร้องเรียน!E:E,"2",เรื่องร้องเรียน!AO:AO,"9",เรื่องร้องเรียน!AN:AN,"หลักสอง",เรื่องร้องเรียน!U:U,"1")</f>
        <v>0</v>
      </c>
      <c r="H104" s="291">
        <f>COUNTIFS(เรื่องร้องเรียน!E:E,"2",เรื่องร้องเรียน!AO:AO,"9",เรื่องร้องเรียน!AN:AN,"หลักสอง",เรื่องร้องเรียน!V:V,"1")</f>
        <v>0</v>
      </c>
      <c r="I104" s="292">
        <f>COUNTIFS(เรื่องร้องเรียน!E:E,"3",เรื่องร้องเรียน!AO:AO,"9",เรื่องร้องเรียน!AN:AN,"หลักสอง",เรื่องร้องเรียน!T:T,"1")</f>
        <v>0</v>
      </c>
      <c r="J104" s="292">
        <f>COUNTIFS(เรื่องร้องเรียน!E:E,"3",เรื่องร้องเรียน!AO:AO,"9",เรื่องร้องเรียน!AN:AN,"หลักสอง",เรื่องร้องเรียน!U:U,"1")</f>
        <v>0</v>
      </c>
      <c r="K104" s="292">
        <f>COUNTIFS(เรื่องร้องเรียน!E:E,"3",เรื่องร้องเรียน!AO:AO,"9",เรื่องร้องเรียน!AN:AN,"หลักสอง",เรื่องร้องเรียน!V:V,"1")</f>
        <v>0</v>
      </c>
      <c r="L104" s="293">
        <f>COUNTIFS(เรื่องร้องเรียน!E:E,"4",เรื่องร้องเรียน!AO:AO,"9",เรื่องร้องเรียน!AN:AN,"หลักสอง")</f>
        <v>0</v>
      </c>
      <c r="M104" s="365"/>
      <c r="N104" s="314">
        <f t="shared" si="22"/>
        <v>0</v>
      </c>
      <c r="O104" s="350">
        <f>COUNTIFS(เรื่องร้องเรียน!AO:AO,"9",เรื่องร้องเรียน!AN:AN,"หลักสอง",เรื่องร้องเรียน!CL:CL,"1")</f>
        <v>0</v>
      </c>
      <c r="P104" s="245">
        <f>COUNTIFS(เรื่องร้องเรียน!E:E,"1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Q104" s="124">
        <f>COUNTIFS(เรื่องร้องเรียน!E:E,"2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R104" s="124">
        <f>COUNTIFS(เรื่องร้องเรียน!E:E,"3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S104" s="124">
        <f>COUNTIFS(เรื่องร้องเรียน!E:E,"4",เรื่องร้องเรียน!AO:AO,"9",เรื่องร้องเรียน!AN:AN,"หลักสอง",เรื่องร้องเรียน!AQ:AQ,"1",เรื่องร้องเรียน!CL:CL,"")</f>
        <v>0</v>
      </c>
      <c r="T104" s="333"/>
      <c r="U104" s="237">
        <f t="shared" si="18"/>
        <v>0</v>
      </c>
      <c r="V104" s="319">
        <f t="shared" si="17"/>
        <v>0</v>
      </c>
      <c r="W104" s="335">
        <f>COUNTIFS(เรื่องร้องเรียน!AO:AO,"9",เรื่องร้องเรียน!AN:AN,"หลักสอง",เรื่องร้องเรียน!CT:CT,"บำบัด")</f>
        <v>0</v>
      </c>
      <c r="X104" s="336">
        <f>COUNTIFS(เรื่องร้องเรียน!AO:AO,"9",เรื่องร้องเรียน!AN:AN,"หลักสอง",เรื่องร้องเรียน!CT:CT,"อาการทางจิต")</f>
        <v>0</v>
      </c>
    </row>
    <row r="106" spans="1:24">
      <c r="A106" s="443" t="s">
        <v>248</v>
      </c>
    </row>
    <row r="1430" spans="28:28">
      <c r="AB1430" s="41" t="s">
        <v>102</v>
      </c>
    </row>
  </sheetData>
  <mergeCells count="21">
    <mergeCell ref="W3:W5"/>
    <mergeCell ref="X3:X5"/>
    <mergeCell ref="A1:X1"/>
    <mergeCell ref="A2:X2"/>
    <mergeCell ref="A6:B6"/>
    <mergeCell ref="P3:U3"/>
    <mergeCell ref="S4:S5"/>
    <mergeCell ref="T4:T5"/>
    <mergeCell ref="U4:U5"/>
    <mergeCell ref="V3:V5"/>
    <mergeCell ref="P4:P5"/>
    <mergeCell ref="Q4:Q5"/>
    <mergeCell ref="R4:R5"/>
    <mergeCell ref="A7:B7"/>
    <mergeCell ref="I4:K4"/>
    <mergeCell ref="A3:A5"/>
    <mergeCell ref="B3:B5"/>
    <mergeCell ref="C3:O3"/>
    <mergeCell ref="C4:E4"/>
    <mergeCell ref="F4:H4"/>
    <mergeCell ref="N4:O4"/>
  </mergeCells>
  <pageMargins left="0.39370078740157483" right="0.15748031496062992" top="0.78" bottom="1.19" header="0.31496062992125984" footer="0.91"/>
  <pageSetup paperSize="9" scale="65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  <rowBreaks count="2" manualBreakCount="2">
    <brk id="41" max="16383" man="1"/>
    <brk id="8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Y1431"/>
  <sheetViews>
    <sheetView zoomScale="80" zoomScaleNormal="80" workbookViewId="0">
      <selection sqref="A1:M1"/>
    </sheetView>
  </sheetViews>
  <sheetFormatPr defaultColWidth="9" defaultRowHeight="21"/>
  <cols>
    <col min="1" max="1" width="16.21875" style="10" customWidth="1"/>
    <col min="2" max="2" width="10.77734375" style="10" customWidth="1"/>
    <col min="3" max="5" width="12" style="10" customWidth="1"/>
    <col min="6" max="7" width="10.77734375" style="10" customWidth="1"/>
    <col min="8" max="12" width="9.77734375" style="10" customWidth="1"/>
    <col min="13" max="13" width="8.33203125" style="10" customWidth="1"/>
    <col min="14" max="16384" width="9" style="10"/>
  </cols>
  <sheetData>
    <row r="1" spans="1:17" ht="25.8">
      <c r="A1" s="691" t="s">
        <v>261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</row>
    <row r="2" spans="1:17" ht="26.4" thickBot="1">
      <c r="A2" s="692" t="s">
        <v>253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</row>
    <row r="3" spans="1:17" ht="23.25" customHeight="1">
      <c r="A3" s="788" t="s">
        <v>225</v>
      </c>
      <c r="B3" s="789"/>
      <c r="C3" s="794" t="s">
        <v>146</v>
      </c>
      <c r="D3" s="795"/>
      <c r="E3" s="795"/>
      <c r="F3" s="795"/>
      <c r="G3" s="795"/>
      <c r="H3" s="795"/>
      <c r="I3" s="795"/>
      <c r="J3" s="795"/>
      <c r="K3" s="795"/>
      <c r="L3" s="796"/>
      <c r="M3" s="796"/>
    </row>
    <row r="4" spans="1:17" ht="23.25" customHeight="1">
      <c r="A4" s="790"/>
      <c r="B4" s="791"/>
      <c r="C4" s="797" t="s">
        <v>149</v>
      </c>
      <c r="D4" s="798"/>
      <c r="E4" s="798"/>
      <c r="F4" s="798"/>
      <c r="G4" s="798"/>
      <c r="H4" s="798" t="s">
        <v>150</v>
      </c>
      <c r="I4" s="798"/>
      <c r="J4" s="798"/>
      <c r="K4" s="798"/>
      <c r="L4" s="799"/>
      <c r="M4" s="799"/>
    </row>
    <row r="5" spans="1:17" ht="37.5" customHeight="1">
      <c r="A5" s="790"/>
      <c r="B5" s="791"/>
      <c r="C5" s="806" t="s">
        <v>53</v>
      </c>
      <c r="D5" s="802" t="s">
        <v>54</v>
      </c>
      <c r="E5" s="802" t="s">
        <v>151</v>
      </c>
      <c r="F5" s="808" t="s">
        <v>152</v>
      </c>
      <c r="G5" s="808"/>
      <c r="H5" s="800" t="s">
        <v>56</v>
      </c>
      <c r="I5" s="800" t="s">
        <v>57</v>
      </c>
      <c r="J5" s="800" t="s">
        <v>58</v>
      </c>
      <c r="K5" s="802" t="s">
        <v>153</v>
      </c>
      <c r="L5" s="802" t="s">
        <v>60</v>
      </c>
      <c r="M5" s="804" t="s">
        <v>157</v>
      </c>
    </row>
    <row r="6" spans="1:17" ht="37.5" customHeight="1" thickBot="1">
      <c r="A6" s="792"/>
      <c r="B6" s="793"/>
      <c r="C6" s="807"/>
      <c r="D6" s="803"/>
      <c r="E6" s="803"/>
      <c r="F6" s="390" t="s">
        <v>4</v>
      </c>
      <c r="G6" s="390" t="s">
        <v>155</v>
      </c>
      <c r="H6" s="801"/>
      <c r="I6" s="801"/>
      <c r="J6" s="801"/>
      <c r="K6" s="803"/>
      <c r="L6" s="803"/>
      <c r="M6" s="805"/>
      <c r="P6" s="10" t="s">
        <v>221</v>
      </c>
    </row>
    <row r="7" spans="1:17" s="42" customFormat="1" ht="30" customHeight="1" thickBot="1">
      <c r="A7" s="408" t="s">
        <v>247</v>
      </c>
      <c r="B7" s="392">
        <f>SUM(B9:B18)</f>
        <v>0</v>
      </c>
      <c r="C7" s="393">
        <f>SUM(C9:C18)</f>
        <v>0</v>
      </c>
      <c r="D7" s="394">
        <f>SUM(D9:D18)</f>
        <v>0</v>
      </c>
      <c r="E7" s="394">
        <f>SUM(E9:E18)</f>
        <v>0</v>
      </c>
      <c r="F7" s="394">
        <f>SUM(F9:F18)</f>
        <v>0</v>
      </c>
      <c r="G7" s="395" t="e">
        <f>F7*100/B7</f>
        <v>#DIV/0!</v>
      </c>
      <c r="H7" s="396">
        <f>SUM(H9:H18)</f>
        <v>0</v>
      </c>
      <c r="I7" s="397">
        <f>SUM(I9:I18)</f>
        <v>0</v>
      </c>
      <c r="J7" s="397">
        <f>SUM(J9:J18)</f>
        <v>0</v>
      </c>
      <c r="K7" s="397">
        <f>SUM(K9:K18)</f>
        <v>0</v>
      </c>
      <c r="L7" s="398">
        <f>SUM(L9:L18)</f>
        <v>0</v>
      </c>
      <c r="M7" s="399">
        <f>SUM(B7-F7)</f>
        <v>0</v>
      </c>
    </row>
    <row r="8" spans="1:17" s="42" customFormat="1" ht="29.25" customHeight="1" thickBot="1">
      <c r="A8" s="400" t="s">
        <v>246</v>
      </c>
      <c r="B8" s="389">
        <f>SUM(B9:B17)</f>
        <v>0</v>
      </c>
      <c r="C8" s="401">
        <f>SUM(C9:C17)</f>
        <v>0</v>
      </c>
      <c r="D8" s="258">
        <f>SUM(D9:D17)</f>
        <v>0</v>
      </c>
      <c r="E8" s="258">
        <f>SUM(E9:E17)</f>
        <v>0</v>
      </c>
      <c r="F8" s="258">
        <f>SUM(F9:F17)</f>
        <v>0</v>
      </c>
      <c r="G8" s="405" t="e">
        <f>F8*100/B8</f>
        <v>#DIV/0!</v>
      </c>
      <c r="H8" s="257">
        <f t="shared" ref="H8:M8" si="0">SUM(H9:H17)</f>
        <v>0</v>
      </c>
      <c r="I8" s="258">
        <f t="shared" si="0"/>
        <v>0</v>
      </c>
      <c r="J8" s="258">
        <f t="shared" si="0"/>
        <v>0</v>
      </c>
      <c r="K8" s="258">
        <f t="shared" si="0"/>
        <v>0</v>
      </c>
      <c r="L8" s="259">
        <f t="shared" si="0"/>
        <v>0</v>
      </c>
      <c r="M8" s="261">
        <f t="shared" si="0"/>
        <v>0</v>
      </c>
    </row>
    <row r="9" spans="1:17" s="42" customFormat="1" ht="23.4">
      <c r="A9" s="221" t="s">
        <v>237</v>
      </c>
      <c r="B9" s="402">
        <f>COUNTIFS(เรื่องร้องเรียน!CN:CN,"1",เรื่องร้องเรียน!AO:AO,"1")</f>
        <v>0</v>
      </c>
      <c r="C9" s="64">
        <f>COUNTIFS(เรื่องร้องเรียน!CN:CN,"1",เรื่องร้องเรียน!AO:AO,"1",เรื่องร้องเรียน!AQ:AQ,"1",เรื่องร้องเรียน!AR:AR,"1")</f>
        <v>0</v>
      </c>
      <c r="D9" s="45">
        <f>COUNTIFS(เรื่องร้องเรียน!CN:CN,"1",เรื่องร้องเรียน!AO:AO,"1",เรื่องร้องเรียน!AQ:AQ,"1",เรื่องร้องเรียน!AS:AS,"1")</f>
        <v>0</v>
      </c>
      <c r="E9" s="45">
        <f>COUNTIFS(เรื่องร้องเรียน!CN:CN,"1",เรื่องร้องเรียน!AO:AO,"1",เรื่องร้องเรียน!AQ:AQ,"1",เรื่องร้องเรียน!AT:AT,"1")</f>
        <v>0</v>
      </c>
      <c r="F9" s="260">
        <f>SUM(C9:E9)</f>
        <v>0</v>
      </c>
      <c r="G9" s="219" t="e">
        <f>F9*100/B9</f>
        <v>#DIV/0!</v>
      </c>
      <c r="H9" s="217">
        <f>COUNTIFS(เรื่องร้องเรียน!CN:CN,"1",เรื่องร้องเรียน!AO:AO,"1",เรื่องร้องเรียน!AQ:AQ,"1",เรื่องร้องเรียน!AR:AR,"1",เรื่องร้องเรียน!AV:AV,"1")</f>
        <v>0</v>
      </c>
      <c r="I9" s="218">
        <f>COUNTIFS(เรื่องร้องเรียน!CN:CN,"1",เรื่องร้องเรียน!AO:AO,"1",เรื่องร้องเรียน!AQ:AQ,"1",เรื่องร้องเรียน!AR:AR,"1",เรื่องร้องเรียน!AW:AW,"1")</f>
        <v>0</v>
      </c>
      <c r="J9" s="218">
        <f>COUNTIFS(เรื่องร้องเรียน!CN:CN,"1",เรื่องร้องเรียน!AO:AO,"1",เรื่องร้องเรียน!AQ:AQ,"1",เรื่องร้องเรียน!AR:AR,"1",เรื่องร้องเรียน!AX:AX,"1")</f>
        <v>0</v>
      </c>
      <c r="K9" s="218">
        <f>COUNTIFS(เรื่องร้องเรียน!CN:CN,"1",เรื่องร้องเรียน!AO:AO,"1",เรื่องร้องเรียน!AQ:AQ,"1",เรื่องร้องเรียน!AR:AR,"1",เรื่องร้องเรียน!AY:AY,"1")</f>
        <v>0</v>
      </c>
      <c r="L9" s="406">
        <f>COUNTIFS(เรื่องร้องเรียน!CN:CN,"1",เรื่องร้องเรียน!AO:AO,"1",เรื่องร้องเรียน!AQ:AQ,"1",เรื่องร้องเรียน!AR:AR,"1",เรื่องร้องเรียน!AZ:AZ,"1")</f>
        <v>0</v>
      </c>
      <c r="M9" s="262">
        <f>SUM(B9-F9)</f>
        <v>0</v>
      </c>
    </row>
    <row r="10" spans="1:17" s="54" customFormat="1" ht="23.4">
      <c r="A10" s="222" t="s">
        <v>238</v>
      </c>
      <c r="B10" s="402">
        <f>COUNTIFS(เรื่องร้องเรียน!CN:CN,"1",เรื่องร้องเรียน!AO:AO,"2")</f>
        <v>0</v>
      </c>
      <c r="C10" s="223">
        <f>COUNTIFS(เรื่องร้องเรียน!CN:CN,"1",เรื่องร้องเรียน!AO:AO,"2",เรื่องร้องเรียน!AQ:AQ,"1",เรื่องร้องเรียน!AR:AR,"1")</f>
        <v>0</v>
      </c>
      <c r="D10" s="224">
        <f>COUNTIFS(เรื่องร้องเรียน!CN:CN,"1",เรื่องร้องเรียน!AO:AO,"2",เรื่องร้องเรียน!AQ:AQ,"1",เรื่องร้องเรียน!AS:AS,"1")</f>
        <v>0</v>
      </c>
      <c r="E10" s="224">
        <f>COUNTIFS(เรื่องร้องเรียน!CN:CN,"1",เรื่องร้องเรียน!AO:AO,"2",เรื่องร้องเรียน!AQ:AQ,"1",เรื่องร้องเรียน!AT:AT,"1")</f>
        <v>0</v>
      </c>
      <c r="F10" s="384">
        <f t="shared" ref="F10:F20" si="1">SUM(C10:E10)</f>
        <v>0</v>
      </c>
      <c r="G10" s="220" t="e">
        <f t="shared" ref="G10:G20" si="2">F10*100/B10</f>
        <v>#DIV/0!</v>
      </c>
      <c r="H10" s="223">
        <f>COUNTIFS(เรื่องร้องเรียน!CN:CN,"1",เรื่องร้องเรียน!AO:AO,"2",เรื่องร้องเรียน!AQ:AQ,"1",เรื่องร้องเรียน!AR:AR,"1",เรื่องร้องเรียน!AV:AV,"1")</f>
        <v>0</v>
      </c>
      <c r="I10" s="224">
        <f>COUNTIFS(เรื่องร้องเรียน!CN:CN,"1",เรื่องร้องเรียน!AO:AO,"2",เรื่องร้องเรียน!AQ:AQ,"1",เรื่องร้องเรียน!AR:AR,"1",เรื่องร้องเรียน!AW:AW,"1")</f>
        <v>0</v>
      </c>
      <c r="J10" s="224">
        <f>COUNTIFS(เรื่องร้องเรียน!CN:CN,"1",เรื่องร้องเรียน!AO:AO,"2",เรื่องร้องเรียน!AQ:AQ,"1",เรื่องร้องเรียน!AR:AR,"1",เรื่องร้องเรียน!AX:AX,"1")</f>
        <v>0</v>
      </c>
      <c r="K10" s="224">
        <f>COUNTIFS(เรื่องร้องเรียน!CN:CN,"1",เรื่องร้องเรียน!AO:AO,"2",เรื่องร้องเรียน!AQ:AQ,"1",เรื่องร้องเรียน!AR:AR,"1",เรื่องร้องเรียน!AY:AY,"1")</f>
        <v>0</v>
      </c>
      <c r="L10" s="407">
        <f>COUNTIFS(เรื่องร้องเรียน!CN:CN,"1",เรื่องร้องเรียน!AO:AO,"2",เรื่องร้องเรียน!AQ:AQ,"1",เรื่องร้องเรียน!AR:AR,"1",เรื่องร้องเรียน!AZ:AZ,"1")</f>
        <v>0</v>
      </c>
      <c r="M10" s="262">
        <f t="shared" ref="M10:M20" si="3">SUM(B10-F10)</f>
        <v>0</v>
      </c>
    </row>
    <row r="11" spans="1:17" s="54" customFormat="1" ht="23.4">
      <c r="A11" s="222" t="s">
        <v>239</v>
      </c>
      <c r="B11" s="402">
        <f>COUNTIFS(เรื่องร้องเรียน!CN:CN,"1",เรื่องร้องเรียน!AO:AO,"3")</f>
        <v>0</v>
      </c>
      <c r="C11" s="223">
        <f>COUNTIFS(เรื่องร้องเรียน!CN:CN,"1",เรื่องร้องเรียน!AO:AO,"3",เรื่องร้องเรียน!AQ:AQ,"1",เรื่องร้องเรียน!AR:AR,"1")</f>
        <v>0</v>
      </c>
      <c r="D11" s="224">
        <f>COUNTIFS(เรื่องร้องเรียน!CN:CN,"1",เรื่องร้องเรียน!AO:AO,"3",เรื่องร้องเรียน!AQ:AQ,"1",เรื่องร้องเรียน!AS:AS,"1")</f>
        <v>0</v>
      </c>
      <c r="E11" s="224">
        <f>COUNTIFS(เรื่องร้องเรียน!CN:CN,"1",เรื่องร้องเรียน!AO:AO,"3",เรื่องร้องเรียน!AQ:AQ,"1",เรื่องร้องเรียน!AT:AT,"1")</f>
        <v>0</v>
      </c>
      <c r="F11" s="384">
        <f t="shared" si="1"/>
        <v>0</v>
      </c>
      <c r="G11" s="220" t="e">
        <f t="shared" si="2"/>
        <v>#DIV/0!</v>
      </c>
      <c r="H11" s="223">
        <f>COUNTIFS(เรื่องร้องเรียน!CN:CN,"1",เรื่องร้องเรียน!AO:AO,"3",เรื่องร้องเรียน!AQ:AQ,"1",เรื่องร้องเรียน!AR:AR,"1",เรื่องร้องเรียน!AV:AV,"1")</f>
        <v>0</v>
      </c>
      <c r="I11" s="224">
        <f>COUNTIFS(เรื่องร้องเรียน!CN:CN,"1",เรื่องร้องเรียน!AO:AO,"3",เรื่องร้องเรียน!AQ:AQ,"1",เรื่องร้องเรียน!AR:AR,"1",เรื่องร้องเรียน!AW:AW,"1")</f>
        <v>0</v>
      </c>
      <c r="J11" s="224">
        <f>COUNTIFS(เรื่องร้องเรียน!CN:CN,"1",เรื่องร้องเรียน!AO:AO,"3",เรื่องร้องเรียน!AQ:AQ,"1",เรื่องร้องเรียน!AR:AR,"1",เรื่องร้องเรียน!AX:AX,"1")</f>
        <v>0</v>
      </c>
      <c r="K11" s="224">
        <f>COUNTIFS(เรื่องร้องเรียน!CN:CN,"1",เรื่องร้องเรียน!AO:AO,"3",เรื่องร้องเรียน!AQ:AQ,"1",เรื่องร้องเรียน!AR:AR,"1",เรื่องร้องเรียน!AY:AY,"1")</f>
        <v>0</v>
      </c>
      <c r="L11" s="407">
        <f>COUNTIFS(เรื่องร้องเรียน!CN:CN,"1",เรื่องร้องเรียน!AO:AO,"3",เรื่องร้องเรียน!AQ:AQ,"1",เรื่องร้องเรียน!AR:AR,"1",เรื่องร้องเรียน!AZ:AZ,"1")</f>
        <v>0</v>
      </c>
      <c r="M11" s="262">
        <f t="shared" si="3"/>
        <v>0</v>
      </c>
    </row>
    <row r="12" spans="1:17" s="54" customFormat="1" ht="23.4">
      <c r="A12" s="387" t="s">
        <v>240</v>
      </c>
      <c r="B12" s="403">
        <f>COUNTIFS(เรื่องร้องเรียน!CN:CN,"1",เรื่องร้องเรียน!AO:AO,"4")</f>
        <v>0</v>
      </c>
      <c r="C12" s="223">
        <f>COUNTIFS(เรื่องร้องเรียน!CN:CN,"1",เรื่องร้องเรียน!AO:AO,"4",เรื่องร้องเรียน!AQ:AQ,"1",เรื่องร้องเรียน!AR:AR,"1")</f>
        <v>0</v>
      </c>
      <c r="D12" s="224">
        <f>COUNTIFS(เรื่องร้องเรียน!CN:CN,"1",เรื่องร้องเรียน!AO:AO,"4",เรื่องร้องเรียน!AQ:AQ,"1",เรื่องร้องเรียน!AS:AS,"1")</f>
        <v>0</v>
      </c>
      <c r="E12" s="224">
        <f>COUNTIFS(เรื่องร้องเรียน!CN:CN,"1",เรื่องร้องเรียน!AO:AO,"4",เรื่องร้องเรียน!AQ:AQ,"1",เรื่องร้องเรียน!AT:AT,"1")</f>
        <v>0</v>
      </c>
      <c r="F12" s="384">
        <f t="shared" si="1"/>
        <v>0</v>
      </c>
      <c r="G12" s="220" t="e">
        <f t="shared" si="2"/>
        <v>#DIV/0!</v>
      </c>
      <c r="H12" s="223">
        <f>COUNTIFS(เรื่องร้องเรียน!CN:CN,"1",เรื่องร้องเรียน!AO:AO,"4",เรื่องร้องเรียน!AQ:AQ,"1",เรื่องร้องเรียน!AR:AR,"1",เรื่องร้องเรียน!AV:AV,"1")</f>
        <v>0</v>
      </c>
      <c r="I12" s="224">
        <f>COUNTIFS(เรื่องร้องเรียน!CN:CN,"1",เรื่องร้องเรียน!AO:AO,"4",เรื่องร้องเรียน!AQ:AQ,"1",เรื่องร้องเรียน!AR:AR,"1",เรื่องร้องเรียน!AW:AW,"1")</f>
        <v>0</v>
      </c>
      <c r="J12" s="224">
        <f>COUNTIFS(เรื่องร้องเรียน!CN:CN,"1",เรื่องร้องเรียน!AO:AO,"4",เรื่องร้องเรียน!AQ:AQ,"1",เรื่องร้องเรียน!AR:AR,"1",เรื่องร้องเรียน!AX:AX,"1")</f>
        <v>0</v>
      </c>
      <c r="K12" s="224">
        <f>COUNTIFS(เรื่องร้องเรียน!CN:CN,"1",เรื่องร้องเรียน!AO:AO,"4",เรื่องร้องเรียน!AQ:AQ,"1",เรื่องร้องเรียน!AR:AR,"1",เรื่องร้องเรียน!AY:AY,"1")</f>
        <v>0</v>
      </c>
      <c r="L12" s="407">
        <f>COUNTIFS(เรื่องร้องเรียน!CN:CN,"1",เรื่องร้องเรียน!AO:AO,"4",เรื่องร้องเรียน!AQ:AQ,"1",เรื่องร้องเรียน!AR:AR,"1",เรื่องร้องเรียน!AZ:AZ,"1")</f>
        <v>0</v>
      </c>
      <c r="M12" s="262">
        <f t="shared" si="3"/>
        <v>0</v>
      </c>
      <c r="N12" s="55"/>
      <c r="O12" s="55"/>
      <c r="P12" s="55"/>
      <c r="Q12" s="55"/>
    </row>
    <row r="13" spans="1:17" s="54" customFormat="1" ht="23.4">
      <c r="A13" s="388" t="s">
        <v>241</v>
      </c>
      <c r="B13" s="404">
        <f>COUNTIFS(เรื่องร้องเรียน!CN:CN,"1",เรื่องร้องเรียน!AO:AO,"5")</f>
        <v>0</v>
      </c>
      <c r="C13" s="223">
        <f>COUNTIFS(เรื่องร้องเรียน!CN:CN,"1",เรื่องร้องเรียน!AO:AO,"5",เรื่องร้องเรียน!AQ:AQ,"1",เรื่องร้องเรียน!AR:AR,"1")</f>
        <v>0</v>
      </c>
      <c r="D13" s="224">
        <f>COUNTIFS(เรื่องร้องเรียน!CN:CN,"1",เรื่องร้องเรียน!AO:AO,"5",เรื่องร้องเรียน!AQ:AQ,"1",เรื่องร้องเรียน!AS:AS,"1")</f>
        <v>0</v>
      </c>
      <c r="E13" s="224">
        <f>COUNTIFS(เรื่องร้องเรียน!CN:CN,"1",เรื่องร้องเรียน!AO:AO,"5",เรื่องร้องเรียน!AQ:AQ,"1",เรื่องร้องเรียน!AT:AT,"1")</f>
        <v>0</v>
      </c>
      <c r="F13" s="384">
        <f t="shared" si="1"/>
        <v>0</v>
      </c>
      <c r="G13" s="220" t="e">
        <f t="shared" si="2"/>
        <v>#DIV/0!</v>
      </c>
      <c r="H13" s="223">
        <f>COUNTIFS(เรื่องร้องเรียน!CN:CN,"1",เรื่องร้องเรียน!AO:AO,"5",เรื่องร้องเรียน!AQ:AQ,"1",เรื่องร้องเรียน!AR:AR,"1",เรื่องร้องเรียน!AV:AV,"1")</f>
        <v>0</v>
      </c>
      <c r="I13" s="224">
        <f>COUNTIFS(เรื่องร้องเรียน!CN:CN,"1",เรื่องร้องเรียน!AO:AO,"5",เรื่องร้องเรียน!AQ:AQ,"1",เรื่องร้องเรียน!AR:AR,"1",เรื่องร้องเรียน!AW:AW,"1")</f>
        <v>0</v>
      </c>
      <c r="J13" s="224">
        <f>COUNTIFS(เรื่องร้องเรียน!CN:CN,"1",เรื่องร้องเรียน!AO:AO,"5",เรื่องร้องเรียน!AQ:AQ,"1",เรื่องร้องเรียน!AR:AR,"1",เรื่องร้องเรียน!AX:AX,"1")</f>
        <v>0</v>
      </c>
      <c r="K13" s="224">
        <f>COUNTIFS(เรื่องร้องเรียน!CN:CN,"1",เรื่องร้องเรียน!AO:AO,"5",เรื่องร้องเรียน!AQ:AQ,"1",เรื่องร้องเรียน!AR:AR,"1",เรื่องร้องเรียน!AY:AY,"1")</f>
        <v>0</v>
      </c>
      <c r="L13" s="407">
        <f>COUNTIFS(เรื่องร้องเรียน!CN:CN,"1",เรื่องร้องเรียน!AO:AO,"5",เรื่องร้องเรียน!AQ:AQ,"1",เรื่องร้องเรียน!AR:AR,"1",เรื่องร้องเรียน!AZ:AZ,"1")</f>
        <v>0</v>
      </c>
      <c r="M13" s="262">
        <f t="shared" si="3"/>
        <v>0</v>
      </c>
    </row>
    <row r="14" spans="1:17" s="62" customFormat="1" ht="23.4">
      <c r="A14" s="385" t="s">
        <v>242</v>
      </c>
      <c r="B14" s="404">
        <f>COUNTIFS(เรื่องร้องเรียน!CN:CN,"1",เรื่องร้องเรียน!AO:AO,"6")</f>
        <v>0</v>
      </c>
      <c r="C14" s="223">
        <f>COUNTIFS(เรื่องร้องเรียน!CN:CN,"1",เรื่องร้องเรียน!AO:AO,"6",เรื่องร้องเรียน!AQ:AQ,"1",เรื่องร้องเรียน!AR:AR,"1")</f>
        <v>0</v>
      </c>
      <c r="D14" s="224">
        <f>COUNTIFS(เรื่องร้องเรียน!CN:CN,"1",เรื่องร้องเรียน!AO:AO,"6",เรื่องร้องเรียน!AQ:AQ,"1",เรื่องร้องเรียน!AS:AS,"1")</f>
        <v>0</v>
      </c>
      <c r="E14" s="224">
        <f>COUNTIFS(เรื่องร้องเรียน!CN:CN,"1",เรื่องร้องเรียน!AO:AO,"6",เรื่องร้องเรียน!AQ:AQ,"1",เรื่องร้องเรียน!AT:AT,"1")</f>
        <v>0</v>
      </c>
      <c r="F14" s="384">
        <f t="shared" si="1"/>
        <v>0</v>
      </c>
      <c r="G14" s="220" t="e">
        <f t="shared" si="2"/>
        <v>#DIV/0!</v>
      </c>
      <c r="H14" s="223">
        <f>COUNTIFS(เรื่องร้องเรียน!CN:CN,"1",เรื่องร้องเรียน!AO:AO,"6",เรื่องร้องเรียน!AQ:AQ,"1",เรื่องร้องเรียน!AR:AR,"1",เรื่องร้องเรียน!AV:AV,"1")</f>
        <v>0</v>
      </c>
      <c r="I14" s="224">
        <f>COUNTIFS(เรื่องร้องเรียน!CN:CN,"1",เรื่องร้องเรียน!AO:AO,"6",เรื่องร้องเรียน!AQ:AQ,"1",เรื่องร้องเรียน!AR:AR,"1",เรื่องร้องเรียน!AW:AW,"1")</f>
        <v>0</v>
      </c>
      <c r="J14" s="224">
        <f>COUNTIFS(เรื่องร้องเรียน!CN:CN,"1",เรื่องร้องเรียน!AO:AO,"6",เรื่องร้องเรียน!AQ:AQ,"1",เรื่องร้องเรียน!AR:AR,"1",เรื่องร้องเรียน!AX:AX,"1")</f>
        <v>0</v>
      </c>
      <c r="K14" s="224">
        <f>COUNTIFS(เรื่องร้องเรียน!CN:CN,"1",เรื่องร้องเรียน!AO:AO,"6",เรื่องร้องเรียน!AQ:AQ,"1",เรื่องร้องเรียน!AR:AR,"1",เรื่องร้องเรียน!AY:AY,"1")</f>
        <v>0</v>
      </c>
      <c r="L14" s="407">
        <f>COUNTIFS(เรื่องร้องเรียน!CN:CN,"1",เรื่องร้องเรียน!AO:AO,"6",เรื่องร้องเรียน!AQ:AQ,"1",เรื่องร้องเรียน!AR:AR,"1",เรื่องร้องเรียน!AZ:AZ,"1")</f>
        <v>0</v>
      </c>
      <c r="M14" s="262">
        <f t="shared" si="3"/>
        <v>0</v>
      </c>
    </row>
    <row r="15" spans="1:17" s="62" customFormat="1" ht="23.4">
      <c r="A15" s="386" t="s">
        <v>243</v>
      </c>
      <c r="B15" s="404">
        <f>COUNTIFS(เรื่องร้องเรียน!CN:CN,"1",เรื่องร้องเรียน!AO:AO,"7")</f>
        <v>0</v>
      </c>
      <c r="C15" s="223">
        <f>COUNTIFS(เรื่องร้องเรียน!CN:CN,"1",เรื่องร้องเรียน!AO:AO,"7",เรื่องร้องเรียน!AQ:AQ,"1",เรื่องร้องเรียน!AR:AR,"1")</f>
        <v>0</v>
      </c>
      <c r="D15" s="224">
        <f>COUNTIFS(เรื่องร้องเรียน!CN:CN,"1",เรื่องร้องเรียน!AO:AO,"7",เรื่องร้องเรียน!AQ:AQ,"1",เรื่องร้องเรียน!AS:AS,"1")</f>
        <v>0</v>
      </c>
      <c r="E15" s="224">
        <f>COUNTIFS(เรื่องร้องเรียน!CN:CN,"1",เรื่องร้องเรียน!AO:AO,"7",เรื่องร้องเรียน!AQ:AQ,"1",เรื่องร้องเรียน!AT:AT,"1")</f>
        <v>0</v>
      </c>
      <c r="F15" s="384">
        <f t="shared" si="1"/>
        <v>0</v>
      </c>
      <c r="G15" s="220" t="e">
        <f t="shared" si="2"/>
        <v>#DIV/0!</v>
      </c>
      <c r="H15" s="223">
        <f>COUNTIFS(เรื่องร้องเรียน!CN:CN,"1",เรื่องร้องเรียน!AO:AO,"7",เรื่องร้องเรียน!AQ:AQ,"1",เรื่องร้องเรียน!AR:AR,"1",เรื่องร้องเรียน!AV:AV,"1")</f>
        <v>0</v>
      </c>
      <c r="I15" s="224">
        <f>COUNTIFS(เรื่องร้องเรียน!CN:CN,"1",เรื่องร้องเรียน!AO:AO,"7",เรื่องร้องเรียน!AQ:AQ,"1",เรื่องร้องเรียน!AR:AR,"1",เรื่องร้องเรียน!AW:AW,"1")</f>
        <v>0</v>
      </c>
      <c r="J15" s="224">
        <f>COUNTIFS(เรื่องร้องเรียน!CN:CN,"1",เรื่องร้องเรียน!AO:AO,"7",เรื่องร้องเรียน!AQ:AQ,"1",เรื่องร้องเรียน!AR:AR,"1",เรื่องร้องเรียน!AX:AX,"1")</f>
        <v>0</v>
      </c>
      <c r="K15" s="224">
        <f>COUNTIFS(เรื่องร้องเรียน!CN:CN,"1",เรื่องร้องเรียน!AO:AO,"7",เรื่องร้องเรียน!AQ:AQ,"1",เรื่องร้องเรียน!AR:AR,"1",เรื่องร้องเรียน!AY:AY,"1")</f>
        <v>0</v>
      </c>
      <c r="L15" s="407">
        <f>COUNTIFS(เรื่องร้องเรียน!CN:CN,"1",เรื่องร้องเรียน!AO:AO,"7",เรื่องร้องเรียน!AQ:AQ,"1",เรื่องร้องเรียน!AR:AR,"1",เรื่องร้องเรียน!AZ:AZ,"1")</f>
        <v>0</v>
      </c>
      <c r="M15" s="262">
        <f t="shared" si="3"/>
        <v>0</v>
      </c>
    </row>
    <row r="16" spans="1:17" s="62" customFormat="1" ht="23.4">
      <c r="A16" s="385" t="s">
        <v>244</v>
      </c>
      <c r="B16" s="404">
        <f>COUNTIFS(เรื่องร้องเรียน!CN:CN,"1",เรื่องร้องเรียน!AO:AO,"8")</f>
        <v>0</v>
      </c>
      <c r="C16" s="223">
        <f>COUNTIFS(เรื่องร้องเรียน!CN:CN,"1",เรื่องร้องเรียน!AO:AO,"8",เรื่องร้องเรียน!AQ:AQ,"1",เรื่องร้องเรียน!AR:AR,"1")</f>
        <v>0</v>
      </c>
      <c r="D16" s="224">
        <f>COUNTIFS(เรื่องร้องเรียน!CN:CN,"1",เรื่องร้องเรียน!AO:AO,"8",เรื่องร้องเรียน!AQ:AQ,"1",เรื่องร้องเรียน!AS:AS,"1")</f>
        <v>0</v>
      </c>
      <c r="E16" s="224">
        <f>COUNTIFS(เรื่องร้องเรียน!CN:CN,"1",เรื่องร้องเรียน!AO:AO,"8",เรื่องร้องเรียน!AQ:AQ,"1",เรื่องร้องเรียน!AT:AT,"1")</f>
        <v>0</v>
      </c>
      <c r="F16" s="384">
        <f t="shared" si="1"/>
        <v>0</v>
      </c>
      <c r="G16" s="220" t="e">
        <f t="shared" si="2"/>
        <v>#DIV/0!</v>
      </c>
      <c r="H16" s="223">
        <f>COUNTIFS(เรื่องร้องเรียน!CN:CN,"1",เรื่องร้องเรียน!AO:AO,"8",เรื่องร้องเรียน!AQ:AQ,"1",เรื่องร้องเรียน!AR:AR,"1",เรื่องร้องเรียน!AV:AV,"1")</f>
        <v>0</v>
      </c>
      <c r="I16" s="224">
        <f>COUNTIFS(เรื่องร้องเรียน!CN:CN,"1",เรื่องร้องเรียน!AO:AO,"8",เรื่องร้องเรียน!AQ:AQ,"1",เรื่องร้องเรียน!AR:AR,"1",เรื่องร้องเรียน!AW:AW,"1")</f>
        <v>0</v>
      </c>
      <c r="J16" s="224">
        <f>COUNTIFS(เรื่องร้องเรียน!CN:CN,"1",เรื่องร้องเรียน!AO:AO,"8",เรื่องร้องเรียน!AQ:AQ,"1",เรื่องร้องเรียน!AR:AR,"1",เรื่องร้องเรียน!AX:AX,"1")</f>
        <v>0</v>
      </c>
      <c r="K16" s="224">
        <f>COUNTIFS(เรื่องร้องเรียน!CN:CN,"1",เรื่องร้องเรียน!AO:AO,"8",เรื่องร้องเรียน!AQ:AQ,"1",เรื่องร้องเรียน!AR:AR,"1",เรื่องร้องเรียน!AY:AY,"1")</f>
        <v>0</v>
      </c>
      <c r="L16" s="407">
        <f>COUNTIFS(เรื่องร้องเรียน!CN:CN,"1",เรื่องร้องเรียน!AO:AO,"8",เรื่องร้องเรียน!AQ:AQ,"1",เรื่องร้องเรียน!AR:AR,"1",เรื่องร้องเรียน!AZ:AZ,"1")</f>
        <v>0</v>
      </c>
      <c r="M16" s="262">
        <f t="shared" si="3"/>
        <v>0</v>
      </c>
    </row>
    <row r="17" spans="1:13" s="62" customFormat="1" ht="23.4">
      <c r="A17" s="385" t="s">
        <v>245</v>
      </c>
      <c r="B17" s="409">
        <f>COUNTIFS(เรื่องร้องเรียน!CN:CN,"1",เรื่องร้องเรียน!AO:AO,"9")</f>
        <v>0</v>
      </c>
      <c r="C17" s="410">
        <f>COUNTIFS(เรื่องร้องเรียน!CN:CN,"1",เรื่องร้องเรียน!AO:AO,"9",เรื่องร้องเรียน!AQ:AQ,"1",เรื่องร้องเรียน!AR:AR,"1")</f>
        <v>0</v>
      </c>
      <c r="D17" s="411">
        <f>COUNTIFS(เรื่องร้องเรียน!CN:CN,"1",เรื่องร้องเรียน!AO:AO,"9",เรื่องร้องเรียน!AQ:AQ,"1",เรื่องร้องเรียน!AS:AS,"1")</f>
        <v>0</v>
      </c>
      <c r="E17" s="411">
        <f>COUNTIFS(เรื่องร้องเรียน!CN:CN,"1",เรื่องร้องเรียน!AO:AO,"9",เรื่องร้องเรียน!AQ:AQ,"1",เรื่องร้องเรียน!AT:AT,"1")</f>
        <v>0</v>
      </c>
      <c r="F17" s="412">
        <f t="shared" si="1"/>
        <v>0</v>
      </c>
      <c r="G17" s="413" t="e">
        <f t="shared" si="2"/>
        <v>#DIV/0!</v>
      </c>
      <c r="H17" s="410">
        <f>COUNTIFS(เรื่องร้องเรียน!CN:CN,"1",เรื่องร้องเรียน!AO:AO,"9",เรื่องร้องเรียน!AQ:AQ,"1",เรื่องร้องเรียน!AR:AR,"1",เรื่องร้องเรียน!AV:AV,"1")</f>
        <v>0</v>
      </c>
      <c r="I17" s="411">
        <f>COUNTIFS(เรื่องร้องเรียน!CN:CN,"1",เรื่องร้องเรียน!AO:AO,"9",เรื่องร้องเรียน!AQ:AQ,"1",เรื่องร้องเรียน!AR:AR,"1",เรื่องร้องเรียน!AW:AW,"1")</f>
        <v>0</v>
      </c>
      <c r="J17" s="411">
        <f>COUNTIFS(เรื่องร้องเรียน!CN:CN,"1",เรื่องร้องเรียน!AO:AO,"9",เรื่องร้องเรียน!AQ:AQ,"1",เรื่องร้องเรียน!AR:AR,"1",เรื่องร้องเรียน!AX:AX,"1")</f>
        <v>0</v>
      </c>
      <c r="K17" s="411">
        <f>COUNTIFS(เรื่องร้องเรียน!CN:CN,"1",เรื่องร้องเรียน!AO:AO,"9",เรื่องร้องเรียน!AQ:AQ,"1",เรื่องร้องเรียน!AR:AR,"1",เรื่องร้องเรียน!AY:AY,"1")</f>
        <v>0</v>
      </c>
      <c r="L17" s="414">
        <f>COUNTIFS(เรื่องร้องเรียน!CN:CN,"1",เรื่องร้องเรียน!AO:AO,"9",เรื่องร้องเรียน!AQ:AQ,"1",เรื่องร้องเรียน!AR:AR,"1",เรื่องร้องเรียน!AZ:AZ,"1")</f>
        <v>0</v>
      </c>
      <c r="M17" s="391">
        <f t="shared" si="3"/>
        <v>0</v>
      </c>
    </row>
    <row r="18" spans="1:13" s="62" customFormat="1" ht="23.4">
      <c r="A18" s="415" t="s">
        <v>20</v>
      </c>
      <c r="B18" s="416">
        <f>COUNTIFS(เรื่องร้องเรียน!CP:CP,"1")</f>
        <v>0</v>
      </c>
      <c r="C18" s="417">
        <f>COUNTIFS(เรื่องร้องเรียน!CP:CP,"1",เรื่องร้องเรียน!AQ:AQ,"1",เรื่องร้องเรียน!AR:AR,"1")</f>
        <v>0</v>
      </c>
      <c r="D18" s="418">
        <f>COUNTIFS(เรื่องร้องเรียน!CP:CP,"1",เรื่องร้องเรียน!AQ:AQ,"1",เรื่องร้องเรียน!AS:AS,"1")</f>
        <v>0</v>
      </c>
      <c r="E18" s="418">
        <f>COUNTIFS(เรื่องร้องเรียน!CP:CP,"1",เรื่องร้องเรียน!AQ:AQ,"1",เรื่องร้องเรียน!AT:AT,"1")</f>
        <v>0</v>
      </c>
      <c r="F18" s="419">
        <f t="shared" si="1"/>
        <v>0</v>
      </c>
      <c r="G18" s="420" t="e">
        <f t="shared" si="2"/>
        <v>#DIV/0!</v>
      </c>
      <c r="H18" s="421">
        <f>COUNTIFS(เรื่องร้องเรียน!CP:CP,"1",เรื่องร้องเรียน!AQ:AQ,"1",เรื่องร้องเรียน!AR:AR,"1",เรื่องร้องเรียน!AV:AV,"1")</f>
        <v>0</v>
      </c>
      <c r="I18" s="419">
        <f>COUNTIFS(เรื่องร้องเรียน!CP:CP,"1",เรื่องร้องเรียน!AQ:AQ,"1",เรื่องร้องเรียน!AR:AR,"1",เรื่องร้องเรียน!AW:AW,"1")</f>
        <v>0</v>
      </c>
      <c r="J18" s="419">
        <f>COUNTIFS(เรื่องร้องเรียน!CP:CP,"1",เรื่องร้องเรียน!AQ:AQ,"1",เรื่องร้องเรียน!AR:AR,"1",เรื่องร้องเรียน!AX:AX,"1")</f>
        <v>0</v>
      </c>
      <c r="K18" s="419">
        <f>COUNTIFS(เรื่องร้องเรียน!CP:CP,"1",เรื่องร้องเรียน!AQ:AQ,"1",เรื่องร้องเรียน!AR:AR,"1",เรื่องร้องเรียน!AY:AY,"1")</f>
        <v>0</v>
      </c>
      <c r="L18" s="422">
        <f>COUNTIFS(เรื่องร้องเรียน!CP:CP,"1",เรื่องร้องเรียน!AQ:AQ,"1",เรื่องร้องเรียน!AR:AR,"1",เรื่องร้องเรียน!AZ:AZ,"1")</f>
        <v>0</v>
      </c>
      <c r="M18" s="423">
        <f t="shared" si="3"/>
        <v>0</v>
      </c>
    </row>
    <row r="19" spans="1:13" s="42" customFormat="1" ht="23.4">
      <c r="A19" s="424" t="s">
        <v>21</v>
      </c>
      <c r="B19" s="425">
        <f>COUNTIFS(เรื่องร้องเรียน!CQ:CQ,"1")</f>
        <v>0</v>
      </c>
      <c r="C19" s="426">
        <f>COUNTIFS(เรื่องร้องเรียน!CQ:CQ,"1",เรื่องร้องเรียน!AQ:AQ,"1",เรื่องร้องเรียน!AR:AR,"1")</f>
        <v>0</v>
      </c>
      <c r="D19" s="427">
        <f>COUNTIFS(เรื่องร้องเรียน!CQ:CQ,"1",เรื่องร้องเรียน!AQ:AQ,"1",เรื่องร้องเรียน!AS:AS,"1")</f>
        <v>0</v>
      </c>
      <c r="E19" s="427">
        <f>COUNTIFS(เรื่องร้องเรียน!CQ:CQ,"1",เรื่องร้องเรียน!AQ:AQ,"1",เรื่องร้องเรียน!AT:AT,"1")</f>
        <v>0</v>
      </c>
      <c r="F19" s="428">
        <f t="shared" si="1"/>
        <v>0</v>
      </c>
      <c r="G19" s="429" t="e">
        <f t="shared" si="2"/>
        <v>#DIV/0!</v>
      </c>
      <c r="H19" s="430">
        <f>COUNTIFS(เรื่องร้องเรียน!CQ:CQ,"1",เรื่องร้องเรียน!AQ:AQ,"1",เรื่องร้องเรียน!AR:AR,"1",เรื่องร้องเรียน!AV:AV,"1")</f>
        <v>0</v>
      </c>
      <c r="I19" s="427">
        <f>COUNTIFS(เรื่องร้องเรียน!CQ:CQ,"1",เรื่องร้องเรียน!AQ:AQ,"1",เรื่องร้องเรียน!AR:AR,"1",เรื่องร้องเรียน!AW:AW,"1")</f>
        <v>0</v>
      </c>
      <c r="J19" s="427">
        <f>COUNTIFS(เรื่องร้องเรียน!CQ:CQ,"1",เรื่องร้องเรียน!AQ:AQ,"1",เรื่องร้องเรียน!AR:AR,"1",เรื่องร้องเรียน!AX:AX,"1")</f>
        <v>0</v>
      </c>
      <c r="K19" s="427">
        <f>COUNTIFS(เรื่องร้องเรียน!CQ:CQ,"1",เรื่องร้องเรียน!AQ:AQ,"1",เรื่องร้องเรียน!AR:AR,"1",เรื่องร้องเรียน!AY:AY,"1")</f>
        <v>0</v>
      </c>
      <c r="L19" s="431">
        <f>COUNTIFS(เรื่องร้องเรียน!CQ:CQ,"1",เรื่องร้องเรียน!AQ:AQ,"1",เรื่องร้องเรียน!AR:AR,"1",เรื่องร้องเรียน!AZ:AZ,"1")</f>
        <v>0</v>
      </c>
      <c r="M19" s="432">
        <f t="shared" si="3"/>
        <v>0</v>
      </c>
    </row>
    <row r="20" spans="1:13" ht="23.4">
      <c r="A20" s="433" t="s">
        <v>231</v>
      </c>
      <c r="B20" s="434">
        <f>COUNTIFS(เรื่องร้องเรียน!CR:CR,"ไม่ส่ง")</f>
        <v>0</v>
      </c>
      <c r="C20" s="435">
        <f>COUNTIFS(เรื่องร้องเรียน!CR:CR,"ไม่ส่ง",เรื่องร้องเรียน!AQ:AQ,"1",เรื่องร้องเรียน!AR:AR,"1")</f>
        <v>0</v>
      </c>
      <c r="D20" s="436">
        <f>COUNTIFS(เรื่องร้องเรียน!CR:CR,"ไม่ส่ง",เรื่องร้องเรียน!AQ:AQ,"1",เรื่องร้องเรียน!AS:AS,"1")</f>
        <v>0</v>
      </c>
      <c r="E20" s="436">
        <f>COUNTIFS(เรื่องร้องเรียน!CR:CR,"ไม่ส่ง",เรื่องร้องเรียน!AQ:AQ,"1",เรื่องร้องเรียน!AT:AT,"1")</f>
        <v>0</v>
      </c>
      <c r="F20" s="437">
        <f t="shared" si="1"/>
        <v>0</v>
      </c>
      <c r="G20" s="438" t="e">
        <f t="shared" si="2"/>
        <v>#DIV/0!</v>
      </c>
      <c r="H20" s="439">
        <f>COUNTIFS(เรื่องร้องเรียน!CR:CR,"1",เรื่องร้องเรียน!AQ:AQ,"1",เรื่องร้องเรียน!AR:AR,"1",เรื่องร้องเรียน!AV:AV,"1")</f>
        <v>0</v>
      </c>
      <c r="I20" s="440">
        <f>COUNTIFS(เรื่องร้องเรียน!CR:CR,"1",เรื่องร้องเรียน!AQ:AQ,"1",เรื่องร้องเรียน!AR:AR,"1",เรื่องร้องเรียน!AW:AW,"1")</f>
        <v>0</v>
      </c>
      <c r="J20" s="440">
        <f>COUNTIFS(เรื่องร้องเรียน!CR:CR,"1",เรื่องร้องเรียน!AQ:AQ,"1",เรื่องร้องเรียน!AR:AR,"1",เรื่องร้องเรียน!AX:AX,"1")</f>
        <v>0</v>
      </c>
      <c r="K20" s="440">
        <f>COUNTIFS(เรื่องร้องเรียน!CR:CR,"1",เรื่องร้องเรียน!AQ:AQ,"1",เรื่องร้องเรียน!AR:AR,"1",เรื่องร้องเรียน!AY:AY,"1")</f>
        <v>0</v>
      </c>
      <c r="L20" s="441">
        <f>COUNTIFS(เรื่องร้องเรียน!CR:CR,"1",เรื่องร้องเรียน!AQ:AQ,"1",เรื่องร้องเรียน!AR:AR,"1",เรื่องร้องเรียน!AZ:AZ,"1")</f>
        <v>0</v>
      </c>
      <c r="M20" s="442">
        <f t="shared" si="3"/>
        <v>0</v>
      </c>
    </row>
    <row r="21" spans="1:13" ht="23.4">
      <c r="G21" s="216"/>
      <c r="H21" s="216"/>
      <c r="I21" s="216"/>
      <c r="J21" s="216"/>
      <c r="K21" s="216"/>
      <c r="L21" s="216"/>
      <c r="M21" s="216"/>
    </row>
    <row r="24" spans="1:13">
      <c r="F24" s="10" t="s">
        <v>158</v>
      </c>
    </row>
    <row r="1431" spans="25:25">
      <c r="Y1431" s="41" t="s">
        <v>102</v>
      </c>
    </row>
  </sheetData>
  <mergeCells count="16">
    <mergeCell ref="A3:B6"/>
    <mergeCell ref="A1:M1"/>
    <mergeCell ref="A2:M2"/>
    <mergeCell ref="C3:M3"/>
    <mergeCell ref="C4:G4"/>
    <mergeCell ref="H4:M4"/>
    <mergeCell ref="J5:J6"/>
    <mergeCell ref="K5:K6"/>
    <mergeCell ref="L5:L6"/>
    <mergeCell ref="M5:M6"/>
    <mergeCell ref="C5:C6"/>
    <mergeCell ref="D5:D6"/>
    <mergeCell ref="E5:E6"/>
    <mergeCell ref="F5:G5"/>
    <mergeCell ref="H5:H6"/>
    <mergeCell ref="I5:I6"/>
  </mergeCells>
  <printOptions verticalCentered="1"/>
  <pageMargins left="0.24" right="0.118110236220472" top="1.02362204724409" bottom="5.9842519685039397" header="0.47244094488188998" footer="0.31496062992126"/>
  <pageSetup paperSize="9" scale="75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E964-16AF-4796-9024-1FDBD69708F2}">
  <sheetPr>
    <tabColor rgb="FFFFFF00"/>
  </sheetPr>
  <dimension ref="A1:U1429"/>
  <sheetViews>
    <sheetView tabSelected="1" zoomScale="80" zoomScaleNormal="80" workbookViewId="0">
      <pane ySplit="6" topLeftCell="A31" activePane="bottomLeft" state="frozen"/>
      <selection pane="bottomLeft" sqref="A1:O1"/>
    </sheetView>
  </sheetViews>
  <sheetFormatPr defaultColWidth="9" defaultRowHeight="21"/>
  <cols>
    <col min="1" max="1" width="8.88671875" style="126" customWidth="1"/>
    <col min="2" max="2" width="14.88671875" style="10" customWidth="1"/>
    <col min="3" max="7" width="6.33203125" style="10" customWidth="1"/>
    <col min="8" max="8" width="6.109375" style="10" customWidth="1"/>
    <col min="9" max="14" width="6.33203125" style="10" customWidth="1"/>
    <col min="15" max="16384" width="9" style="10"/>
  </cols>
  <sheetData>
    <row r="1" spans="1:15" s="71" customFormat="1" ht="30.75" customHeight="1">
      <c r="A1" s="809" t="s">
        <v>261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</row>
    <row r="2" spans="1:15" s="71" customFormat="1" ht="30.75" customHeight="1" thickBot="1">
      <c r="A2" s="810" t="s">
        <v>252</v>
      </c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</row>
    <row r="3" spans="1:15" ht="21.6" thickBot="1">
      <c r="A3" s="811" t="s">
        <v>6</v>
      </c>
      <c r="B3" s="813" t="s">
        <v>5</v>
      </c>
      <c r="C3" s="815" t="s">
        <v>145</v>
      </c>
      <c r="D3" s="816"/>
      <c r="E3" s="816"/>
      <c r="F3" s="816"/>
      <c r="G3" s="816"/>
      <c r="H3" s="817"/>
      <c r="I3" s="818" t="s">
        <v>160</v>
      </c>
      <c r="J3" s="819"/>
      <c r="K3" s="819"/>
      <c r="L3" s="819"/>
      <c r="M3" s="820"/>
      <c r="N3" s="821"/>
      <c r="O3" s="822" t="s">
        <v>161</v>
      </c>
    </row>
    <row r="4" spans="1:15" ht="33" customHeight="1" thickBot="1">
      <c r="A4" s="812"/>
      <c r="B4" s="814"/>
      <c r="C4" s="254" t="s">
        <v>162</v>
      </c>
      <c r="D4" s="255" t="s">
        <v>163</v>
      </c>
      <c r="E4" s="255" t="s">
        <v>164</v>
      </c>
      <c r="F4" s="255" t="s">
        <v>165</v>
      </c>
      <c r="G4" s="255" t="s">
        <v>166</v>
      </c>
      <c r="H4" s="256" t="s">
        <v>152</v>
      </c>
      <c r="I4" s="233" t="s">
        <v>162</v>
      </c>
      <c r="J4" s="248" t="s">
        <v>163</v>
      </c>
      <c r="K4" s="248" t="s">
        <v>164</v>
      </c>
      <c r="L4" s="248" t="s">
        <v>165</v>
      </c>
      <c r="M4" s="248" t="s">
        <v>166</v>
      </c>
      <c r="N4" s="249" t="s">
        <v>152</v>
      </c>
      <c r="O4" s="823"/>
    </row>
    <row r="5" spans="1:15" s="71" customFormat="1" ht="21.6" thickBot="1">
      <c r="A5" s="243" t="s">
        <v>152</v>
      </c>
      <c r="B5" s="225"/>
      <c r="C5" s="75">
        <f t="shared" ref="C5:N5" si="0">SUM(C6,C7,C17,C29,C41,C50,C60,C69,C81,C93)</f>
        <v>0</v>
      </c>
      <c r="D5" s="75">
        <f t="shared" si="0"/>
        <v>0</v>
      </c>
      <c r="E5" s="75">
        <f t="shared" si="0"/>
        <v>0</v>
      </c>
      <c r="F5" s="75">
        <f t="shared" si="0"/>
        <v>0</v>
      </c>
      <c r="G5" s="75">
        <f t="shared" si="0"/>
        <v>0</v>
      </c>
      <c r="H5" s="234">
        <f t="shared" si="0"/>
        <v>0</v>
      </c>
      <c r="I5" s="75">
        <f t="shared" si="0"/>
        <v>0</v>
      </c>
      <c r="J5" s="75">
        <f t="shared" si="0"/>
        <v>0</v>
      </c>
      <c r="K5" s="75">
        <f t="shared" si="0"/>
        <v>0</v>
      </c>
      <c r="L5" s="75">
        <f t="shared" si="0"/>
        <v>0</v>
      </c>
      <c r="M5" s="75">
        <f t="shared" si="0"/>
        <v>0</v>
      </c>
      <c r="N5" s="239">
        <f t="shared" si="0"/>
        <v>0</v>
      </c>
      <c r="O5" s="128">
        <f t="shared" ref="O5:O68" si="1">H5-N5</f>
        <v>0</v>
      </c>
    </row>
    <row r="6" spans="1:15" s="71" customFormat="1" ht="21.6" thickBot="1">
      <c r="A6" s="271" t="s">
        <v>20</v>
      </c>
      <c r="B6" s="272"/>
      <c r="C6" s="273">
        <f>COUNTIFS(เรื่องร้องเรียน!E:E,"1",เรื่องร้องเรียน!CP:CP,"1")</f>
        <v>0</v>
      </c>
      <c r="D6" s="273">
        <f>COUNTIFS(เรื่องร้องเรียน!E:E,"2",เรื่องร้องเรียน!CP:CP,"1")</f>
        <v>0</v>
      </c>
      <c r="E6" s="273">
        <f>COUNTIFS(เรื่องร้องเรียน!E:E,"3",เรื่องร้องเรียน!CP:CP,"1")</f>
        <v>0</v>
      </c>
      <c r="F6" s="273">
        <f>COUNTIFS(เรื่องร้องเรียน!E:E,"4",เรื่องร้องเรียน!CP:CP,"1")</f>
        <v>0</v>
      </c>
      <c r="G6" s="273">
        <f>COUNTIFS(เรื่องร้องเรียน!E:E,"5",เรื่องร้องเรียน!CP:CP,"1")</f>
        <v>0</v>
      </c>
      <c r="H6" s="274">
        <f t="shared" ref="H6:H69" si="2">SUM(C6,D6,E6,F6,G6)</f>
        <v>0</v>
      </c>
      <c r="I6" s="273">
        <f>COUNTIFS(เรื่องร้องเรียน!E:E,"1",เรื่องร้องเรียน!CP:CP,"1",เรื่องร้องเรียน!AQ:AQ,"1")</f>
        <v>0</v>
      </c>
      <c r="J6" s="273">
        <f>COUNTIFS(เรื่องร้องเรียน!E:E,"2",เรื่องร้องเรียน!CP:CP,"1",เรื่องร้องเรียน!AQ:AQ,"1")</f>
        <v>0</v>
      </c>
      <c r="K6" s="273">
        <f>COUNTIFS(เรื่องร้องเรียน!E:E,"3",เรื่องร้องเรียน!CP:CP,"1",เรื่องร้องเรียน!AQ:AQ,"1")</f>
        <v>0</v>
      </c>
      <c r="L6" s="273">
        <f>COUNTIFS(เรื่องร้องเรียน!E:E,"4",เรื่องร้องเรียน!CP:CP,"1",เรื่องร้องเรียน!AQ:AQ,"1")</f>
        <v>0</v>
      </c>
      <c r="M6" s="273">
        <f>COUNTIFS(เรื่องร้องเรียน!E:E,"5",เรื่องร้องเรียน!CP:CP,"1",เรื่องร้องเรียน!AQ:AQ,"1")</f>
        <v>0</v>
      </c>
      <c r="N6" s="274">
        <f>SUM(I6:M6)</f>
        <v>0</v>
      </c>
      <c r="O6" s="275">
        <f t="shared" si="1"/>
        <v>0</v>
      </c>
    </row>
    <row r="7" spans="1:15" ht="21.6" thickBot="1">
      <c r="A7" s="264">
        <v>1</v>
      </c>
      <c r="B7" s="265"/>
      <c r="C7" s="266">
        <f>SUM(C8:C16)</f>
        <v>0</v>
      </c>
      <c r="D7" s="267">
        <f t="shared" ref="D7:M7" si="3">SUM(D8:D16)</f>
        <v>0</v>
      </c>
      <c r="E7" s="267">
        <f t="shared" si="3"/>
        <v>0</v>
      </c>
      <c r="F7" s="267">
        <f t="shared" si="3"/>
        <v>0</v>
      </c>
      <c r="G7" s="267">
        <f t="shared" si="3"/>
        <v>0</v>
      </c>
      <c r="H7" s="268">
        <f t="shared" si="2"/>
        <v>0</v>
      </c>
      <c r="I7" s="266">
        <f t="shared" si="3"/>
        <v>0</v>
      </c>
      <c r="J7" s="267">
        <f t="shared" si="3"/>
        <v>0</v>
      </c>
      <c r="K7" s="267">
        <f t="shared" si="3"/>
        <v>0</v>
      </c>
      <c r="L7" s="267">
        <f t="shared" si="3"/>
        <v>0</v>
      </c>
      <c r="M7" s="267">
        <f t="shared" si="3"/>
        <v>0</v>
      </c>
      <c r="N7" s="269">
        <f t="shared" ref="N7:N70" si="4">SUM(I7:M7)</f>
        <v>0</v>
      </c>
      <c r="O7" s="270">
        <f t="shared" si="1"/>
        <v>0</v>
      </c>
    </row>
    <row r="8" spans="1:15">
      <c r="A8" s="98"/>
      <c r="B8" s="226" t="s">
        <v>167</v>
      </c>
      <c r="C8" s="104">
        <f>COUNTIFS(เรื่องร้องเรียน!E:E,"1",เรื่องร้องเรียน!AO:AO,"1",เรื่องร้องเรียน!AN:AN,"ชนะสงคราม",เรื่องร้องเรียน!CN:CN,"1")</f>
        <v>0</v>
      </c>
      <c r="D8" s="101">
        <f>COUNTIFS(เรื่องร้องเรียน!E:E,"2",เรื่องร้องเรียน!AO:AO,"1",เรื่องร้องเรียน!AN:AN,"ชนะสงคราม",เรื่องร้องเรียน!CN:CN,"1")</f>
        <v>0</v>
      </c>
      <c r="E8" s="101">
        <f>COUNTIFS(เรื่องร้องเรียน!E:E,"3",เรื่องร้องเรียน!AO:AO,"1",เรื่องร้องเรียน!AN:AN,"ชนะสงคราม",เรื่องร้องเรียน!CN:CN,"1")</f>
        <v>0</v>
      </c>
      <c r="F8" s="101">
        <f>COUNTIFS(เรื่องร้องเรียน!E:E,"4",เรื่องร้องเรียน!AO:AO,"1",เรื่องร้องเรียน!AN:AN,"ชนะสงคราม",เรื่องร้องเรียน!CN:CN,"1")</f>
        <v>0</v>
      </c>
      <c r="G8" s="101">
        <f>COUNTIFS(เรื่องร้องเรียน!E:E,"5",เรื่องร้องเรียน!AO:AO,"1",เรื่องร้องเรียน!AN:AN,"ชนะสงคราม",เรื่องร้องเรียน!CN:CN,"1")</f>
        <v>0</v>
      </c>
      <c r="H8" s="235">
        <f t="shared" si="2"/>
        <v>0</v>
      </c>
      <c r="I8" s="104">
        <f>COUNTIFS(เรื่องร้องเรียน!E:E,"1",เรื่องร้องเรียน!AO:AO,"1",เรื่องร้องเรียน!AN:AN,"ชนะสงคราม",เรื่องร้องเรียน!AQ:AQ,"1",เรื่องร้องเรียน!CN:CN,"1")</f>
        <v>0</v>
      </c>
      <c r="J8" s="101">
        <f>COUNTIFS(เรื่องร้องเรียน!E:E,"2",เรื่องร้องเรียน!AO:AO,"1",เรื่องร้องเรียน!AN:AN,"ชนะสงคราม",เรื่องร้องเรียน!AQ:AQ,"1",เรื่องร้องเรียน!CN:CN,"1")</f>
        <v>0</v>
      </c>
      <c r="K8" s="101">
        <f>COUNTIFS(เรื่องร้องเรียน!E:E,"3",เรื่องร้องเรียน!AO:AO,"1",เรื่องร้องเรียน!AN:AN,"ชนะสงคราม",เรื่องร้องเรียน!AQ:AQ,"1",เรื่องร้องเรียน!CN:CN,"1")</f>
        <v>0</v>
      </c>
      <c r="L8" s="101">
        <f>COUNTIFS(เรื่องร้องเรียน!E:E,"4",เรื่องร้องเรียน!AO:AO,"1",เรื่องร้องเรียน!AN:AN,"ชนะสงคราม",เรื่องร้องเรียน!AQ:AQ,"1",เรื่องร้องเรียน!CN:CN,"1")</f>
        <v>0</v>
      </c>
      <c r="M8" s="101">
        <f>COUNTIFS(เรื่องร้องเรียน!E:E,"5",เรื่องร้องเรียน!AO:AO,"1",เรื่องร้องเรียน!AN:AN,"ชนะสงคราม",เรื่องร้องเรียน!AQ:AQ,"1",เรื่องร้องเรียน!CN:CN,"1")</f>
        <v>0</v>
      </c>
      <c r="N8" s="240">
        <f t="shared" si="4"/>
        <v>0</v>
      </c>
      <c r="O8" s="182">
        <f t="shared" si="1"/>
        <v>0</v>
      </c>
    </row>
    <row r="9" spans="1:15">
      <c r="A9" s="107"/>
      <c r="B9" s="227" t="s">
        <v>86</v>
      </c>
      <c r="C9" s="104">
        <f>COUNTIFS(เรื่องร้องเรียน!E:E,"1",เรื่องร้องเรียน!AO:AO,"1",เรื่องร้องเรียน!AN:AN,"ดินแดง",เรื่องร้องเรียน!CN:CN,"1")</f>
        <v>0</v>
      </c>
      <c r="D9" s="101">
        <f>COUNTIFS(เรื่องร้องเรียน!E:E,"2",เรื่องร้องเรียน!AO:AO,"1",เรื่องร้องเรียน!AN:AN,"ดินแดง",เรื่องร้องเรียน!CN:CN,"1")</f>
        <v>0</v>
      </c>
      <c r="E9" s="101">
        <f>COUNTIFS(เรื่องร้องเรียน!E:E,"3",เรื่องร้องเรียน!AO:AO,"1",เรื่องร้องเรียน!AN:AN,"ดินแดง",เรื่องร้องเรียน!CN:CN,"1")</f>
        <v>0</v>
      </c>
      <c r="F9" s="101">
        <f>COUNTIFS(เรื่องร้องเรียน!E:E,"4",เรื่องร้องเรียน!AO:AO,"1",เรื่องร้องเรียน!AN:AN,"ดินแดง",เรื่องร้องเรียน!CN:CN,"1")</f>
        <v>0</v>
      </c>
      <c r="G9" s="101">
        <f>COUNTIFS(เรื่องร้องเรียน!E:E,"5",เรื่องร้องเรียน!AO:AO,"1",เรื่องร้องเรียน!AN:AN,"ดินแดง",เรื่องร้องเรียน!CN:CN,"1")</f>
        <v>0</v>
      </c>
      <c r="H9" s="235">
        <f t="shared" si="2"/>
        <v>0</v>
      </c>
      <c r="I9" s="104">
        <f>COUNTIFS(เรื่องร้องเรียน!E:E,"1",เรื่องร้องเรียน!AO:AO,"1",เรื่องร้องเรียน!AN:AN,"ดินแดง",เรื่องร้องเรียน!AQ:AQ,"1",เรื่องร้องเรียน!CN:CN,"1")</f>
        <v>0</v>
      </c>
      <c r="J9" s="101">
        <f>COUNTIFS(เรื่องร้องเรียน!E:E,"2",เรื่องร้องเรียน!AO:AO,"1",เรื่องร้องเรียน!AN:AN,"ดินแดง",เรื่องร้องเรียน!AQ:AQ,"1",เรื่องร้องเรียน!CN:CN,"1")</f>
        <v>0</v>
      </c>
      <c r="K9" s="101">
        <f>COUNTIFS(เรื่องร้องเรียน!E:E,"3",เรื่องร้องเรียน!AO:AO,"1",เรื่องร้องเรียน!AN:AN,"ดินแดง",เรื่องร้องเรียน!AQ:AQ,"1",เรื่องร้องเรียน!CN:CN,"1")</f>
        <v>0</v>
      </c>
      <c r="L9" s="101">
        <f>COUNTIFS(เรื่องร้องเรียน!E:E,"4",เรื่องร้องเรียน!AO:AO,"1",เรื่องร้องเรียน!AN:AN,"ดินแดง",เรื่องร้องเรียน!AQ:AQ,"1",เรื่องร้องเรียน!CN:CN,"1")</f>
        <v>0</v>
      </c>
      <c r="M9" s="101">
        <f>COUNTIFS(เรื่องร้องเรียน!E:E,"5",เรื่องร้องเรียน!AO:AO,"1",เรื่องร้องเรียน!AN:AN,"ดินแดง",เรื่องร้องเรียน!AQ:AQ,"1",เรื่องร้องเรียน!CN:CN,"1")</f>
        <v>0</v>
      </c>
      <c r="N9" s="241">
        <f t="shared" si="4"/>
        <v>0</v>
      </c>
      <c r="O9" s="183">
        <f t="shared" si="1"/>
        <v>0</v>
      </c>
    </row>
    <row r="10" spans="1:15">
      <c r="A10" s="107"/>
      <c r="B10" s="227" t="s">
        <v>168</v>
      </c>
      <c r="C10" s="104">
        <f>COUNTIFS(เรื่องร้องเรียน!E:E,"1",เรื่องร้องเรียน!AO:AO,"1",เรื่องร้องเรียน!AN:AN,"ดุสิต",เรื่องร้องเรียน!CN:CN,"1")</f>
        <v>0</v>
      </c>
      <c r="D10" s="101">
        <f>COUNTIFS(เรื่องร้องเรียน!E:E,"2",เรื่องร้องเรียน!AO:AO,"1",เรื่องร้องเรียน!AN:AN,"ดุสิต",เรื่องร้องเรียน!CN:CN,"1")</f>
        <v>0</v>
      </c>
      <c r="E10" s="101">
        <f>COUNTIFS(เรื่องร้องเรียน!E:E,"3",เรื่องร้องเรียน!AO:AO,"1",เรื่องร้องเรียน!AN:AN,"ดุสิต",เรื่องร้องเรียน!CN:CN,"1")</f>
        <v>0</v>
      </c>
      <c r="F10" s="101">
        <f>COUNTIFS(เรื่องร้องเรียน!E:E,"4",เรื่องร้องเรียน!AO:AO,"1",เรื่องร้องเรียน!AN:AN,"ดุสิต",เรื่องร้องเรียน!CN:CN,"1")</f>
        <v>0</v>
      </c>
      <c r="G10" s="101">
        <f>COUNTIFS(เรื่องร้องเรียน!E:E,"5",เรื่องร้องเรียน!AO:AO,"1",เรื่องร้องเรียน!AN:AN,"ดุสิต",เรื่องร้องเรียน!CN:CN,"1")</f>
        <v>0</v>
      </c>
      <c r="H10" s="235">
        <f t="shared" si="2"/>
        <v>0</v>
      </c>
      <c r="I10" s="104">
        <f>COUNTIFS(เรื่องร้องเรียน!E:E,"1",เรื่องร้องเรียน!AO:AO,"1",เรื่องร้องเรียน!AN:AN,"ดุสิต",เรื่องร้องเรียน!AQ:AQ,"1",เรื่องร้องเรียน!CN:CN,"1")</f>
        <v>0</v>
      </c>
      <c r="J10" s="101">
        <f>COUNTIFS(เรื่องร้องเรียน!E:E,"2",เรื่องร้องเรียน!AO:AO,"1",เรื่องร้องเรียน!AN:AN,"ดุสิต",เรื่องร้องเรียน!AQ:AQ,"1",เรื่องร้องเรียน!CN:CN,"1")</f>
        <v>0</v>
      </c>
      <c r="K10" s="101">
        <f>COUNTIFS(เรื่องร้องเรียน!E:E,"3",เรื่องร้องเรียน!AO:AO,"1",เรื่องร้องเรียน!AN:AN,"ดุสิต",เรื่องร้องเรียน!AQ:AQ,"1",เรื่องร้องเรียน!CN:CN,"1")</f>
        <v>0</v>
      </c>
      <c r="L10" s="101">
        <f>COUNTIFS(เรื่องร้องเรียน!E:E,"4",เรื่องร้องเรียน!AO:AO,"1",เรื่องร้องเรียน!AN:AN,"ดุสิต",เรื่องร้องเรียน!AQ:AQ,"1",เรื่องร้องเรียน!CN:CN,"1")</f>
        <v>0</v>
      </c>
      <c r="M10" s="101">
        <f>COUNTIFS(เรื่องร้องเรียน!E:E,"5",เรื่องร้องเรียน!AO:AO,"1",เรื่องร้องเรียน!AN:AN,"ดุสิต",เรื่องร้องเรียน!AQ:AQ,"1",เรื่องร้องเรียน!CN:CN,"1")</f>
        <v>0</v>
      </c>
      <c r="N10" s="241">
        <f t="shared" si="4"/>
        <v>0</v>
      </c>
      <c r="O10" s="183">
        <f t="shared" si="1"/>
        <v>0</v>
      </c>
    </row>
    <row r="11" spans="1:15">
      <c r="A11" s="107"/>
      <c r="B11" s="227" t="s">
        <v>169</v>
      </c>
      <c r="C11" s="104">
        <f>COUNTIFS(เรื่องร้องเรียน!E:E,"1",เรื่องร้องเรียน!AO:AO,"1",เรื่องร้องเรียน!AN:AN,"นางเลิ้ง",เรื่องร้องเรียน!CN:CN,"1")</f>
        <v>0</v>
      </c>
      <c r="D11" s="101">
        <f>COUNTIFS(เรื่องร้องเรียน!E:E,"2",เรื่องร้องเรียน!AO:AO,"1",เรื่องร้องเรียน!AN:AN,"นางเลิ้ง",เรื่องร้องเรียน!CN:CN,"1")</f>
        <v>0</v>
      </c>
      <c r="E11" s="101">
        <f>COUNTIFS(เรื่องร้องเรียน!E:E,"3",เรื่องร้องเรียน!AO:AO,"1",เรื่องร้องเรียน!AN:AN,"นางเลิ้ง",เรื่องร้องเรียน!CN:CN,"1")</f>
        <v>0</v>
      </c>
      <c r="F11" s="101">
        <f>COUNTIFS(เรื่องร้องเรียน!E:E,"4",เรื่องร้องเรียน!AO:AO,"1",เรื่องร้องเรียน!AN:AN,"นางเลิ้ง",เรื่องร้องเรียน!CN:CN,"1")</f>
        <v>0</v>
      </c>
      <c r="G11" s="101">
        <f>COUNTIFS(เรื่องร้องเรียน!E:E,"5",เรื่องร้องเรียน!AO:AO,"1",เรื่องร้องเรียน!AN:AN,"นางเลิ้ง",เรื่องร้องเรียน!CN:CN,"1")</f>
        <v>0</v>
      </c>
      <c r="H11" s="235">
        <f t="shared" si="2"/>
        <v>0</v>
      </c>
      <c r="I11" s="104">
        <f>COUNTIFS(เรื่องร้องเรียน!E:E,"1",เรื่องร้องเรียน!AO:AO,"1",เรื่องร้องเรียน!AN:AN,"นางเลิ้ง",เรื่องร้องเรียน!AQ:AQ,"1",เรื่องร้องเรียน!CN:CN,"1")</f>
        <v>0</v>
      </c>
      <c r="J11" s="101">
        <f>COUNTIFS(เรื่องร้องเรียน!E:E,"2",เรื่องร้องเรียน!AO:AO,"1",เรื่องร้องเรียน!AN:AN,"นางเลิ้ง",เรื่องร้องเรียน!AQ:AQ,"1",เรื่องร้องเรียน!CN:CN,"1")</f>
        <v>0</v>
      </c>
      <c r="K11" s="101">
        <f>COUNTIFS(เรื่องร้องเรียน!E:E,"3",เรื่องร้องเรียน!AO:AO,"1",เรื่องร้องเรียน!AN:AN,"นางเลิ้ง",เรื่องร้องเรียน!AQ:AQ,"1",เรื่องร้องเรียน!CN:CN,"1")</f>
        <v>0</v>
      </c>
      <c r="L11" s="101">
        <f>COUNTIFS(เรื่องร้องเรียน!E:E,"4",เรื่องร้องเรียน!AO:AO,"1",เรื่องร้องเรียน!AN:AN,"นางเลิ้ง",เรื่องร้องเรียน!AQ:AQ,"1",เรื่องร้องเรียน!CN:CN,"1")</f>
        <v>0</v>
      </c>
      <c r="M11" s="101">
        <f>COUNTIFS(เรื่องร้องเรียน!E:E,"5",เรื่องร้องเรียน!AO:AO,"1",เรื่องร้องเรียน!AN:AN,"นางเลิ้ง",เรื่องร้องเรียน!AQ:AQ,"1",เรื่องร้องเรียน!CN:CN,"1")</f>
        <v>0</v>
      </c>
      <c r="N11" s="241">
        <f t="shared" si="4"/>
        <v>0</v>
      </c>
      <c r="O11" s="183">
        <f t="shared" si="1"/>
        <v>0</v>
      </c>
    </row>
    <row r="12" spans="1:15">
      <c r="A12" s="107"/>
      <c r="B12" s="227" t="s">
        <v>89</v>
      </c>
      <c r="C12" s="104">
        <f>COUNTIFS(เรื่องร้องเรียน!E:E,"1",เรื่องร้องเรียน!AO:AO,"1",เรื่องร้องเรียน!AN:AN,"พญาไท",เรื่องร้องเรียน!CN:CN,"1")</f>
        <v>0</v>
      </c>
      <c r="D12" s="101">
        <f>COUNTIFS(เรื่องร้องเรียน!E:E,"2",เรื่องร้องเรียน!AO:AO,"1",เรื่องร้องเรียน!AN:AN,"พญาไท",เรื่องร้องเรียน!CN:CN,"1")</f>
        <v>0</v>
      </c>
      <c r="E12" s="101">
        <f>COUNTIFS(เรื่องร้องเรียน!E:E,"3",เรื่องร้องเรียน!AO:AO,"1",เรื่องร้องเรียน!AN:AN,"พญาไท",เรื่องร้องเรียน!CN:CN,"1")</f>
        <v>0</v>
      </c>
      <c r="F12" s="101">
        <f>COUNTIFS(เรื่องร้องเรียน!E:E,"4",เรื่องร้องเรียน!AO:AO,"1",เรื่องร้องเรียน!AN:AN,"พญาไท",เรื่องร้องเรียน!CN:CN,"1")</f>
        <v>0</v>
      </c>
      <c r="G12" s="101">
        <f>COUNTIFS(เรื่องร้องเรียน!E:E,"5",เรื่องร้องเรียน!AO:AO,"1",เรื่องร้องเรียน!AN:AN,"พญาไท",เรื่องร้องเรียน!CN:CN,"1")</f>
        <v>0</v>
      </c>
      <c r="H12" s="235">
        <f t="shared" si="2"/>
        <v>0</v>
      </c>
      <c r="I12" s="104">
        <f>COUNTIFS(เรื่องร้องเรียน!E:E,"1",เรื่องร้องเรียน!AO:AO,"1",เรื่องร้องเรียน!AN:AN,"พญาไท",เรื่องร้องเรียน!AQ:AQ,"1",เรื่องร้องเรียน!CN:CN,"1")</f>
        <v>0</v>
      </c>
      <c r="J12" s="101">
        <f>COUNTIFS(เรื่องร้องเรียน!E:E,"2",เรื่องร้องเรียน!AO:AO,"1",เรื่องร้องเรียน!AN:AN,"พญาไท",เรื่องร้องเรียน!AQ:AQ,"1",เรื่องร้องเรียน!CN:CN,"1")</f>
        <v>0</v>
      </c>
      <c r="K12" s="101">
        <f>COUNTIFS(เรื่องร้องเรียน!E:E,"3",เรื่องร้องเรียน!AO:AO,"1",เรื่องร้องเรียน!AN:AN,"พญาไท",เรื่องร้องเรียน!AQ:AQ,"1",เรื่องร้องเรียน!CN:CN,"1")</f>
        <v>0</v>
      </c>
      <c r="L12" s="101">
        <f>COUNTIFS(เรื่องร้องเรียน!E:E,"4",เรื่องร้องเรียน!AO:AO,"1",เรื่องร้องเรียน!AN:AN,"พญาไท",เรื่องร้องเรียน!AQ:AQ,"1",เรื่องร้องเรียน!CN:CN,"1")</f>
        <v>0</v>
      </c>
      <c r="M12" s="101">
        <f>COUNTIFS(เรื่องร้องเรียน!E:E,"5",เรื่องร้องเรียน!AO:AO,"1",เรื่องร้องเรียน!AN:AN,"พญาไท",เรื่องร้องเรียน!AQ:AQ,"1",เรื่องร้องเรียน!CN:CN,"1")</f>
        <v>0</v>
      </c>
      <c r="N12" s="241">
        <f t="shared" si="4"/>
        <v>0</v>
      </c>
      <c r="O12" s="183">
        <f t="shared" si="1"/>
        <v>0</v>
      </c>
    </row>
    <row r="13" spans="1:15">
      <c r="A13" s="107"/>
      <c r="B13" s="227" t="s">
        <v>170</v>
      </c>
      <c r="C13" s="104">
        <f>COUNTIFS(เรื่องร้องเรียน!E:E,"1",เรื่องร้องเรียน!AO:AO,"1",เรื่องร้องเรียน!AN:AN,"มักกะสัน",เรื่องร้องเรียน!CN:CN,"1")</f>
        <v>0</v>
      </c>
      <c r="D13" s="101">
        <f>COUNTIFS(เรื่องร้องเรียน!E:E,"2",เรื่องร้องเรียน!AO:AO,"1",เรื่องร้องเรียน!AN:AN,"มักกะสัน",เรื่องร้องเรียน!CN:CN,"1")</f>
        <v>0</v>
      </c>
      <c r="E13" s="101">
        <f>COUNTIFS(เรื่องร้องเรียน!E:E,"3",เรื่องร้องเรียน!AO:AO,"1",เรื่องร้องเรียน!AN:AN,"มักกะสัน",เรื่องร้องเรียน!CN:CN,"1")</f>
        <v>0</v>
      </c>
      <c r="F13" s="101">
        <f>COUNTIFS(เรื่องร้องเรียน!E:E,"4",เรื่องร้องเรียน!AO:AO,"1",เรื่องร้องเรียน!AN:AN,"มักกะสัน",เรื่องร้องเรียน!CN:CN,"1")</f>
        <v>0</v>
      </c>
      <c r="G13" s="101">
        <f>COUNTIFS(เรื่องร้องเรียน!E:E,"5",เรื่องร้องเรียน!AO:AO,"1",เรื่องร้องเรียน!AN:AN,"มักกะสัน",เรื่องร้องเรียน!CN:CN,"1")</f>
        <v>0</v>
      </c>
      <c r="H13" s="235">
        <f t="shared" si="2"/>
        <v>0</v>
      </c>
      <c r="I13" s="104">
        <f>COUNTIFS(เรื่องร้องเรียน!E:E,"1",เรื่องร้องเรียน!AO:AO,"1",เรื่องร้องเรียน!AN:AN,"มักกะสัน",เรื่องร้องเรียน!AQ:AQ,"1",เรื่องร้องเรียน!CN:CN,"1")</f>
        <v>0</v>
      </c>
      <c r="J13" s="101">
        <f>COUNTIFS(เรื่องร้องเรียน!E:E,"2",เรื่องร้องเรียน!AO:AO,"1",เรื่องร้องเรียน!AN:AN,"มักกะสัน",เรื่องร้องเรียน!AQ:AQ,"1",เรื่องร้องเรียน!CN:CN,"1")</f>
        <v>0</v>
      </c>
      <c r="K13" s="101">
        <f>COUNTIFS(เรื่องร้องเรียน!E:E,"3",เรื่องร้องเรียน!AO:AO,"1",เรื่องร้องเรียน!AN:AN,"มักกะสัน",เรื่องร้องเรียน!AQ:AQ,"1",เรื่องร้องเรียน!CN:CN,"1")</f>
        <v>0</v>
      </c>
      <c r="L13" s="101">
        <f>COUNTIFS(เรื่องร้องเรียน!E:E,"4",เรื่องร้องเรียน!AO:AO,"1",เรื่องร้องเรียน!AN:AN,"มักกะสัน",เรื่องร้องเรียน!AQ:AQ,"1",เรื่องร้องเรียน!CN:CN,"1")</f>
        <v>0</v>
      </c>
      <c r="M13" s="101">
        <f>COUNTIFS(เรื่องร้องเรียน!E:E,"5",เรื่องร้องเรียน!AO:AO,"1",เรื่องร้องเรียน!AN:AN,"มักกะสัน",เรื่องร้องเรียน!AQ:AQ,"1",เรื่องร้องเรียน!CN:CN,"1")</f>
        <v>0</v>
      </c>
      <c r="N13" s="241">
        <f t="shared" si="4"/>
        <v>0</v>
      </c>
      <c r="O13" s="183">
        <f t="shared" si="1"/>
        <v>0</v>
      </c>
    </row>
    <row r="14" spans="1:15">
      <c r="A14" s="107"/>
      <c r="B14" s="227" t="s">
        <v>171</v>
      </c>
      <c r="C14" s="104">
        <f>COUNTIFS(เรื่องร้องเรียน!E:E,"1",เรื่องร้องเรียน!AO:AO,"1",เรื่องร้องเรียน!AN:AN,"สามเสน",เรื่องร้องเรียน!CN:CN,"1")</f>
        <v>0</v>
      </c>
      <c r="D14" s="101">
        <f>COUNTIFS(เรื่องร้องเรียน!E:E,"2",เรื่องร้องเรียน!AO:AO,"1",เรื่องร้องเรียน!AN:AN,"สามเสน",เรื่องร้องเรียน!CN:CN,"1")</f>
        <v>0</v>
      </c>
      <c r="E14" s="101">
        <f>COUNTIFS(เรื่องร้องเรียน!E:E,"3",เรื่องร้องเรียน!AO:AO,"1",เรื่องร้องเรียน!AN:AN,"สามเสน",เรื่องร้องเรียน!CN:CN,"1")</f>
        <v>0</v>
      </c>
      <c r="F14" s="101">
        <f>COUNTIFS(เรื่องร้องเรียน!E:E,"4",เรื่องร้องเรียน!AO:AO,"1",เรื่องร้องเรียน!AN:AN,"สามเสน",เรื่องร้องเรียน!CN:CN,"1")</f>
        <v>0</v>
      </c>
      <c r="G14" s="101">
        <f>COUNTIFS(เรื่องร้องเรียน!E:E,"5",เรื่องร้องเรียน!AO:AO,"1",เรื่องร้องเรียน!AN:AN,"สามเสน",เรื่องร้องเรียน!CN:CN,"1")</f>
        <v>0</v>
      </c>
      <c r="H14" s="235">
        <f t="shared" si="2"/>
        <v>0</v>
      </c>
      <c r="I14" s="104">
        <f>COUNTIFS(เรื่องร้องเรียน!E:E,"1",เรื่องร้องเรียน!AO:AO,"1",เรื่องร้องเรียน!AN:AN,"สามเสน",เรื่องร้องเรียน!AQ:AQ,"1",เรื่องร้องเรียน!CN:CN,"1")</f>
        <v>0</v>
      </c>
      <c r="J14" s="101">
        <f>COUNTIFS(เรื่องร้องเรียน!E:E,"2",เรื่องร้องเรียน!AO:AO,"1",เรื่องร้องเรียน!AN:AN,"สามเสน",เรื่องร้องเรียน!AQ:AQ,"1",เรื่องร้องเรียน!CN:CN,"1")</f>
        <v>0</v>
      </c>
      <c r="K14" s="101">
        <f>COUNTIFS(เรื่องร้องเรียน!E:E,"3",เรื่องร้องเรียน!AO:AO,"1",เรื่องร้องเรียน!AN:AN,"สามเสน",เรื่องร้องเรียน!AQ:AQ,"1",เรื่องร้องเรียน!CN:CN,"1")</f>
        <v>0</v>
      </c>
      <c r="L14" s="101">
        <f>COUNTIFS(เรื่องร้องเรียน!E:E,"4",เรื่องร้องเรียน!AO:AO,"1",เรื่องร้องเรียน!AN:AN,"สามเสน",เรื่องร้องเรียน!AQ:AQ,"1",เรื่องร้องเรียน!CN:CN,"1")</f>
        <v>0</v>
      </c>
      <c r="M14" s="101">
        <f>COUNTIFS(เรื่องร้องเรียน!E:E,"5",เรื่องร้องเรียน!AO:AO,"1",เรื่องร้องเรียน!AN:AN,"สามเสน",เรื่องร้องเรียน!AQ:AQ,"1",เรื่องร้องเรียน!CN:CN,"1")</f>
        <v>0</v>
      </c>
      <c r="N14" s="241">
        <f t="shared" si="4"/>
        <v>0</v>
      </c>
      <c r="O14" s="183">
        <f t="shared" si="1"/>
        <v>0</v>
      </c>
    </row>
    <row r="15" spans="1:15">
      <c r="A15" s="107"/>
      <c r="B15" s="227" t="s">
        <v>140</v>
      </c>
      <c r="C15" s="104">
        <f>COUNTIFS(เรื่องร้องเรียน!E:E,"1",เรื่องร้องเรียน!AO:AO,"1",เรื่องร้องเรียน!AN:AN,"ห้วยขวาง",เรื่องร้องเรียน!CN:CN,"1")</f>
        <v>0</v>
      </c>
      <c r="D15" s="101">
        <f>COUNTIFS(เรื่องร้องเรียน!E:E,"2",เรื่องร้องเรียน!AO:AO,"1",เรื่องร้องเรียน!AN:AN,"ห้วยขวาง",เรื่องร้องเรียน!CN:CN,"1")</f>
        <v>0</v>
      </c>
      <c r="E15" s="101">
        <f>COUNTIFS(เรื่องร้องเรียน!E:E,"3",เรื่องร้องเรียน!AO:AO,"1",เรื่องร้องเรียน!AN:AN,"ห้วยขวาง",เรื่องร้องเรียน!CN:CN,"1")</f>
        <v>0</v>
      </c>
      <c r="F15" s="101">
        <f>COUNTIFS(เรื่องร้องเรียน!E:E,"4",เรื่องร้องเรียน!AO:AO,"1",เรื่องร้องเรียน!AN:AN,"ห้วยขวาง",เรื่องร้องเรียน!CN:CN,"1")</f>
        <v>0</v>
      </c>
      <c r="G15" s="101">
        <f>COUNTIFS(เรื่องร้องเรียน!E:E,"5",เรื่องร้องเรียน!AO:AO,"1",เรื่องร้องเรียน!AN:AN,"ห้วยขวาง",เรื่องร้องเรียน!CN:CN,"1")</f>
        <v>0</v>
      </c>
      <c r="H15" s="235">
        <f t="shared" si="2"/>
        <v>0</v>
      </c>
      <c r="I15" s="104">
        <f>COUNTIFS(เรื่องร้องเรียน!E:E,"1",เรื่องร้องเรียน!AO:AO,"1",เรื่องร้องเรียน!AN:AN,"ห้วยขวาง",เรื่องร้องเรียน!AQ:AQ,"1",เรื่องร้องเรียน!CN:CN,"1")</f>
        <v>0</v>
      </c>
      <c r="J15" s="101">
        <f>COUNTIFS(เรื่องร้องเรียน!E:E,"2",เรื่องร้องเรียน!AO:AO,"1",เรื่องร้องเรียน!AN:AN,"ห้วยขวาง",เรื่องร้องเรียน!AQ:AQ,"1",เรื่องร้องเรียน!CN:CN,"1")</f>
        <v>0</v>
      </c>
      <c r="K15" s="101">
        <f>COUNTIFS(เรื่องร้องเรียน!E:E,"3",เรื่องร้องเรียน!AO:AO,"1",เรื่องร้องเรียน!AN:AN,"ห้วยขวาง",เรื่องร้องเรียน!AQ:AQ,"1",เรื่องร้องเรียน!CN:CN,"1")</f>
        <v>0</v>
      </c>
      <c r="L15" s="101">
        <f>COUNTIFS(เรื่องร้องเรียน!E:E,"4",เรื่องร้องเรียน!AO:AO,"1",เรื่องร้องเรียน!AN:AN,"ห้วยขวาง",เรื่องร้องเรียน!AQ:AQ,"1",เรื่องร้องเรียน!CN:CN,"1")</f>
        <v>0</v>
      </c>
      <c r="M15" s="101">
        <f>COUNTIFS(เรื่องร้องเรียน!E:E,"5",เรื่องร้องเรียน!AO:AO,"1",เรื่องร้องเรียน!AN:AN,"ห้วยขวาง",เรื่องร้องเรียน!AQ:AQ,"1",เรื่องร้องเรียน!CN:CN,"1")</f>
        <v>0</v>
      </c>
      <c r="N15" s="241">
        <f t="shared" si="4"/>
        <v>0</v>
      </c>
      <c r="O15" s="183">
        <f t="shared" si="1"/>
        <v>0</v>
      </c>
    </row>
    <row r="16" spans="1:15" ht="24" customHeight="1" thickBot="1">
      <c r="A16" s="111"/>
      <c r="B16" s="228" t="s">
        <v>172</v>
      </c>
      <c r="C16" s="116">
        <f>COUNTIFS(เรื่องร้องเรียน!E:E,"1",เรื่องร้องเรียน!AO:AO,"1",เรื่องร้องเรียน!AN:AN,"บางโพ",เรื่องร้องเรียน!CN:CN,"1")</f>
        <v>0</v>
      </c>
      <c r="D16" s="114">
        <f>COUNTIFS(เรื่องร้องเรียน!E:E,"2",เรื่องร้องเรียน!AO:AO,"1",เรื่องร้องเรียน!AN:AN,"บางโพ",เรื่องร้องเรียน!CN:CN,"1")</f>
        <v>0</v>
      </c>
      <c r="E16" s="114">
        <f>COUNTIFS(เรื่องร้องเรียน!E:E,"3",เรื่องร้องเรียน!AO:AO,"1",เรื่องร้องเรียน!AN:AN,"บางโพ",เรื่องร้องเรียน!CN:CN,"1")</f>
        <v>0</v>
      </c>
      <c r="F16" s="101">
        <f>COUNTIFS(เรื่องร้องเรียน!E:E,"4",เรื่องร้องเรียน!AO:AO,"1",เรื่องร้องเรียน!AN:AN,"บางโพ",เรื่องร้องเรียน!CN:CN,"1")</f>
        <v>0</v>
      </c>
      <c r="G16" s="101">
        <f>COUNTIFS(เรื่องร้องเรียน!E:E,"5",เรื่องร้องเรียน!AO:AO,"1",เรื่องร้องเรียน!AN:AN,"บางโพ",เรื่องร้องเรียน!CN:CN,"1")</f>
        <v>0</v>
      </c>
      <c r="H16" s="235">
        <f t="shared" si="2"/>
        <v>0</v>
      </c>
      <c r="I16" s="116">
        <f>COUNTIFS(เรื่องร้องเรียน!E:E,"1",เรื่องร้องเรียน!AO:AO,"1",เรื่องร้องเรียน!AN:AN,"บางโพ",เรื่องร้องเรียน!AQ:AQ,"1",เรื่องร้องเรียน!CN:CN,"1")</f>
        <v>0</v>
      </c>
      <c r="J16" s="114">
        <f>COUNTIFS(เรื่องร้องเรียน!E:E,"2",เรื่องร้องเรียน!AO:AO,"1",เรื่องร้องเรียน!AN:AN,"บางโพ",เรื่องร้องเรียน!AQ:AQ,"1",เรื่องร้องเรียน!CN:CN,"1")</f>
        <v>0</v>
      </c>
      <c r="K16" s="114">
        <f>COUNTIFS(เรื่องร้องเรียน!E:E,"3",เรื่องร้องเรียน!AO:AO,"1",เรื่องร้องเรียน!AN:AN,"บางโพ",เรื่องร้องเรียน!AQ:AQ,"1",เรื่องร้องเรียน!CN:CN,"1")</f>
        <v>0</v>
      </c>
      <c r="L16" s="114">
        <f>COUNTIFS(เรื่องร้องเรียน!E:E,"4",เรื่องร้องเรียน!AO:AO,"1",เรื่องร้องเรียน!AN:AN,"บางโพ",เรื่องร้องเรียน!AQ:AQ,"1",เรื่องร้องเรียน!CN:CN,"1")</f>
        <v>0</v>
      </c>
      <c r="M16" s="101">
        <f>COUNTIFS(เรื่องร้องเรียน!E:E,"5",เรื่องร้องเรียน!AO:AO,"1",เรื่องร้องเรียน!AN:AN,"บางโพ",เรื่องร้องเรียน!AQ:AQ,"1",เรื่องร้องเรียน!CN:CN,"1")</f>
        <v>0</v>
      </c>
      <c r="N16" s="236">
        <f t="shared" si="4"/>
        <v>0</v>
      </c>
      <c r="O16" s="190">
        <f t="shared" si="1"/>
        <v>0</v>
      </c>
    </row>
    <row r="17" spans="1:15" ht="21.6" thickBot="1">
      <c r="A17" s="264">
        <v>2</v>
      </c>
      <c r="B17" s="276"/>
      <c r="C17" s="266">
        <f>SUM(C18:C28)</f>
        <v>0</v>
      </c>
      <c r="D17" s="267">
        <f t="shared" ref="D17:M17" si="5">SUM(D18:D28)</f>
        <v>0</v>
      </c>
      <c r="E17" s="267">
        <f t="shared" si="5"/>
        <v>0</v>
      </c>
      <c r="F17" s="267">
        <f t="shared" si="5"/>
        <v>0</v>
      </c>
      <c r="G17" s="267">
        <f t="shared" si="5"/>
        <v>0</v>
      </c>
      <c r="H17" s="268">
        <f t="shared" si="2"/>
        <v>0</v>
      </c>
      <c r="I17" s="266">
        <f t="shared" si="5"/>
        <v>0</v>
      </c>
      <c r="J17" s="267">
        <f t="shared" si="5"/>
        <v>0</v>
      </c>
      <c r="K17" s="267">
        <f t="shared" si="5"/>
        <v>0</v>
      </c>
      <c r="L17" s="267">
        <f t="shared" si="5"/>
        <v>0</v>
      </c>
      <c r="M17" s="267">
        <f t="shared" si="5"/>
        <v>0</v>
      </c>
      <c r="N17" s="268">
        <f t="shared" si="4"/>
        <v>0</v>
      </c>
      <c r="O17" s="263">
        <f t="shared" si="1"/>
        <v>0</v>
      </c>
    </row>
    <row r="18" spans="1:15">
      <c r="A18" s="98"/>
      <c r="B18" s="226" t="s">
        <v>77</v>
      </c>
      <c r="C18" s="104">
        <f>COUNTIFS(เรื่องร้องเรียน!E:E,"1",เรื่องร้องเรียน!AO:AO,"2",เรื่องร้องเรียน!AN:AN,"คันนายาว",เรื่องร้องเรียน!CN:CN,"1")</f>
        <v>0</v>
      </c>
      <c r="D18" s="101">
        <f>COUNTIFS(เรื่องร้องเรียน!E:E,"2",เรื่องร้องเรียน!AO:AO,"2",เรื่องร้องเรียน!AN:AN,"คันนายาว",เรื่องร้องเรียน!CN:CN,"1")</f>
        <v>0</v>
      </c>
      <c r="E18" s="101">
        <f>COUNTIFS(เรื่องร้องเรียน!E:E,"3",เรื่องร้องเรียน!AO:AO,"2",เรื่องร้องเรียน!AN:AN,"คันนายาว",เรื่องร้องเรียน!CN:CN,"1")</f>
        <v>0</v>
      </c>
      <c r="F18" s="101">
        <f>COUNTIFS(เรื่องร้องเรียน!E:E,"4",เรื่องร้องเรียน!AO:AO,"2",เรื่องร้องเรียน!AN:AN,"คันนายาว",เรื่องร้องเรียน!CN:CN,"1")</f>
        <v>0</v>
      </c>
      <c r="G18" s="101">
        <f>COUNTIFS(เรื่องร้องเรียน!E:E,"5",เรื่องร้องเรียน!AO:AO,"2",เรื่องร้องเรียน!AN:AN,"คันนายาว",เรื่องร้องเรียน!CN:CN,"1")</f>
        <v>0</v>
      </c>
      <c r="H18" s="235">
        <f t="shared" si="2"/>
        <v>0</v>
      </c>
      <c r="I18" s="104">
        <f>COUNTIFS(เรื่องร้องเรียน!E:E,"1",เรื่องร้องเรียน!AO:AO,"2",เรื่องร้องเรียน!AN:AN,"คันนายาว",เรื่องร้องเรียน!AQ:AQ,"1",เรื่องร้องเรียน!CN:CN,"1")</f>
        <v>0</v>
      </c>
      <c r="J18" s="101">
        <f>COUNTIFS(เรื่องร้องเรียน!E:E,"2",เรื่องร้องเรียน!AO:AO,"2",เรื่องร้องเรียน!AN:AN,"คันนายาว",เรื่องร้องเรียน!AQ:AQ,"1",เรื่องร้องเรียน!CN:CN,"1")</f>
        <v>0</v>
      </c>
      <c r="K18" s="101">
        <f>COUNTIFS(เรื่องร้องเรียน!E:E,"3",เรื่องร้องเรียน!AO:AO,"2",เรื่องร้องเรียน!AN:AN,"คันนายาว",เรื่องร้องเรียน!AQ:AQ,"1",เรื่องร้องเรียน!CN:CN,"1")</f>
        <v>0</v>
      </c>
      <c r="L18" s="101">
        <f>COUNTIFS(เรื่องร้องเรียน!E:E,"4",เรื่องร้องเรียน!AO:AO,"2",เรื่องร้องเรียน!AN:AN,"คันนายาว",เรื่องร้องเรียน!AQ:AQ,"1",เรื่องร้องเรียน!CN:CN,"1")</f>
        <v>0</v>
      </c>
      <c r="M18" s="102">
        <f>COUNTIFS(เรื่องร้องเรียน!E:E,"5",เรื่องร้องเรียน!AO:AO,"2",เรื่องร้องเรียน!AN:AN,"คันนายาว",เรื่องร้องเรียน!AQ:AQ,"1",เรื่องร้องเรียน!CN:CN,"1")</f>
        <v>0</v>
      </c>
      <c r="N18" s="235">
        <f t="shared" si="4"/>
        <v>0</v>
      </c>
      <c r="O18" s="238">
        <f t="shared" si="1"/>
        <v>0</v>
      </c>
    </row>
    <row r="19" spans="1:15">
      <c r="A19" s="107"/>
      <c r="B19" s="227" t="s">
        <v>69</v>
      </c>
      <c r="C19" s="104">
        <f>COUNTIFS(เรื่องร้องเรียน!E:E,"1",เรื่องร้องเรียน!AO:AO,"2",เรื่องร้องเรียน!AN:AN,"โคกคราม",เรื่องร้องเรียน!CN:CN,"1")</f>
        <v>0</v>
      </c>
      <c r="D19" s="101">
        <f>COUNTIFS(เรื่องร้องเรียน!E:E,"2",เรื่องร้องเรียน!AO:AO,"2",เรื่องร้องเรียน!AN:AN,"โคกคราม",เรื่องร้องเรียน!CN:CN,"1")</f>
        <v>0</v>
      </c>
      <c r="E19" s="101">
        <f>COUNTIFS(เรื่องร้องเรียน!E:E,"3",เรื่องร้องเรียน!AO:AO,"2",เรื่องร้องเรียน!AN:AN,"โคกคราม",เรื่องร้องเรียน!CN:CN,"1")</f>
        <v>0</v>
      </c>
      <c r="F19" s="101">
        <f>COUNTIFS(เรื่องร้องเรียน!E:E,"4",เรื่องร้องเรียน!AO:AO,"2",เรื่องร้องเรียน!AN:AN,"โคกคราม",เรื่องร้องเรียน!CN:CN,"1")</f>
        <v>0</v>
      </c>
      <c r="G19" s="101">
        <f>COUNTIFS(เรื่องร้องเรียน!E:E,"5",เรื่องร้องเรียน!AO:AO,"2",เรื่องร้องเรียน!AN:AN,"โคกคราม",เรื่องร้องเรียน!CN:CN,"1")</f>
        <v>0</v>
      </c>
      <c r="H19" s="235">
        <f t="shared" si="2"/>
        <v>0</v>
      </c>
      <c r="I19" s="104">
        <f>COUNTIFS(เรื่องร้องเรียน!E:E,"1",เรื่องร้องเรียน!AO:AO,"2",เรื่องร้องเรียน!AN:AN,"โคกคราม",เรื่องร้องเรียน!AQ:AQ,"1",เรื่องร้องเรียน!CN:CN,"1")</f>
        <v>0</v>
      </c>
      <c r="J19" s="101">
        <f>COUNTIFS(เรื่องร้องเรียน!E:E,"2",เรื่องร้องเรียน!AO:AO,"2",เรื่องร้องเรียน!AN:AN,"โคกคราม",เรื่องร้องเรียน!AQ:AQ,"1",เรื่องร้องเรียน!CN:CN,"1")</f>
        <v>0</v>
      </c>
      <c r="K19" s="101">
        <f>COUNTIFS(เรื่องร้องเรียน!E:E,"3",เรื่องร้องเรียน!AO:AO,"2",เรื่องร้องเรียน!AN:AN,"โคกคราม",เรื่องร้องเรียน!AQ:AQ,"1",เรื่องร้องเรียน!CN:CN,"1")</f>
        <v>0</v>
      </c>
      <c r="L19" s="101">
        <f>COUNTIFS(เรื่องร้องเรียน!E:E,"4",เรื่องร้องเรียน!AO:AO,"2",เรื่องร้องเรียน!AN:AN,"โคกคราม",เรื่องร้องเรียน!AQ:AQ,"1",เรื่องร้องเรียน!CN:CN,"1")</f>
        <v>0</v>
      </c>
      <c r="M19" s="102">
        <f>COUNTIFS(เรื่องร้องเรียน!E:E,"5",เรื่องร้องเรียน!AO:AO,"2",เรื่องร้องเรียน!AN:AN,"โคกคราม",เรื่องร้องเรียน!AQ:AQ,"1",เรื่องร้องเรียน!CN:CN,"1")</f>
        <v>0</v>
      </c>
      <c r="N19" s="241">
        <f t="shared" si="4"/>
        <v>0</v>
      </c>
      <c r="O19" s="183">
        <f t="shared" si="1"/>
        <v>0</v>
      </c>
    </row>
    <row r="20" spans="1:15">
      <c r="A20" s="107"/>
      <c r="B20" s="227" t="s">
        <v>95</v>
      </c>
      <c r="C20" s="104">
        <f>COUNTIFS(เรื่องร้องเรียน!E:E,"1",เรื่องร้องเรียน!AO:AO,"2",เรื่องร้องเรียน!AN:AN,"ดอนเมือง",เรื่องร้องเรียน!CN:CN,"1")</f>
        <v>0</v>
      </c>
      <c r="D20" s="101">
        <f>COUNTIFS(เรื่องร้องเรียน!E:E,"2",เรื่องร้องเรียน!AO:AO,"2",เรื่องร้องเรียน!AN:AN,"ดอนเมือง",เรื่องร้องเรียน!CN:CN,"1")</f>
        <v>0</v>
      </c>
      <c r="E20" s="101">
        <f>COUNTIFS(เรื่องร้องเรียน!E:E,"3",เรื่องร้องเรียน!AO:AO,"2",เรื่องร้องเรียน!AN:AN,"ดอนเมือง",เรื่องร้องเรียน!CN:CN,"1")</f>
        <v>0</v>
      </c>
      <c r="F20" s="101">
        <f>COUNTIFS(เรื่องร้องเรียน!E:E,"4",เรื่องร้องเรียน!AO:AO,"2",เรื่องร้องเรียน!AN:AN,"ดอนเมือง",เรื่องร้องเรียน!CN:CN,"1")</f>
        <v>0</v>
      </c>
      <c r="G20" s="101">
        <f>COUNTIFS(เรื่องร้องเรียน!E:E,"5",เรื่องร้องเรียน!AO:AO,"2",เรื่องร้องเรียน!AN:AN,"ดอนเมือง",เรื่องร้องเรียน!CN:CN,"1")</f>
        <v>0</v>
      </c>
      <c r="H20" s="235">
        <f t="shared" si="2"/>
        <v>0</v>
      </c>
      <c r="I20" s="104">
        <f>COUNTIFS(เรื่องร้องเรียน!E:E,"1",เรื่องร้องเรียน!AO:AO,"2",เรื่องร้องเรียน!AN:AN,"ดอนเมือง",เรื่องร้องเรียน!AQ:AQ,"1",เรื่องร้องเรียน!CN:CN,"1")</f>
        <v>0</v>
      </c>
      <c r="J20" s="101">
        <f>COUNTIFS(เรื่องร้องเรียน!E:E,"2",เรื่องร้องเรียน!AO:AO,"2",เรื่องร้องเรียน!AN:AN,"ดอนเมือง",เรื่องร้องเรียน!AQ:AQ,"1",เรื่องร้องเรียน!CN:CN,"1")</f>
        <v>0</v>
      </c>
      <c r="K20" s="101">
        <f>COUNTIFS(เรื่องร้องเรียน!E:E,"3",เรื่องร้องเรียน!AO:AO,"2",เรื่องร้องเรียน!AN:AN,"ดอนเมือง",เรื่องร้องเรียน!AQ:AQ,"1",เรื่องร้องเรียน!CN:CN,"1")</f>
        <v>0</v>
      </c>
      <c r="L20" s="101">
        <f>COUNTIFS(เรื่องร้องเรียน!E:E,"4",เรื่องร้องเรียน!AO:AO,"2",เรื่องร้องเรียน!AN:AN,"ดอนเมือง",เรื่องร้องเรียน!AQ:AQ,"1",เรื่องร้องเรียน!CN:CN,"1")</f>
        <v>0</v>
      </c>
      <c r="M20" s="102">
        <f>COUNTIFS(เรื่องร้องเรียน!E:E,"5",เรื่องร้องเรียน!AO:AO,"2",เรื่องร้องเรียน!AN:AN,"ดอนเมือง",เรื่องร้องเรียน!AQ:AQ,"1",เรื่องร้องเรียน!CN:CN,"1")</f>
        <v>0</v>
      </c>
      <c r="N20" s="241">
        <f t="shared" si="4"/>
        <v>0</v>
      </c>
      <c r="O20" s="183">
        <f t="shared" si="1"/>
        <v>0</v>
      </c>
    </row>
    <row r="21" spans="1:15">
      <c r="A21" s="107"/>
      <c r="B21" s="227" t="s">
        <v>134</v>
      </c>
      <c r="C21" s="104">
        <f>COUNTIFS(เรื่องร้องเรียน!E:E,"1",เรื่องร้องเรียน!AO:AO,"2",เรื่องร้องเรียน!AN:AN,"เตาปูน",เรื่องร้องเรียน!CN:CN,"1")</f>
        <v>0</v>
      </c>
      <c r="D21" s="101">
        <f>COUNTIFS(เรื่องร้องเรียน!E:E,"2",เรื่องร้องเรียน!AO:AO,"2",เรื่องร้องเรียน!AN:AN,"เตาปูน",เรื่องร้องเรียน!CN:CN,"1")</f>
        <v>0</v>
      </c>
      <c r="E21" s="101">
        <f>COUNTIFS(เรื่องร้องเรียน!E:E,"3",เรื่องร้องเรียน!AO:AO,"2",เรื่องร้องเรียน!AN:AN,"เตาปูน",เรื่องร้องเรียน!CN:CN,"1")</f>
        <v>0</v>
      </c>
      <c r="F21" s="101">
        <f>COUNTIFS(เรื่องร้องเรียน!E:E,"4",เรื่องร้องเรียน!AO:AO,"2",เรื่องร้องเรียน!AN:AN,"เตาปูน",เรื่องร้องเรียน!CN:CN,"1")</f>
        <v>0</v>
      </c>
      <c r="G21" s="101">
        <f>COUNTIFS(เรื่องร้องเรียน!E:E,"5",เรื่องร้องเรียน!AO:AO,"2",เรื่องร้องเรียน!AN:AN,"เตาปูน",เรื่องร้องเรียน!CN:CN,"1")</f>
        <v>0</v>
      </c>
      <c r="H21" s="235">
        <f t="shared" si="2"/>
        <v>0</v>
      </c>
      <c r="I21" s="104">
        <f>COUNTIFS(เรื่องร้องเรียน!E:E,"1",เรื่องร้องเรียน!AO:AO,"2",เรื่องร้องเรียน!AN:AN,"เตาปูน",เรื่องร้องเรียน!AQ:AQ,"1",เรื่องร้องเรียน!CN:CN,"1")</f>
        <v>0</v>
      </c>
      <c r="J21" s="101">
        <f>COUNTIFS(เรื่องร้องเรียน!E:E,"2",เรื่องร้องเรียน!AO:AO,"2",เรื่องร้องเรียน!AN:AN,"เตาปูน",เรื่องร้องเรียน!AQ:AQ,"1",เรื่องร้องเรียน!CN:CN,"1")</f>
        <v>0</v>
      </c>
      <c r="K21" s="101">
        <f>COUNTIFS(เรื่องร้องเรียน!E:E,"3",เรื่องร้องเรียน!AO:AO,"2",เรื่องร้องเรียน!AN:AN,"เตาปูน",เรื่องร้องเรียน!AQ:AQ,"1",เรื่องร้องเรียน!CN:CN,"1")</f>
        <v>0</v>
      </c>
      <c r="L21" s="101">
        <f>COUNTIFS(เรื่องร้องเรียน!E:E,"4",เรื่องร้องเรียน!AO:AO,"2",เรื่องร้องเรียน!AN:AN,"เตาปูน",เรื่องร้องเรียน!AQ:AQ,"1",เรื่องร้องเรียน!CN:CN,"1")</f>
        <v>0</v>
      </c>
      <c r="M21" s="102">
        <f>COUNTIFS(เรื่องร้องเรียน!E:E,"5",เรื่องร้องเรียน!AO:AO,"2",เรื่องร้องเรียน!AN:AN,"เตาปูน",เรื่องร้องเรียน!AQ:AQ,"1",เรื่องร้องเรียน!CN:CN,"1")</f>
        <v>0</v>
      </c>
      <c r="N21" s="241">
        <f t="shared" si="4"/>
        <v>0</v>
      </c>
      <c r="O21" s="183">
        <f t="shared" si="1"/>
        <v>0</v>
      </c>
    </row>
    <row r="22" spans="1:15">
      <c r="A22" s="107"/>
      <c r="B22" s="227" t="s">
        <v>117</v>
      </c>
      <c r="C22" s="104">
        <f>COUNTIFS(เรื่องร้องเรียน!E:E,"1",เรื่องร้องเรียน!AO:AO,"2",เรื่องร้องเรียน!AN:AN,"ทุ่งสองห้อง",เรื่องร้องเรียน!CN:CN,"1")</f>
        <v>0</v>
      </c>
      <c r="D22" s="101">
        <f>COUNTIFS(เรื่องร้องเรียน!E:E,"2",เรื่องร้องเรียน!AO:AO,"2",เรื่องร้องเรียน!AN:AN,"ทุ่งสองห้อง",เรื่องร้องเรียน!CN:CN,"1")</f>
        <v>0</v>
      </c>
      <c r="E22" s="101">
        <f>COUNTIFS(เรื่องร้องเรียน!E:E,"3",เรื่องร้องเรียน!AO:AO,"2",เรื่องร้องเรียน!AN:AN,"ทุ่งสองห้อง",เรื่องร้องเรียน!CN:CN,"1")</f>
        <v>0</v>
      </c>
      <c r="F22" s="101">
        <f>COUNTIFS(เรื่องร้องเรียน!E:E,"4",เรื่องร้องเรียน!AO:AO,"2",เรื่องร้องเรียน!AN:AN,"ทุ่งสองห้อง",เรื่องร้องเรียน!CN:CN,"1")</f>
        <v>0</v>
      </c>
      <c r="G22" s="101">
        <f>COUNTIFS(เรื่องร้องเรียน!E:E,"5",เรื่องร้องเรียน!AO:AO,"2",เรื่องร้องเรียน!AN:AN,"ทุ่งสองห้อง",เรื่องร้องเรียน!CN:CN,"1")</f>
        <v>0</v>
      </c>
      <c r="H22" s="235">
        <f t="shared" si="2"/>
        <v>0</v>
      </c>
      <c r="I22" s="104">
        <f>COUNTIFS(เรื่องร้องเรียน!E:E,"1",เรื่องร้องเรียน!AO:AO,"2",เรื่องร้องเรียน!AN:AN,"ทุ่งสองห้อง",เรื่องร้องเรียน!AQ:AQ,"1",เรื่องร้องเรียน!CN:CN,"1")</f>
        <v>0</v>
      </c>
      <c r="J22" s="101">
        <f>COUNTIFS(เรื่องร้องเรียน!E:E,"2",เรื่องร้องเรียน!AO:AO,"2",เรื่องร้องเรียน!AN:AN,"ทุ่งสองห้อง",เรื่องร้องเรียน!AQ:AQ,"1",เรื่องร้องเรียน!CN:CN,"1")</f>
        <v>0</v>
      </c>
      <c r="K22" s="101">
        <f>COUNTIFS(เรื่องร้องเรียน!E:E,"3",เรื่องร้องเรียน!AO:AO,"2",เรื่องร้องเรียน!AN:AN,"ทุ่งสองห้อง",เรื่องร้องเรียน!AQ:AQ,"1",เรื่องร้องเรียน!CN:CN,"1")</f>
        <v>0</v>
      </c>
      <c r="L22" s="101">
        <f>COUNTIFS(เรื่องร้องเรียน!E:E,"4",เรื่องร้องเรียน!AO:AO,"2",เรื่องร้องเรียน!AN:AN,"ทุ่งสองห้อง",เรื่องร้องเรียน!AQ:AQ,"1",เรื่องร้องเรียน!CN:CN,"1")</f>
        <v>0</v>
      </c>
      <c r="M22" s="102">
        <f>COUNTIFS(เรื่องร้องเรียน!E:E,"5",เรื่องร้องเรียน!AO:AO,"2",เรื่องร้องเรียน!AN:AN,"ทุ่งสองห้อง",เรื่องร้องเรียน!AQ:AQ,"1",เรื่องร้องเรียน!CN:CN,"1")</f>
        <v>0</v>
      </c>
      <c r="N22" s="241">
        <f t="shared" si="4"/>
        <v>0</v>
      </c>
      <c r="O22" s="183">
        <f t="shared" si="1"/>
        <v>0</v>
      </c>
    </row>
    <row r="23" spans="1:15">
      <c r="A23" s="107"/>
      <c r="B23" s="227" t="s">
        <v>107</v>
      </c>
      <c r="C23" s="104">
        <f>COUNTIFS(เรื่องร้องเรียน!E:E,"1",เรื่องร้องเรียน!AO:AO,"2",เรื่องร้องเรียน!AN:AN,"บางเขน",เรื่องร้องเรียน!CN:CN,"1")</f>
        <v>0</v>
      </c>
      <c r="D23" s="101">
        <f>COUNTIFS(เรื่องร้องเรียน!E:E,"2",เรื่องร้องเรียน!AO:AO,"2",เรื่องร้องเรียน!AN:AN,"บางเขน",เรื่องร้องเรียน!CN:CN,"1")</f>
        <v>0</v>
      </c>
      <c r="E23" s="101">
        <f>COUNTIFS(เรื่องร้องเรียน!E:E,"3",เรื่องร้องเรียน!AO:AO,"2",เรื่องร้องเรียน!AN:AN,"บางเขน",เรื่องร้องเรียน!CN:CN,"1")</f>
        <v>0</v>
      </c>
      <c r="F23" s="101">
        <f>COUNTIFS(เรื่องร้องเรียน!E:E,"4",เรื่องร้องเรียน!AO:AO,"2",เรื่องร้องเรียน!AN:AN,"บางเขน",เรื่องร้องเรียน!CN:CN,"1")</f>
        <v>0</v>
      </c>
      <c r="G23" s="101">
        <f>COUNTIFS(เรื่องร้องเรียน!E:E,"5",เรื่องร้องเรียน!AO:AO,"2",เรื่องร้องเรียน!AN:AN,"บางเขน",เรื่องร้องเรียน!CN:CN,"1")</f>
        <v>0</v>
      </c>
      <c r="H23" s="235">
        <f t="shared" si="2"/>
        <v>0</v>
      </c>
      <c r="I23" s="104">
        <f>COUNTIFS(เรื่องร้องเรียน!E:E,"1",เรื่องร้องเรียน!AO:AO,"2",เรื่องร้องเรียน!AN:AN,"บางเขน",เรื่องร้องเรียน!AQ:AQ,"1",เรื่องร้องเรียน!CN:CN,"1")</f>
        <v>0</v>
      </c>
      <c r="J23" s="101">
        <f>COUNTIFS(เรื่องร้องเรียน!E:E,"2",เรื่องร้องเรียน!AO:AO,"2",เรื่องร้องเรียน!AN:AN,"บางเขน",เรื่องร้องเรียน!AQ:AQ,"1",เรื่องร้องเรียน!CN:CN,"1")</f>
        <v>0</v>
      </c>
      <c r="K23" s="101">
        <f>COUNTIFS(เรื่องร้องเรียน!E:E,"3",เรื่องร้องเรียน!AO:AO,"2",เรื่องร้องเรียน!AN:AN,"บางเขน",เรื่องร้องเรียน!AQ:AQ,"1",เรื่องร้องเรียน!CN:CN,"1")</f>
        <v>0</v>
      </c>
      <c r="L23" s="101">
        <f>COUNTIFS(เรื่องร้องเรียน!E:E,"4",เรื่องร้องเรียน!AO:AO,"2",เรื่องร้องเรียน!AN:AN,"บางเขน",เรื่องร้องเรียน!AQ:AQ,"1",เรื่องร้องเรียน!CN:CN,"1")</f>
        <v>0</v>
      </c>
      <c r="M23" s="102">
        <f>COUNTIFS(เรื่องร้องเรียน!E:E,"5",เรื่องร้องเรียน!AO:AO,"2",เรื่องร้องเรียน!AN:AN,"บางเขน",เรื่องร้องเรียน!AQ:AQ,"1",เรื่องร้องเรียน!CN:CN,"1")</f>
        <v>0</v>
      </c>
      <c r="N23" s="241">
        <f t="shared" si="4"/>
        <v>0</v>
      </c>
      <c r="O23" s="183">
        <f t="shared" si="1"/>
        <v>0</v>
      </c>
    </row>
    <row r="24" spans="1:15">
      <c r="A24" s="107"/>
      <c r="B24" s="227" t="s">
        <v>133</v>
      </c>
      <c r="C24" s="104">
        <f>COUNTIFS(เรื่องร้องเรียน!E:E,"1",เรื่องร้องเรียน!AO:AO,"2",เรื่องร้องเรียน!AN:AN,"บางซื่อ",เรื่องร้องเรียน!CN:CN,"1")</f>
        <v>0</v>
      </c>
      <c r="D24" s="101">
        <f>COUNTIFS(เรื่องร้องเรียน!E:E,"2",เรื่องร้องเรียน!AO:AO,"2",เรื่องร้องเรียน!AN:AN,"บางซื่อ",เรื่องร้องเรียน!CN:CN,"1")</f>
        <v>0</v>
      </c>
      <c r="E24" s="101">
        <f>COUNTIFS(เรื่องร้องเรียน!E:E,"3",เรื่องร้องเรียน!AO:AO,"2",เรื่องร้องเรียน!AN:AN,"บางซื่อ",เรื่องร้องเรียน!CN:CN,"1")</f>
        <v>0</v>
      </c>
      <c r="F24" s="101">
        <f>COUNTIFS(เรื่องร้องเรียน!E:E,"4",เรื่องร้องเรียน!AO:AO,"2",เรื่องร้องเรียน!AN:AN,"บางซื่อ",เรื่องร้องเรียน!CN:CN,"1")</f>
        <v>0</v>
      </c>
      <c r="G24" s="101">
        <f>COUNTIFS(เรื่องร้องเรียน!E:E,"5",เรื่องร้องเรียน!AO:AO,"2",เรื่องร้องเรียน!AN:AN,"บางซื่อ",เรื่องร้องเรียน!CN:CN,"1")</f>
        <v>0</v>
      </c>
      <c r="H24" s="235">
        <f t="shared" si="2"/>
        <v>0</v>
      </c>
      <c r="I24" s="104">
        <f>COUNTIFS(เรื่องร้องเรียน!E:E,"1",เรื่องร้องเรียน!AO:AO,"2",เรื่องร้องเรียน!AN:AN,"บางซื่อ",เรื่องร้องเรียน!AQ:AQ,"1",เรื่องร้องเรียน!CN:CN,"1")</f>
        <v>0</v>
      </c>
      <c r="J24" s="101">
        <f>COUNTIFS(เรื่องร้องเรียน!E:E,"2",เรื่องร้องเรียน!AO:AO,"2",เรื่องร้องเรียน!AN:AN,"บางซื่อ",เรื่องร้องเรียน!AQ:AQ,"1",เรื่องร้องเรียน!CN:CN,"1")</f>
        <v>0</v>
      </c>
      <c r="K24" s="101">
        <f>COUNTIFS(เรื่องร้องเรียน!E:E,"3",เรื่องร้องเรียน!AO:AO,"2",เรื่องร้องเรียน!AN:AN,"บางซื่อ",เรื่องร้องเรียน!AQ:AQ,"1",เรื่องร้องเรียน!CN:CN,"1")</f>
        <v>0</v>
      </c>
      <c r="L24" s="101">
        <f>COUNTIFS(เรื่องร้องเรียน!E:E,"4",เรื่องร้องเรียน!AO:AO,"2",เรื่องร้องเรียน!AN:AN,"บางซื่อ",เรื่องร้องเรียน!AQ:AQ,"1",เรื่องร้องเรียน!CN:CN,"1")</f>
        <v>0</v>
      </c>
      <c r="M24" s="102">
        <f>COUNTIFS(เรื่องร้องเรียน!E:E,"5",เรื่องร้องเรียน!AO:AO,"2",เรื่องร้องเรียน!AN:AN,"บางซื่อ",เรื่องร้องเรียน!AQ:AQ,"1",เรื่องร้องเรียน!CN:CN,"1")</f>
        <v>0</v>
      </c>
      <c r="N24" s="241">
        <f t="shared" si="4"/>
        <v>0</v>
      </c>
      <c r="O24" s="183">
        <f t="shared" si="1"/>
        <v>0</v>
      </c>
    </row>
    <row r="25" spans="1:15">
      <c r="A25" s="107"/>
      <c r="B25" s="227" t="s">
        <v>173</v>
      </c>
      <c r="C25" s="104">
        <f>COUNTIFS(เรื่องร้องเรียน!E:E,"1",เรื่องร้องเรียน!AO:AO,"2",เรื่องร้องเรียน!AN:AN,"ประชาชื่น",เรื่องร้องเรียน!CN:CN,"1")</f>
        <v>0</v>
      </c>
      <c r="D25" s="101">
        <f>COUNTIFS(เรื่องร้องเรียน!E:E,"2",เรื่องร้องเรียน!AO:AO,"2",เรื่องร้องเรียน!AN:AN,"ประชาชื่น",เรื่องร้องเรียน!CN:CN,"1")</f>
        <v>0</v>
      </c>
      <c r="E25" s="101">
        <f>COUNTIFS(เรื่องร้องเรียน!E:E,"3",เรื่องร้องเรียน!AO:AO,"2",เรื่องร้องเรียน!AN:AN,"ประชาชื่น",เรื่องร้องเรียน!CN:CN,"1")</f>
        <v>0</v>
      </c>
      <c r="F25" s="101">
        <f>COUNTIFS(เรื่องร้องเรียน!E:E,"4",เรื่องร้องเรียน!AO:AO,"2",เรื่องร้องเรียน!AN:AN,"ประชาชื่น",เรื่องร้องเรียน!CN:CN,"1")</f>
        <v>0</v>
      </c>
      <c r="G25" s="101">
        <f>COUNTIFS(เรื่องร้องเรียน!E:E,"5",เรื่องร้องเรียน!AO:AO,"2",เรื่องร้องเรียน!AN:AN,"ประชาชื่น",เรื่องร้องเรียน!CN:CN,"1")</f>
        <v>0</v>
      </c>
      <c r="H25" s="235">
        <f t="shared" si="2"/>
        <v>0</v>
      </c>
      <c r="I25" s="104">
        <f>COUNTIFS(เรื่องร้องเรียน!E:E,"1",เรื่องร้องเรียน!AO:AO,"2",เรื่องร้องเรียน!AN:AN,"ประชาชื่น",เรื่องร้องเรียน!AQ:AQ,"1",เรื่องร้องเรียน!CN:CN,"1")</f>
        <v>0</v>
      </c>
      <c r="J25" s="101">
        <f>COUNTIFS(เรื่องร้องเรียน!E:E,"2",เรื่องร้องเรียน!AO:AO,"2",เรื่องร้องเรียน!AN:AN,"ประชาชื่น",เรื่องร้องเรียน!AQ:AQ,"1",เรื่องร้องเรียน!CN:CN,"1")</f>
        <v>0</v>
      </c>
      <c r="K25" s="101">
        <f>COUNTIFS(เรื่องร้องเรียน!E:E,"3",เรื่องร้องเรียน!AO:AO,"2",เรื่องร้องเรียน!AN:AN,"ประชาชื่น",เรื่องร้องเรียน!AQ:AQ,"1",เรื่องร้องเรียน!CN:CN,"1")</f>
        <v>0</v>
      </c>
      <c r="L25" s="101">
        <f>COUNTIFS(เรื่องร้องเรียน!E:E,"4",เรื่องร้องเรียน!AO:AO,"2",เรื่องร้องเรียน!AN:AN,"ประชาชื่น",เรื่องร้องเรียน!AQ:AQ,"1",เรื่องร้องเรียน!CN:CN,"1")</f>
        <v>0</v>
      </c>
      <c r="M25" s="102">
        <f>COUNTIFS(เรื่องร้องเรียน!E:E,"5",เรื่องร้องเรียน!AO:AO,"2",เรื่องร้องเรียน!AN:AN,"ประชาชื่น",เรื่องร้องเรียน!AQ:AQ,"1",เรื่องร้องเรียน!CN:CN,"1")</f>
        <v>0</v>
      </c>
      <c r="N25" s="241">
        <f t="shared" si="4"/>
        <v>0</v>
      </c>
      <c r="O25" s="183">
        <f t="shared" si="1"/>
        <v>0</v>
      </c>
    </row>
    <row r="26" spans="1:15">
      <c r="A26" s="107"/>
      <c r="B26" s="227" t="s">
        <v>100</v>
      </c>
      <c r="C26" s="104">
        <f>COUNTIFS(เรื่องร้องเรียน!E:E,"1",เรื่องร้องเรียน!AO:AO,"2",เรื่องร้องเรียน!AN:AN,"พหลโยธิน",เรื่องร้องเรียน!CN:CN,"1")</f>
        <v>0</v>
      </c>
      <c r="D26" s="101">
        <f>COUNTIFS(เรื่องร้องเรียน!E:E,"2",เรื่องร้องเรียน!AO:AO,"2",เรื่องร้องเรียน!AN:AN,"พหลโยธิน",เรื่องร้องเรียน!CN:CN,"1")</f>
        <v>0</v>
      </c>
      <c r="E26" s="101">
        <f>COUNTIFS(เรื่องร้องเรียน!E:E,"3",เรื่องร้องเรียน!AO:AO,"2",เรื่องร้องเรียน!AN:AN,"พหลโยธิน",เรื่องร้องเรียน!CN:CN,"1")</f>
        <v>0</v>
      </c>
      <c r="F26" s="101">
        <f>COUNTIFS(เรื่องร้องเรียน!E:E,"4",เรื่องร้องเรียน!AO:AO,"2",เรื่องร้องเรียน!AN:AN,"พหลโยธิน",เรื่องร้องเรียน!CN:CN,"1")</f>
        <v>0</v>
      </c>
      <c r="G26" s="101">
        <f>COUNTIFS(เรื่องร้องเรียน!E:E,"5",เรื่องร้องเรียน!AO:AO,"2",เรื่องร้องเรียน!AN:AN,"พหลโยธิน",เรื่องร้องเรียน!CN:CN,"1")</f>
        <v>0</v>
      </c>
      <c r="H26" s="235">
        <f t="shared" si="2"/>
        <v>0</v>
      </c>
      <c r="I26" s="104">
        <f>COUNTIFS(เรื่องร้องเรียน!E:E,"1",เรื่องร้องเรียน!AO:AO,"2",เรื่องร้องเรียน!AN:AN,"พหลโยธิน",เรื่องร้องเรียน!AQ:AQ,"1",เรื่องร้องเรียน!CN:CN,"1")</f>
        <v>0</v>
      </c>
      <c r="J26" s="101">
        <f>COUNTIFS(เรื่องร้องเรียน!E:E,"2",เรื่องร้องเรียน!AO:AO,"2",เรื่องร้องเรียน!AN:AN,"พหลโยธิน",เรื่องร้องเรียน!AQ:AQ,"1",เรื่องร้องเรียน!CN:CN,"1")</f>
        <v>0</v>
      </c>
      <c r="K26" s="101">
        <f>COUNTIFS(เรื่องร้องเรียน!E:E,"3",เรื่องร้องเรียน!AO:AO,"2",เรื่องร้องเรียน!AN:AN,"พหลโยธิน",เรื่องร้องเรียน!AQ:AQ,"1",เรื่องร้องเรียน!CN:CN,"1")</f>
        <v>0</v>
      </c>
      <c r="L26" s="101">
        <f>COUNTIFS(เรื่องร้องเรียน!E:E,"4",เรื่องร้องเรียน!AO:AO,"2",เรื่องร้องเรียน!AN:AN,"พหลโยธิน",เรื่องร้องเรียน!AQ:AQ,"1",เรื่องร้องเรียน!CN:CN,"1")</f>
        <v>0</v>
      </c>
      <c r="M26" s="102">
        <f>COUNTIFS(เรื่องร้องเรียน!E:E,"5",เรื่องร้องเรียน!AO:AO,"2",เรื่องร้องเรียน!AN:AN,"พหลโยธิน",เรื่องร้องเรียน!AQ:AQ,"1",เรื่องร้องเรียน!CN:CN,"1")</f>
        <v>0</v>
      </c>
      <c r="N26" s="241">
        <f t="shared" si="4"/>
        <v>0</v>
      </c>
      <c r="O26" s="183">
        <f t="shared" si="1"/>
        <v>0</v>
      </c>
    </row>
    <row r="27" spans="1:15">
      <c r="A27" s="107"/>
      <c r="B27" s="227" t="s">
        <v>143</v>
      </c>
      <c r="C27" s="104">
        <f>COUNTIFS(เรื่องร้องเรียน!E:E,"1",เรื่องร้องเรียน!AO:AO,"2",เรื่องร้องเรียน!AN:AN,"สายไหม",เรื่องร้องเรียน!CN:CN,"1")</f>
        <v>0</v>
      </c>
      <c r="D27" s="101">
        <f>COUNTIFS(เรื่องร้องเรียน!E:E,"2",เรื่องร้องเรียน!AO:AO,"2",เรื่องร้องเรียน!AN:AN,"สายไหม",เรื่องร้องเรียน!CN:CN,"1")</f>
        <v>0</v>
      </c>
      <c r="E27" s="101">
        <f>COUNTIFS(เรื่องร้องเรียน!E:E,"3",เรื่องร้องเรียน!AO:AO,"2",เรื่องร้องเรียน!AN:AN,"สายไหม",เรื่องร้องเรียน!CN:CN,"1")</f>
        <v>0</v>
      </c>
      <c r="F27" s="101">
        <f>COUNTIFS(เรื่องร้องเรียน!E:E,"4",เรื่องร้องเรียน!AO:AO,"2",เรื่องร้องเรียน!AN:AN,"สายไหม",เรื่องร้องเรียน!CN:CN,"1")</f>
        <v>0</v>
      </c>
      <c r="G27" s="101">
        <f>COUNTIFS(เรื่องร้องเรียน!E:E,"5",เรื่องร้องเรียน!AO:AO,"2",เรื่องร้องเรียน!AN:AN,"สายไหม",เรื่องร้องเรียน!CN:CN,"1")</f>
        <v>0</v>
      </c>
      <c r="H27" s="235">
        <f t="shared" si="2"/>
        <v>0</v>
      </c>
      <c r="I27" s="104">
        <f>COUNTIFS(เรื่องร้องเรียน!E:E,"1",เรื่องร้องเรียน!AO:AO,"2",เรื่องร้องเรียน!AN:AN,"สายไหม",เรื่องร้องเรียน!AQ:AQ,"1",เรื่องร้องเรียน!CN:CN,"1")</f>
        <v>0</v>
      </c>
      <c r="J27" s="101">
        <f>COUNTIFS(เรื่องร้องเรียน!E:E,"2",เรื่องร้องเรียน!AO:AO,"2",เรื่องร้องเรียน!AN:AN,"สายไหม",เรื่องร้องเรียน!AQ:AQ,"1",เรื่องร้องเรียน!CN:CN,"1")</f>
        <v>0</v>
      </c>
      <c r="K27" s="101">
        <f>COUNTIFS(เรื่องร้องเรียน!E:E,"3",เรื่องร้องเรียน!AO:AO,"2",เรื่องร้องเรียน!AN:AN,"สายไหม",เรื่องร้องเรียน!AQ:AQ,"1",เรื่องร้องเรียน!CN:CN,"1")</f>
        <v>0</v>
      </c>
      <c r="L27" s="101">
        <f>COUNTIFS(เรื่องร้องเรียน!E:E,"4",เรื่องร้องเรียน!AO:AO,"2",เรื่องร้องเรียน!AN:AN,"สายไหม",เรื่องร้องเรียน!AQ:AQ,"1",เรื่องร้องเรียน!CN:CN,"1")</f>
        <v>0</v>
      </c>
      <c r="M27" s="102">
        <f>COUNTIFS(เรื่องร้องเรียน!E:E,"5",เรื่องร้องเรียน!AO:AO,"2",เรื่องร้องเรียน!AN:AN,"สายไหม",เรื่องร้องเรียน!AQ:AQ,"1",เรื่องร้องเรียน!CN:CN,"1")</f>
        <v>0</v>
      </c>
      <c r="N27" s="241">
        <f t="shared" si="4"/>
        <v>0</v>
      </c>
      <c r="O27" s="183">
        <f t="shared" si="1"/>
        <v>0</v>
      </c>
    </row>
    <row r="28" spans="1:15" ht="21.6" thickBot="1">
      <c r="A28" s="111"/>
      <c r="B28" s="242" t="s">
        <v>88</v>
      </c>
      <c r="C28" s="123">
        <f>COUNTIFS(เรื่องร้องเรียน!E:E,"1",เรื่องร้องเรียน!AO:AO,"2",เรื่องร้องเรียน!AN:AN,"สุทธิสาร",เรื่องร้องเรียน!CN:CN,"1")</f>
        <v>0</v>
      </c>
      <c r="D28" s="117">
        <f>COUNTIFS(เรื่องร้องเรียน!E:E,"2",เรื่องร้องเรียน!AO:AO,"2",เรื่องร้องเรียน!AN:AN,"สุทธิสาร",เรื่องร้องเรียน!CN:CN,"1")</f>
        <v>0</v>
      </c>
      <c r="E28" s="117">
        <f>COUNTIFS(เรื่องร้องเรียน!E:E,"3",เรื่องร้องเรียน!AO:AO,"2",เรื่องร้องเรียน!AN:AN,"สุทธิสาร",เรื่องร้องเรียน!CN:CN,"1")</f>
        <v>0</v>
      </c>
      <c r="F28" s="117">
        <f>COUNTIFS(เรื่องร้องเรียน!E:E,"4",เรื่องร้องเรียน!AO:AO,"2",เรื่องร้องเรียน!AN:AN,"สุทธิสาร",เรื่องร้องเรียน!CN:CN,"1")</f>
        <v>0</v>
      </c>
      <c r="G28" s="101">
        <f>COUNTIFS(เรื่องร้องเรียน!E:E,"5",เรื่องร้องเรียน!AO:AO,"2",เรื่องร้องเรียน!AN:AN,"สุทธิสาร",เรื่องร้องเรียน!CN:CN,"1")</f>
        <v>0</v>
      </c>
      <c r="H28" s="236">
        <f t="shared" si="2"/>
        <v>0</v>
      </c>
      <c r="I28" s="123">
        <f>COUNTIFS(เรื่องร้องเรียน!E:E,"1",เรื่องร้องเรียน!AO:AO,"2",เรื่องร้องเรียน!AN:AN,"สุทธิสาร",เรื่องร้องเรียน!AQ:AQ,"1",เรื่องร้องเรียน!CN:CN,"1")</f>
        <v>0</v>
      </c>
      <c r="J28" s="117">
        <f>COUNTIFS(เรื่องร้องเรียน!E:E,"2",เรื่องร้องเรียน!AO:AO,"2",เรื่องร้องเรียน!AN:AN,"สุทธิสาร",เรื่องร้องเรียน!AQ:AQ,"1",เรื่องร้องเรียน!CN:CN,"1")</f>
        <v>0</v>
      </c>
      <c r="K28" s="117">
        <f>COUNTIFS(เรื่องร้องเรียน!E:E,"3",เรื่องร้องเรียน!AO:AO,"2",เรื่องร้องเรียน!AN:AN,"สุทธิสาร",เรื่องร้องเรียน!AQ:AQ,"1",เรื่องร้องเรียน!CN:CN,"1")</f>
        <v>0</v>
      </c>
      <c r="L28" s="117">
        <f>COUNTIFS(เรื่องร้องเรียน!E:E,"4",เรื่องร้องเรียน!AO:AO,"2",เรื่องร้องเรียน!AN:AN,"สุทธิสาร",เรื่องร้องเรียน!AQ:AQ,"1",เรื่องร้องเรียน!CN:CN,"1")</f>
        <v>0</v>
      </c>
      <c r="M28" s="102">
        <f>COUNTIFS(เรื่องร้องเรียน!E:E,"5",เรื่องร้องเรียน!AO:AO,"2",เรื่องร้องเรียน!AN:AN,"สุทธิสาร",เรื่องร้องเรียน!AQ:AQ,"1",เรื่องร้องเรียน!CN:CN,"1")</f>
        <v>0</v>
      </c>
      <c r="N28" s="236">
        <f t="shared" si="4"/>
        <v>0</v>
      </c>
      <c r="O28" s="190">
        <f t="shared" si="1"/>
        <v>0</v>
      </c>
    </row>
    <row r="29" spans="1:15" ht="21.6" thickBot="1">
      <c r="A29" s="264">
        <v>3</v>
      </c>
      <c r="B29" s="276"/>
      <c r="C29" s="266">
        <f>SUM(C30:C40)</f>
        <v>0</v>
      </c>
      <c r="D29" s="267">
        <f t="shared" ref="D29:M29" si="6">SUM(D30:D40)</f>
        <v>0</v>
      </c>
      <c r="E29" s="267">
        <f t="shared" si="6"/>
        <v>0</v>
      </c>
      <c r="F29" s="267">
        <f t="shared" si="6"/>
        <v>0</v>
      </c>
      <c r="G29" s="267">
        <f t="shared" si="6"/>
        <v>0</v>
      </c>
      <c r="H29" s="268">
        <f t="shared" si="2"/>
        <v>0</v>
      </c>
      <c r="I29" s="266">
        <f t="shared" si="6"/>
        <v>0</v>
      </c>
      <c r="J29" s="267">
        <f t="shared" si="6"/>
        <v>0</v>
      </c>
      <c r="K29" s="267">
        <f t="shared" si="6"/>
        <v>0</v>
      </c>
      <c r="L29" s="267">
        <f t="shared" si="6"/>
        <v>0</v>
      </c>
      <c r="M29" s="267">
        <f t="shared" si="6"/>
        <v>0</v>
      </c>
      <c r="N29" s="268">
        <f t="shared" si="4"/>
        <v>0</v>
      </c>
      <c r="O29" s="263">
        <f t="shared" si="1"/>
        <v>0</v>
      </c>
    </row>
    <row r="30" spans="1:15">
      <c r="A30" s="98"/>
      <c r="B30" s="226" t="s">
        <v>85</v>
      </c>
      <c r="C30" s="104">
        <f>COUNTIFS(เรื่องร้องเรียน!E:E,"1",เรื่องร้องเรียน!AO:AO,"3",เรื่องร้องเรียน!AN:AN,"จรเข้น้อย",เรื่องร้องเรียน!CN:CN,"1")</f>
        <v>0</v>
      </c>
      <c r="D30" s="101">
        <f>COUNTIFS(เรื่องร้องเรียน!E:E,"2",เรื่องร้องเรียน!AO:AO,"3",เรื่องร้องเรียน!AN:AN,"จรเข้น้อย",เรื่องร้องเรียน!CN:CN,"1")</f>
        <v>0</v>
      </c>
      <c r="E30" s="101">
        <f>COUNTIFS(เรื่องร้องเรียน!E:E,"3",เรื่องร้องเรียน!AO:AO,"3",เรื่องร้องเรียน!AN:AN,"จรเข้น้อย",เรื่องร้องเรียน!CN:CN,"1")</f>
        <v>0</v>
      </c>
      <c r="F30" s="101">
        <f>COUNTIFS(เรื่องร้องเรียน!E:E,"4",เรื่องร้องเรียน!AO:AO,"3",เรื่องร้องเรียน!AN:AN,"จรเข้น้อย",เรื่องร้องเรียน!CN:CN,"1")</f>
        <v>0</v>
      </c>
      <c r="G30" s="101">
        <f>COUNTIFS(เรื่องร้องเรียน!E:E,"5",เรื่องร้องเรียน!AO:AO,"3",เรื่องร้องเรียน!AN:AN,"จรเข้น้อย",เรื่องร้องเรียน!CN:CN,"1")</f>
        <v>0</v>
      </c>
      <c r="H30" s="235">
        <f t="shared" si="2"/>
        <v>0</v>
      </c>
      <c r="I30" s="104">
        <f>COUNTIFS(เรื่องร้องเรียน!E:E,"1",เรื่องร้องเรียน!AO:AO,"3",เรื่องร้องเรียน!AN:AN,"จรเข้น้อย",เรื่องร้องเรียน!AQ:AQ,"1",เรื่องร้องเรียน!CN:CN,"1")</f>
        <v>0</v>
      </c>
      <c r="J30" s="101">
        <f>COUNTIFS(เรื่องร้องเรียน!E:E,"2",เรื่องร้องเรียน!AO:AO,"3",เรื่องร้องเรียน!AN:AN,"จรเข้น้อย",เรื่องร้องเรียน!AQ:AQ,"1",เรื่องร้องเรียน!CN:CN,"1")</f>
        <v>0</v>
      </c>
      <c r="K30" s="101">
        <f>COUNTIFS(เรื่องร้องเรียน!E:E,"3",เรื่องร้องเรียน!AO:AO,"3",เรื่องร้องเรียน!AN:AN,"จรเข้น้อย",เรื่องร้องเรียน!AQ:AQ,"1",เรื่องร้องเรียน!CN:CN,"1")</f>
        <v>0</v>
      </c>
      <c r="L30" s="101">
        <f>COUNTIFS(เรื่องร้องเรียน!E:E,"4",เรื่องร้องเรียน!AO:AO,"3",เรื่องร้องเรียน!AN:AN,"จรเข้น้อย",เรื่องร้องเรียน!AQ:AQ,"1",เรื่องร้องเรียน!CN:CN,"1")</f>
        <v>0</v>
      </c>
      <c r="M30" s="101">
        <f>COUNTIFS(เรื่องร้องเรียน!E:E,"5",เรื่องร้องเรียน!AO:AO,"3",เรื่องร้องเรียน!AN:AN,"จรเข้น้อย",เรื่องร้องเรียน!AQ:AQ,"1",เรื่องร้องเรียน!CN:CN,"1")</f>
        <v>0</v>
      </c>
      <c r="N30" s="235">
        <f t="shared" si="4"/>
        <v>0</v>
      </c>
      <c r="O30" s="238">
        <f t="shared" si="1"/>
        <v>0</v>
      </c>
    </row>
    <row r="31" spans="1:15">
      <c r="A31" s="107"/>
      <c r="B31" s="227" t="s">
        <v>124</v>
      </c>
      <c r="C31" s="104">
        <f>COUNTIFS(เรื่องร้องเรียน!E:E,"1",เรื่องร้องเรียน!AO:AO,"3",เรื่องร้องเรียน!AN:AN,"ฉลองกรุง",เรื่องร้องเรียน!CN:CN,"1")</f>
        <v>0</v>
      </c>
      <c r="D31" s="101">
        <f>COUNTIFS(เรื่องร้องเรียน!E:E,"2",เรื่องร้องเรียน!AO:AO,"3",เรื่องร้องเรียน!AN:AN,"ฉลองกรุง",เรื่องร้องเรียน!CN:CN,"1")</f>
        <v>0</v>
      </c>
      <c r="E31" s="101">
        <f>COUNTIFS(เรื่องร้องเรียน!E:E,"3",เรื่องร้องเรียน!AO:AO,"3",เรื่องร้องเรียน!AN:AN,"ฉลองกรุง",เรื่องร้องเรียน!CN:CN,"1")</f>
        <v>0</v>
      </c>
      <c r="F31" s="101">
        <f>COUNTIFS(เรื่องร้องเรียน!E:E,"4",เรื่องร้องเรียน!AO:AO,"3",เรื่องร้องเรียน!AN:AN,"ฉลองกรุง",เรื่องร้องเรียน!CN:CN,"1")</f>
        <v>0</v>
      </c>
      <c r="G31" s="101">
        <f>COUNTIFS(เรื่องร้องเรียน!E:E,"5",เรื่องร้องเรียน!AO:AO,"3",เรื่องร้องเรียน!AN:AN,"ฉลองกรุง",เรื่องร้องเรียน!CN:CN,"1")</f>
        <v>0</v>
      </c>
      <c r="H31" s="235">
        <f t="shared" si="2"/>
        <v>0</v>
      </c>
      <c r="I31" s="104">
        <f>COUNTIFS(เรื่องร้องเรียน!E:E,"1",เรื่องร้องเรียน!AO:AO,"3",เรื่องร้องเรียน!AN:AN,"ฉลองกรุง",เรื่องร้องเรียน!AQ:AQ,"1",เรื่องร้องเรียน!CN:CN,"1")</f>
        <v>0</v>
      </c>
      <c r="J31" s="101">
        <f>COUNTIFS(เรื่องร้องเรียน!E:E,"2",เรื่องร้องเรียน!AO:AO,"3",เรื่องร้องเรียน!AN:AN,"ฉลองกรุง",เรื่องร้องเรียน!AQ:AQ,"1",เรื่องร้องเรียน!CN:CN,"1")</f>
        <v>0</v>
      </c>
      <c r="K31" s="101">
        <f>COUNTIFS(เรื่องร้องเรียน!E:E,"3",เรื่องร้องเรียน!AO:AO,"3",เรื่องร้องเรียน!AN:AN,"ฉลองกรุง",เรื่องร้องเรียน!AQ:AQ,"1",เรื่องร้องเรียน!CN:CN,"1")</f>
        <v>0</v>
      </c>
      <c r="L31" s="101">
        <f>COUNTIFS(เรื่องร้องเรียน!E:E,"4",เรื่องร้องเรียน!AO:AO,"3",เรื่องร้องเรียน!AN:AN,"ฉลองกรุง",เรื่องร้องเรียน!AQ:AQ,"1",เรื่องร้องเรียน!CN:CN,"1")</f>
        <v>0</v>
      </c>
      <c r="M31" s="101">
        <f>COUNTIFS(เรื่องร้องเรียน!E:E,"5",เรื่องร้องเรียน!AO:AO,"3",เรื่องร้องเรียน!AN:AN,"ฉลองกรุง",เรื่องร้องเรียน!AQ:AQ,"1",เรื่องร้องเรียน!CN:CN,"1")</f>
        <v>0</v>
      </c>
      <c r="N31" s="241">
        <f t="shared" si="4"/>
        <v>0</v>
      </c>
      <c r="O31" s="183">
        <f t="shared" si="1"/>
        <v>0</v>
      </c>
    </row>
    <row r="32" spans="1:15">
      <c r="A32" s="107"/>
      <c r="B32" s="227" t="s">
        <v>131</v>
      </c>
      <c r="C32" s="104">
        <f>COUNTIFS(เรื่องร้องเรียน!E:E,"1",เรื่องร้องเรียน!AO:AO,"3",เรื่องร้องเรียน!AN:AN,"นิมิตรใหม่",เรื่องร้องเรียน!CN:CN,"1")</f>
        <v>0</v>
      </c>
      <c r="D32" s="101">
        <f>COUNTIFS(เรื่องร้องเรียน!E:E,"2",เรื่องร้องเรียน!AO:AO,"3",เรื่องร้องเรียน!AN:AN,"นิมิตรใหม่",เรื่องร้องเรียน!CN:CN,"1")</f>
        <v>0</v>
      </c>
      <c r="E32" s="101">
        <f>COUNTIFS(เรื่องร้องเรียน!E:E,"3",เรื่องร้องเรียน!AO:AO,"3",เรื่องร้องเรียน!AN:AN,"นิมิตรใหม่",เรื่องร้องเรียน!CN:CN,"1")</f>
        <v>0</v>
      </c>
      <c r="F32" s="101">
        <f>COUNTIFS(เรื่องร้องเรียน!E:E,"4",เรื่องร้องเรียน!AO:AO,"3",เรื่องร้องเรียน!AN:AN,"นิมิตรใหม่",เรื่องร้องเรียน!CN:CN,"1")</f>
        <v>0</v>
      </c>
      <c r="G32" s="101">
        <f>COUNTIFS(เรื่องร้องเรียน!E:E,"5",เรื่องร้องเรียน!AO:AO,"3",เรื่องร้องเรียน!AN:AN,"นิมิตรใหม่",เรื่องร้องเรียน!CN:CN,"1")</f>
        <v>0</v>
      </c>
      <c r="H32" s="235">
        <f t="shared" si="2"/>
        <v>0</v>
      </c>
      <c r="I32" s="104">
        <f>COUNTIFS(เรื่องร้องเรียน!E:E,"1",เรื่องร้องเรียน!AO:AO,"3",เรื่องร้องเรียน!AN:AN,"นิมิตรใหม่",เรื่องร้องเรียน!AQ:AQ,"1",เรื่องร้องเรียน!CN:CN,"1")</f>
        <v>0</v>
      </c>
      <c r="J32" s="101">
        <f>COUNTIFS(เรื่องร้องเรียน!E:E,"2",เรื่องร้องเรียน!AO:AO,"3",เรื่องร้องเรียน!AN:AN,"นิมิตรใหม่",เรื่องร้องเรียน!AQ:AQ,"1",เรื่องร้องเรียน!CN:CN,"1")</f>
        <v>0</v>
      </c>
      <c r="K32" s="101">
        <f>COUNTIFS(เรื่องร้องเรียน!E:E,"3",เรื่องร้องเรียน!AO:AO,"3",เรื่องร้องเรียน!AN:AN,"นิมิตรใหม่",เรื่องร้องเรียน!AQ:AQ,"1",เรื่องร้องเรียน!CN:CN,"1")</f>
        <v>0</v>
      </c>
      <c r="L32" s="101">
        <f>COUNTIFS(เรื่องร้องเรียน!E:E,"4",เรื่องร้องเรียน!AO:AO,"3",เรื่องร้องเรียน!AN:AN,"นิมิตรใหม่",เรื่องร้องเรียน!AQ:AQ,"1",เรื่องร้องเรียน!CN:CN,"1")</f>
        <v>0</v>
      </c>
      <c r="M32" s="101">
        <f>COUNTIFS(เรื่องร้องเรียน!E:E,"5",เรื่องร้องเรียน!AO:AO,"3",เรื่องร้องเรียน!AN:AN,"นิมิตรใหม่",เรื่องร้องเรียน!AQ:AQ,"1",เรื่องร้องเรียน!CN:CN,"1")</f>
        <v>0</v>
      </c>
      <c r="N32" s="241">
        <f t="shared" si="4"/>
        <v>0</v>
      </c>
      <c r="O32" s="183">
        <f t="shared" si="1"/>
        <v>0</v>
      </c>
    </row>
    <row r="33" spans="1:15">
      <c r="A33" s="107"/>
      <c r="B33" s="227" t="s">
        <v>174</v>
      </c>
      <c r="C33" s="104">
        <f>COUNTIFS(เรื่องร้องเรียน!E:E,"1",เรื่องร้องเรียน!AO:AO,"3",เรื่องร้องเรียน!AN:AN,"ประชาสำราญ",เรื่องร้องเรียน!CN:CN,"1")</f>
        <v>0</v>
      </c>
      <c r="D33" s="101">
        <f>COUNTIFS(เรื่องร้องเรียน!E:E,"2",เรื่องร้องเรียน!AO:AO,"3",เรื่องร้องเรียน!AN:AN,"ประชาสำราญ",เรื่องร้องเรียน!CN:CN,"1")</f>
        <v>0</v>
      </c>
      <c r="E33" s="101">
        <f>COUNTIFS(เรื่องร้องเรียน!E:E,"3",เรื่องร้องเรียน!AO:AO,"3",เรื่องร้องเรียน!AN:AN,"ประชาสำราญ",เรื่องร้องเรียน!CN:CN,"1")</f>
        <v>0</v>
      </c>
      <c r="F33" s="101">
        <f>COUNTIFS(เรื่องร้องเรียน!E:E,"4",เรื่องร้องเรียน!AO:AO,"3",เรื่องร้องเรียน!AN:AN,"ประชาสำราญ",เรื่องร้องเรียน!CN:CN,"1")</f>
        <v>0</v>
      </c>
      <c r="G33" s="101">
        <f>COUNTIFS(เรื่องร้องเรียน!E:E,"5",เรื่องร้องเรียน!AO:AO,"3",เรื่องร้องเรียน!AN:AN,"ประชาสำราญ",เรื่องร้องเรียน!CN:CN,"1")</f>
        <v>0</v>
      </c>
      <c r="H33" s="235">
        <f t="shared" si="2"/>
        <v>0</v>
      </c>
      <c r="I33" s="104">
        <f>COUNTIFS(เรื่องร้องเรียน!E:E,"1",เรื่องร้องเรียน!AO:AO,"3",เรื่องร้องเรียน!AN:AN,"ประชาสำราญ",เรื่องร้องเรียน!AQ:AQ,"1",เรื่องร้องเรียน!CN:CN,"1")</f>
        <v>0</v>
      </c>
      <c r="J33" s="101">
        <f>COUNTIFS(เรื่องร้องเรียน!E:E,"2",เรื่องร้องเรียน!AO:AO,"3",เรื่องร้องเรียน!AN:AN,"ประชาสำราญ",เรื่องร้องเรียน!AQ:AQ,"1",เรื่องร้องเรียน!CN:CN,"1")</f>
        <v>0</v>
      </c>
      <c r="K33" s="101">
        <f>COUNTIFS(เรื่องร้องเรียน!E:E,"3",เรื่องร้องเรียน!AO:AO,"3",เรื่องร้องเรียน!AN:AN,"ประชาสำราญ",เรื่องร้องเรียน!AQ:AQ,"1",เรื่องร้องเรียน!CN:CN,"1")</f>
        <v>0</v>
      </c>
      <c r="L33" s="101">
        <f>COUNTIFS(เรื่องร้องเรียน!E:E,"4",เรื่องร้องเรียน!AO:AO,"3",เรื่องร้องเรียน!AN:AN,"ประชาสำราญ",เรื่องร้องเรียน!AQ:AQ,"1",เรื่องร้องเรียน!CN:CN,"1")</f>
        <v>0</v>
      </c>
      <c r="M33" s="101">
        <f>COUNTIFS(เรื่องร้องเรียน!E:E,"5",เรื่องร้องเรียน!AO:AO,"3",เรื่องร้องเรียน!AN:AN,"ประชาสำราญ",เรื่องร้องเรียน!AQ:AQ,"1",เรื่องร้องเรียน!CN:CN,"1")</f>
        <v>0</v>
      </c>
      <c r="N33" s="241">
        <f t="shared" si="4"/>
        <v>0</v>
      </c>
      <c r="O33" s="183">
        <f t="shared" si="1"/>
        <v>0</v>
      </c>
    </row>
    <row r="34" spans="1:15">
      <c r="A34" s="107"/>
      <c r="B34" s="227" t="s">
        <v>116</v>
      </c>
      <c r="C34" s="104">
        <f>COUNTIFS(เรื่องร้องเรียน!E:E,"1",เรื่องร้องเรียน!AO:AO,"3",เรื่องร้องเรียน!AN:AN,"มีนบุรี",เรื่องร้องเรียน!CN:CN,"1")</f>
        <v>0</v>
      </c>
      <c r="D34" s="101">
        <f>COUNTIFS(เรื่องร้องเรียน!E:E,"2",เรื่องร้องเรียน!AO:AO,"3",เรื่องร้องเรียน!AN:AN,"มีนบุรี",เรื่องร้องเรียน!CN:CN,"1")</f>
        <v>0</v>
      </c>
      <c r="E34" s="101">
        <f>COUNTIFS(เรื่องร้องเรียน!E:E,"3",เรื่องร้องเรียน!AO:AO,"3",เรื่องร้องเรียน!AN:AN,"มีนบุรี",เรื่องร้องเรียน!CN:CN,"1")</f>
        <v>0</v>
      </c>
      <c r="F34" s="101">
        <f>COUNTIFS(เรื่องร้องเรียน!E:E,"4",เรื่องร้องเรียน!AO:AO,"3",เรื่องร้องเรียน!AN:AN,"มีนบุรี",เรื่องร้องเรียน!CN:CN,"1")</f>
        <v>0</v>
      </c>
      <c r="G34" s="101">
        <f>COUNTIFS(เรื่องร้องเรียน!E:E,"5",เรื่องร้องเรียน!AO:AO,"3",เรื่องร้องเรียน!AN:AN,"มีนบุรี",เรื่องร้องเรียน!CN:CN,"1")</f>
        <v>0</v>
      </c>
      <c r="H34" s="235">
        <f t="shared" si="2"/>
        <v>0</v>
      </c>
      <c r="I34" s="104">
        <f>COUNTIFS(เรื่องร้องเรียน!E:E,"1",เรื่องร้องเรียน!AO:AO,"3",เรื่องร้องเรียน!AN:AN,"มีนบุรี",เรื่องร้องเรียน!AQ:AQ,"1",เรื่องร้องเรียน!CN:CN,"1")</f>
        <v>0</v>
      </c>
      <c r="J34" s="101">
        <f>COUNTIFS(เรื่องร้องเรียน!E:E,"2",เรื่องร้องเรียน!AO:AO,"3",เรื่องร้องเรียน!AN:AN,"มีนบุรี",เรื่องร้องเรียน!AQ:AQ,"1",เรื่องร้องเรียน!CN:CN,"1")</f>
        <v>0</v>
      </c>
      <c r="K34" s="101">
        <f>COUNTIFS(เรื่องร้องเรียน!E:E,"3",เรื่องร้องเรียน!AO:AO,"3",เรื่องร้องเรียน!AN:AN,"มีนบุรี",เรื่องร้องเรียน!AQ:AQ,"1",เรื่องร้องเรียน!CN:CN,"1")</f>
        <v>0</v>
      </c>
      <c r="L34" s="101">
        <f>COUNTIFS(เรื่องร้องเรียน!E:E,"4",เรื่องร้องเรียน!AO:AO,"3",เรื่องร้องเรียน!AN:AN,"มีนบุรี",เรื่องร้องเรียน!AQ:AQ,"1",เรื่องร้องเรียน!CN:CN,"1")</f>
        <v>0</v>
      </c>
      <c r="M34" s="101">
        <f>COUNTIFS(เรื่องร้องเรียน!E:E,"5",เรื่องร้องเรียน!AO:AO,"3",เรื่องร้องเรียน!AN:AN,"มีนบุรี",เรื่องร้องเรียน!AQ:AQ,"1",เรื่องร้องเรียน!CN:CN,"1")</f>
        <v>0</v>
      </c>
      <c r="N34" s="241">
        <f t="shared" si="4"/>
        <v>0</v>
      </c>
      <c r="O34" s="183">
        <f t="shared" si="1"/>
        <v>0</v>
      </c>
    </row>
    <row r="35" spans="1:15">
      <c r="A35" s="107"/>
      <c r="B35" s="227" t="s">
        <v>175</v>
      </c>
      <c r="C35" s="104">
        <f>COUNTIFS(เรื่องร้องเรียน!E:E,"1",เรื่องร้องเรียน!AO:AO,"3",เรื่องร้องเรียน!AN:AN,"ร่มเกล้า",เรื่องร้องเรียน!CN:CN,"1")</f>
        <v>0</v>
      </c>
      <c r="D35" s="101">
        <f>COUNTIFS(เรื่องร้องเรียน!E:E,"2",เรื่องร้องเรียน!AO:AO,"3",เรื่องร้องเรียน!AN:AN,"ร่มเกล้า",เรื่องร้องเรียน!CN:CN,"1")</f>
        <v>0</v>
      </c>
      <c r="E35" s="101">
        <f>COUNTIFS(เรื่องร้องเรียน!E:E,"3",เรื่องร้องเรียน!AO:AO,"3",เรื่องร้องเรียน!AN:AN,"ร่มเกล้า",เรื่องร้องเรียน!CN:CN,"1")</f>
        <v>0</v>
      </c>
      <c r="F35" s="101">
        <f>COUNTIFS(เรื่องร้องเรียน!E:E,"4",เรื่องร้องเรียน!AO:AO,"3",เรื่องร้องเรียน!AN:AN,"ร่มเกล้า",เรื่องร้องเรียน!CN:CN,"1")</f>
        <v>0</v>
      </c>
      <c r="G35" s="101">
        <f>COUNTIFS(เรื่องร้องเรียน!E:E,"5",เรื่องร้องเรียน!AO:AO,"3",เรื่องร้องเรียน!AN:AN,"ร่มเกล้า",เรื่องร้องเรียน!CN:CN,"1")</f>
        <v>0</v>
      </c>
      <c r="H35" s="235">
        <f t="shared" si="2"/>
        <v>0</v>
      </c>
      <c r="I35" s="104">
        <f>COUNTIFS(เรื่องร้องเรียน!E:E,"1",เรื่องร้องเรียน!AO:AO,"3",เรื่องร้องเรียน!AN:AN,"ร่มเกล้า",เรื่องร้องเรียน!AQ:AQ,"1",เรื่องร้องเรียน!CN:CN,"1")</f>
        <v>0</v>
      </c>
      <c r="J35" s="101">
        <f>COUNTIFS(เรื่องร้องเรียน!E:E,"2",เรื่องร้องเรียน!AO:AO,"3",เรื่องร้องเรียน!AN:AN,"ร่มเกล้า",เรื่องร้องเรียน!AQ:AQ,"1",เรื่องร้องเรียน!CN:CN,"1")</f>
        <v>0</v>
      </c>
      <c r="K35" s="101">
        <f>COUNTIFS(เรื่องร้องเรียน!E:E,"3",เรื่องร้องเรียน!AO:AO,"3",เรื่องร้องเรียน!AN:AN,"ร่มเกล้า",เรื่องร้องเรียน!AQ:AQ,"1",เรื่องร้องเรียน!CN:CN,"1")</f>
        <v>0</v>
      </c>
      <c r="L35" s="101">
        <f>COUNTIFS(เรื่องร้องเรียน!E:E,"4",เรื่องร้องเรียน!AO:AO,"3",เรื่องร้องเรียน!AN:AN,"ร่มเกล้า",เรื่องร้องเรียน!AQ:AQ,"1",เรื่องร้องเรียน!CN:CN,"1")</f>
        <v>0</v>
      </c>
      <c r="M35" s="101">
        <f>COUNTIFS(เรื่องร้องเรียน!E:E,"5",เรื่องร้องเรียน!AO:AO,"3",เรื่องร้องเรียน!AN:AN,"ร่มเกล้า",เรื่องร้องเรียน!AQ:AQ,"1",เรื่องร้องเรียน!CN:CN,"1")</f>
        <v>0</v>
      </c>
      <c r="N35" s="241">
        <f t="shared" si="4"/>
        <v>0</v>
      </c>
      <c r="O35" s="183">
        <f t="shared" si="1"/>
        <v>0</v>
      </c>
    </row>
    <row r="36" spans="1:15">
      <c r="A36" s="107"/>
      <c r="B36" s="227" t="s">
        <v>84</v>
      </c>
      <c r="C36" s="104">
        <f>COUNTIFS(เรื่องร้องเรียน!E:E,"1",เรื่องร้องเรียน!AO:AO,"3",เรื่องร้องเรียน!AN:AN,"ลาดกระบัง",เรื่องร้องเรียน!CN:CN,"1")</f>
        <v>0</v>
      </c>
      <c r="D36" s="101">
        <f>COUNTIFS(เรื่องร้องเรียน!E:E,"2",เรื่องร้องเรียน!AO:AO,"3",เรื่องร้องเรียน!AN:AN,"ลาดกระบัง",เรื่องร้องเรียน!CN:CN,"1")</f>
        <v>0</v>
      </c>
      <c r="E36" s="101">
        <f>COUNTIFS(เรื่องร้องเรียน!E:E,"3",เรื่องร้องเรียน!AO:AO,"3",เรื่องร้องเรียน!AN:AN,"ลาดกระบัง",เรื่องร้องเรียน!CN:CN,"1")</f>
        <v>0</v>
      </c>
      <c r="F36" s="101">
        <f>COUNTIFS(เรื่องร้องเรียน!E:E,"4",เรื่องร้องเรียน!AO:AO,"3",เรื่องร้องเรียน!AN:AN,"ลาดกระบัง",เรื่องร้องเรียน!CN:CN,"1")</f>
        <v>0</v>
      </c>
      <c r="G36" s="101">
        <f>COUNTIFS(เรื่องร้องเรียน!E:E,"5",เรื่องร้องเรียน!AO:AO,"3",เรื่องร้องเรียน!AN:AN,"ลาดกระบัง",เรื่องร้องเรียน!CN:CN,"1")</f>
        <v>0</v>
      </c>
      <c r="H36" s="235">
        <f t="shared" si="2"/>
        <v>0</v>
      </c>
      <c r="I36" s="104">
        <f>COUNTIFS(เรื่องร้องเรียน!E:E,"1",เรื่องร้องเรียน!AO:AO,"3",เรื่องร้องเรียน!AN:AN,"ลาดกระบัง",เรื่องร้องเรียน!AQ:AQ,"1",เรื่องร้องเรียน!CN:CN,"1")</f>
        <v>0</v>
      </c>
      <c r="J36" s="101">
        <f>COUNTIFS(เรื่องร้องเรียน!E:E,"2",เรื่องร้องเรียน!AO:AO,"3",เรื่องร้องเรียน!AN:AN,"ลาดกระบัง",เรื่องร้องเรียน!AQ:AQ,"1",เรื่องร้องเรียน!CN:CN,"1")</f>
        <v>0</v>
      </c>
      <c r="K36" s="101">
        <f>COUNTIFS(เรื่องร้องเรียน!E:E,"3",เรื่องร้องเรียน!AO:AO,"3",เรื่องร้องเรียน!AN:AN,"ลาดกระบัง",เรื่องร้องเรียน!AQ:AQ,"1",เรื่องร้องเรียน!CN:CN,"1")</f>
        <v>0</v>
      </c>
      <c r="L36" s="101">
        <f>COUNTIFS(เรื่องร้องเรียน!E:E,"4",เรื่องร้องเรียน!AO:AO,"3",เรื่องร้องเรียน!AN:AN,"ลาดกระบัง",เรื่องร้องเรียน!AQ:AQ,"1",เรื่องร้องเรียน!CN:CN,"1")</f>
        <v>0</v>
      </c>
      <c r="M36" s="101">
        <f>COUNTIFS(เรื่องร้องเรียน!E:E,"5",เรื่องร้องเรียน!AO:AO,"3",เรื่องร้องเรียน!AN:AN,"ลาดกระบัง",เรื่องร้องเรียน!AQ:AQ,"1",เรื่องร้องเรียน!CN:CN,"1")</f>
        <v>0</v>
      </c>
      <c r="N36" s="241">
        <f t="shared" si="4"/>
        <v>0</v>
      </c>
      <c r="O36" s="183">
        <f t="shared" si="1"/>
        <v>0</v>
      </c>
    </row>
    <row r="37" spans="1:15">
      <c r="A37" s="107"/>
      <c r="B37" s="227" t="s">
        <v>176</v>
      </c>
      <c r="C37" s="104">
        <f>COUNTIFS(เรื่องร้องเรียน!E:E,"1",เรื่องร้องเรียน!AO:AO,"3",เรื่องร้องเรียน!AN:AN,"ลำผักชี",เรื่องร้องเรียน!CN:CN,"1")</f>
        <v>0</v>
      </c>
      <c r="D37" s="101">
        <f>COUNTIFS(เรื่องร้องเรียน!E:E,"2",เรื่องร้องเรียน!AO:AO,"3",เรื่องร้องเรียน!AN:AN,"ลำผักชี",เรื่องร้องเรียน!CN:CN,"1")</f>
        <v>0</v>
      </c>
      <c r="E37" s="101">
        <f>COUNTIFS(เรื่องร้องเรียน!E:E,"3",เรื่องร้องเรียน!AO:AO,"3",เรื่องร้องเรียน!AN:AN,"ลำผักชี",เรื่องร้องเรียน!CN:CN,"1")</f>
        <v>0</v>
      </c>
      <c r="F37" s="101">
        <f>COUNTIFS(เรื่องร้องเรียน!E:E,"4",เรื่องร้องเรียน!AO:AO,"3",เรื่องร้องเรียน!AN:AN,"ลำผักชี",เรื่องร้องเรียน!CN:CN,"1")</f>
        <v>0</v>
      </c>
      <c r="G37" s="101">
        <f>COUNTIFS(เรื่องร้องเรียน!E:E,"5",เรื่องร้องเรียน!AO:AO,"3",เรื่องร้องเรียน!AN:AN,"ลำผักชี",เรื่องร้องเรียน!CN:CN,"1")</f>
        <v>0</v>
      </c>
      <c r="H37" s="235">
        <f t="shared" si="2"/>
        <v>0</v>
      </c>
      <c r="I37" s="104">
        <f>COUNTIFS(เรื่องร้องเรียน!E:E,"1",เรื่องร้องเรียน!AO:AO,"3",เรื่องร้องเรียน!AN:AN,"ลำผักชี",เรื่องร้องเรียน!AQ:AQ,"1",เรื่องร้องเรียน!CN:CN,"1")</f>
        <v>0</v>
      </c>
      <c r="J37" s="101">
        <f>COUNTIFS(เรื่องร้องเรียน!E:E,"2",เรื่องร้องเรียน!AO:AO,"3",เรื่องร้องเรียน!AN:AN,"ลำผักชี",เรื่องร้องเรียน!AQ:AQ,"1",เรื่องร้องเรียน!CN:CN,"1")</f>
        <v>0</v>
      </c>
      <c r="K37" s="101">
        <f>COUNTIFS(เรื่องร้องเรียน!E:E,"3",เรื่องร้องเรียน!AO:AO,"3",เรื่องร้องเรียน!AN:AN,"ลำผักชี",เรื่องร้องเรียน!AQ:AQ,"1",เรื่องร้องเรียน!CN:CN,"1")</f>
        <v>0</v>
      </c>
      <c r="L37" s="101">
        <f>COUNTIFS(เรื่องร้องเรียน!E:E,"4",เรื่องร้องเรียน!AO:AO,"3",เรื่องร้องเรียน!AN:AN,"ลำผักชี",เรื่องร้องเรียน!AQ:AQ,"1",เรื่องร้องเรียน!CN:CN,"1")</f>
        <v>0</v>
      </c>
      <c r="M37" s="101">
        <f>COUNTIFS(เรื่องร้องเรียน!E:E,"5",เรื่องร้องเรียน!AO:AO,"3",เรื่องร้องเรียน!AN:AN,"ลำผักชี",เรื่องร้องเรียน!AQ:AQ,"1",เรื่องร้องเรียน!CN:CN,"1")</f>
        <v>0</v>
      </c>
      <c r="N37" s="241">
        <f t="shared" si="4"/>
        <v>0</v>
      </c>
      <c r="O37" s="183">
        <f t="shared" si="1"/>
        <v>0</v>
      </c>
    </row>
    <row r="38" spans="1:15">
      <c r="A38" s="107"/>
      <c r="B38" s="227" t="s">
        <v>177</v>
      </c>
      <c r="C38" s="104">
        <f>COUNTIFS(เรื่องร้องเรียน!E:E,"1",เรื่องร้องเรียน!AO:AO,"3",เรื่องร้องเรียน!AN:AN,"ลำหิน",เรื่องร้องเรียน!CN:CN,"1")</f>
        <v>0</v>
      </c>
      <c r="D38" s="101">
        <f>COUNTIFS(เรื่องร้องเรียน!E:E,"2",เรื่องร้องเรียน!AO:AO,"3",เรื่องร้องเรียน!AN:AN,"ลำหิน",เรื่องร้องเรียน!CN:CN,"1")</f>
        <v>0</v>
      </c>
      <c r="E38" s="101">
        <f>COUNTIFS(เรื่องร้องเรียน!E:E,"3",เรื่องร้องเรียน!AO:AO,"3",เรื่องร้องเรียน!AN:AN,"ลำหิน",เรื่องร้องเรียน!CN:CN,"1")</f>
        <v>0</v>
      </c>
      <c r="F38" s="101">
        <f>COUNTIFS(เรื่องร้องเรียน!E:E,"4",เรื่องร้องเรียน!AO:AO,"3",เรื่องร้องเรียน!AN:AN,"ลำหิน",เรื่องร้องเรียน!CN:CN,"1")</f>
        <v>0</v>
      </c>
      <c r="G38" s="101">
        <f>COUNTIFS(เรื่องร้องเรียน!E:E,"5",เรื่องร้องเรียน!AO:AO,"3",เรื่องร้องเรียน!AN:AN,"ลำหิน",เรื่องร้องเรียน!CN:CN,"1")</f>
        <v>0</v>
      </c>
      <c r="H38" s="235">
        <f t="shared" si="2"/>
        <v>0</v>
      </c>
      <c r="I38" s="104">
        <f>COUNTIFS(เรื่องร้องเรียน!E:E,"1",เรื่องร้องเรียน!AO:AO,"3",เรื่องร้องเรียน!AN:AN,"ลำหิน",เรื่องร้องเรียน!AQ:AQ,"1",เรื่องร้องเรียน!CN:CN,"1")</f>
        <v>0</v>
      </c>
      <c r="J38" s="101">
        <f>COUNTIFS(เรื่องร้องเรียน!E:E,"2",เรื่องร้องเรียน!AO:AO,"3",เรื่องร้องเรียน!AN:AN,"ลำหิน",เรื่องร้องเรียน!AQ:AQ,"1",เรื่องร้องเรียน!CN:CN,"1")</f>
        <v>0</v>
      </c>
      <c r="K38" s="101">
        <f>COUNTIFS(เรื่องร้องเรียน!E:E,"3",เรื่องร้องเรียน!AO:AO,"3",เรื่องร้องเรียน!AN:AN,"ลำหิน",เรื่องร้องเรียน!AQ:AQ,"1",เรื่องร้องเรียน!CN:CN,"1")</f>
        <v>0</v>
      </c>
      <c r="L38" s="101">
        <f>COUNTIFS(เรื่องร้องเรียน!E:E,"4",เรื่องร้องเรียน!AO:AO,"3",เรื่องร้องเรียน!AN:AN,"ลำหิน",เรื่องร้องเรียน!AQ:AQ,"1",เรื่องร้องเรียน!CN:CN,"1")</f>
        <v>0</v>
      </c>
      <c r="M38" s="101">
        <f>COUNTIFS(เรื่องร้องเรียน!E:E,"5",เรื่องร้องเรียน!AO:AO,"3",เรื่องร้องเรียน!AN:AN,"ลำหิน",เรื่องร้องเรียน!AQ:AQ,"1",เรื่องร้องเรียน!CN:CN,"1")</f>
        <v>0</v>
      </c>
      <c r="N38" s="241">
        <f t="shared" si="4"/>
        <v>0</v>
      </c>
      <c r="O38" s="183">
        <f t="shared" si="1"/>
        <v>0</v>
      </c>
    </row>
    <row r="39" spans="1:15">
      <c r="A39" s="107"/>
      <c r="B39" s="227" t="s">
        <v>178</v>
      </c>
      <c r="C39" s="104">
        <f>COUNTIFS(เรื่องร้องเรียน!E:E,"1",เรื่องร้องเรียน!AO:AO,"3",เรื่องร้องเรียน!AN:AN,"สุวินทวงศ์",เรื่องร้องเรียน!CN:CN,"1")</f>
        <v>0</v>
      </c>
      <c r="D39" s="101">
        <f>COUNTIFS(เรื่องร้องเรียน!E:E,"2",เรื่องร้องเรียน!AO:AO,"3",เรื่องร้องเรียน!AN:AN,"สุวินทวงศ์",เรื่องร้องเรียน!CN:CN,"1")</f>
        <v>0</v>
      </c>
      <c r="E39" s="101">
        <f>COUNTIFS(เรื่องร้องเรียน!E:E,"3",เรื่องร้องเรียน!AO:AO,"3",เรื่องร้องเรียน!AN:AN,"สุวินทวงศ์",เรื่องร้องเรียน!CN:CN,"1")</f>
        <v>0</v>
      </c>
      <c r="F39" s="101">
        <f>COUNTIFS(เรื่องร้องเรียน!E:E,"4",เรื่องร้องเรียน!AO:AO,"3",เรื่องร้องเรียน!AN:AN,"สุวินทวงศ์",เรื่องร้องเรียน!CN:CN,"1")</f>
        <v>0</v>
      </c>
      <c r="G39" s="101">
        <f>COUNTIFS(เรื่องร้องเรียน!E:E,"5",เรื่องร้องเรียน!AO:AO,"3",เรื่องร้องเรียน!AN:AN,"สุวินทวงศ์",เรื่องร้องเรียน!CN:CN,"1")</f>
        <v>0</v>
      </c>
      <c r="H39" s="235">
        <f t="shared" si="2"/>
        <v>0</v>
      </c>
      <c r="I39" s="104">
        <f>COUNTIFS(เรื่องร้องเรียน!E:E,"1",เรื่องร้องเรียน!AO:AO,"3",เรื่องร้องเรียน!AN:AN,"สุวินทวงศ์",เรื่องร้องเรียน!AQ:AQ,"1",เรื่องร้องเรียน!CN:CN,"1")</f>
        <v>0</v>
      </c>
      <c r="J39" s="101">
        <f>COUNTIFS(เรื่องร้องเรียน!E:E,"2",เรื่องร้องเรียน!AO:AO,"3",เรื่องร้องเรียน!AN:AN,"สุวินทวงศ์",เรื่องร้องเรียน!AQ:AQ,"1",เรื่องร้องเรียน!CN:CN,"1")</f>
        <v>0</v>
      </c>
      <c r="K39" s="101">
        <f>COUNTIFS(เรื่องร้องเรียน!E:E,"3",เรื่องร้องเรียน!AO:AO,"3",เรื่องร้องเรียน!AN:AN,"สุวินทวงศ์",เรื่องร้องเรียน!AQ:AQ,"1",เรื่องร้องเรียน!CN:CN,"1")</f>
        <v>0</v>
      </c>
      <c r="L39" s="101">
        <f>COUNTIFS(เรื่องร้องเรียน!E:E,"4",เรื่องร้องเรียน!AO:AO,"3",เรื่องร้องเรียน!AN:AN,"สุวินทวงศ์",เรื่องร้องเรียน!AQ:AQ,"1",เรื่องร้องเรียน!CN:CN,"1")</f>
        <v>0</v>
      </c>
      <c r="M39" s="101">
        <f>COUNTIFS(เรื่องร้องเรียน!E:E,"5",เรื่องร้องเรียน!AO:AO,"3",เรื่องร้องเรียน!AN:AN,"สุวินทวงศ์",เรื่องร้องเรียน!AQ:AQ,"1",เรื่องร้องเรียน!CN:CN,"1")</f>
        <v>0</v>
      </c>
      <c r="N39" s="241">
        <f t="shared" si="4"/>
        <v>0</v>
      </c>
      <c r="O39" s="183">
        <f t="shared" si="1"/>
        <v>0</v>
      </c>
    </row>
    <row r="40" spans="1:15" ht="21.6" thickBot="1">
      <c r="A40" s="111"/>
      <c r="B40" s="228" t="s">
        <v>141</v>
      </c>
      <c r="C40" s="123">
        <f>COUNTIFS(เรื่องร้องเรียน!E:E,"1",เรื่องร้องเรียน!AO:AO,"3",เรื่องร้องเรียน!AN:AN,"หนองจอก",เรื่องร้องเรียน!CN:CN,"1")</f>
        <v>0</v>
      </c>
      <c r="D40" s="117">
        <f>COUNTIFS(เรื่องร้องเรียน!E:E,"2",เรื่องร้องเรียน!AO:AO,"3",เรื่องร้องเรียน!AN:AN,"หนองจอก",เรื่องร้องเรียน!CN:CN,"1")</f>
        <v>0</v>
      </c>
      <c r="E40" s="117">
        <f>COUNTIFS(เรื่องร้องเรียน!E:E,"3",เรื่องร้องเรียน!AO:AO,"3",เรื่องร้องเรียน!AN:AN,"หนองจอก",เรื่องร้องเรียน!CN:CN,"1")</f>
        <v>0</v>
      </c>
      <c r="F40" s="117">
        <f>COUNTIFS(เรื่องร้องเรียน!E:E,"4",เรื่องร้องเรียน!AO:AO,"3",เรื่องร้องเรียน!AN:AN,"หนองจอก",เรื่องร้องเรียน!CN:CN,"1")</f>
        <v>0</v>
      </c>
      <c r="G40" s="101">
        <f>COUNTIFS(เรื่องร้องเรียน!E:E,"5",เรื่องร้องเรียน!AO:AO,"3",เรื่องร้องเรียน!AN:AN,"หนองจอก",เรื่องร้องเรียน!CN:CN,"1")</f>
        <v>0</v>
      </c>
      <c r="H40" s="236">
        <f t="shared" si="2"/>
        <v>0</v>
      </c>
      <c r="I40" s="123">
        <f>COUNTIFS(เรื่องร้องเรียน!E:E,"1",เรื่องร้องเรียน!AO:AO,"3",เรื่องร้องเรียน!AN:AN,"หนองจอก",เรื่องร้องเรียน!AQ:AQ,"1",เรื่องร้องเรียน!CN:CN,"1")</f>
        <v>0</v>
      </c>
      <c r="J40" s="117">
        <f>COUNTIFS(เรื่องร้องเรียน!E:E,"2",เรื่องร้องเรียน!AO:AO,"3",เรื่องร้องเรียน!AN:AN,"หนองจอก",เรื่องร้องเรียน!AQ:AQ,"1",เรื่องร้องเรียน!CN:CN,"1")</f>
        <v>0</v>
      </c>
      <c r="K40" s="117">
        <f>COUNTIFS(เรื่องร้องเรียน!E:E,"3",เรื่องร้องเรียน!AO:AO,"3",เรื่องร้องเรียน!AN:AN,"หนองจอก",เรื่องร้องเรียน!AQ:AQ,"1",เรื่องร้องเรียน!CN:CN,"1")</f>
        <v>0</v>
      </c>
      <c r="L40" s="117">
        <f>COUNTIFS(เรื่องร้องเรียน!E:E,"4",เรื่องร้องเรียน!AO:AO,"3",เรื่องร้องเรียน!AN:AN,"หนองจอก",เรื่องร้องเรียน!AQ:AQ,"1",เรื่องร้องเรียน!CN:CN,"1")</f>
        <v>0</v>
      </c>
      <c r="M40" s="101">
        <f>COUNTIFS(เรื่องร้องเรียน!E:E,"5",เรื่องร้องเรียน!AO:AO,"3",เรื่องร้องเรียน!AN:AN,"หนองจอก",เรื่องร้องเรียน!AQ:AQ,"1",เรื่องร้องเรียน!CN:CN,"1")</f>
        <v>0</v>
      </c>
      <c r="N40" s="236">
        <f t="shared" si="4"/>
        <v>0</v>
      </c>
      <c r="O40" s="190">
        <f t="shared" si="1"/>
        <v>0</v>
      </c>
    </row>
    <row r="41" spans="1:15" ht="21.6" thickBot="1">
      <c r="A41" s="264">
        <v>4</v>
      </c>
      <c r="B41" s="276"/>
      <c r="C41" s="266">
        <f>SUM(C42:C49)</f>
        <v>0</v>
      </c>
      <c r="D41" s="267">
        <f t="shared" ref="D41:M41" si="7">SUM(D42:D49)</f>
        <v>0</v>
      </c>
      <c r="E41" s="267">
        <f t="shared" si="7"/>
        <v>0</v>
      </c>
      <c r="F41" s="267">
        <f t="shared" si="7"/>
        <v>0</v>
      </c>
      <c r="G41" s="267">
        <f t="shared" si="7"/>
        <v>0</v>
      </c>
      <c r="H41" s="268">
        <f t="shared" si="2"/>
        <v>0</v>
      </c>
      <c r="I41" s="266">
        <f t="shared" si="7"/>
        <v>0</v>
      </c>
      <c r="J41" s="267">
        <f t="shared" si="7"/>
        <v>0</v>
      </c>
      <c r="K41" s="267">
        <f t="shared" si="7"/>
        <v>0</v>
      </c>
      <c r="L41" s="267">
        <f t="shared" si="7"/>
        <v>0</v>
      </c>
      <c r="M41" s="267">
        <f t="shared" si="7"/>
        <v>0</v>
      </c>
      <c r="N41" s="268">
        <f t="shared" si="4"/>
        <v>0</v>
      </c>
      <c r="O41" s="263">
        <f t="shared" si="1"/>
        <v>0</v>
      </c>
    </row>
    <row r="42" spans="1:15">
      <c r="A42" s="98"/>
      <c r="B42" s="226" t="s">
        <v>132</v>
      </c>
      <c r="C42" s="104">
        <f>COUNTIFS(เรื่องร้องเรียน!E:E,"1",เรื่องร้องเรียน!AO:AO,"4",เรื่องร้องเรียน!AN:AN,"โชคชัย",เรื่องร้องเรียน!CN:CN,"1")</f>
        <v>0</v>
      </c>
      <c r="D42" s="101">
        <f>COUNTIFS(เรื่องร้องเรียน!E:E,"2",เรื่องร้องเรียน!AO:AO,"4",เรื่องร้องเรียน!AN:AN,"โชคชัย",เรื่องร้องเรียน!CN:CN,"1")</f>
        <v>0</v>
      </c>
      <c r="E42" s="101">
        <f>COUNTIFS(เรื่องร้องเรียน!E:E,"3",เรื่องร้องเรียน!AO:AO,"4",เรื่องร้องเรียน!AN:AN,"โชคชัย",เรื่องร้องเรียน!CN:CN,"1")</f>
        <v>0</v>
      </c>
      <c r="F42" s="101">
        <f>COUNTIFS(เรื่องร้องเรียน!E:E,"4",เรื่องร้องเรียน!AO:AO,"4",เรื่องร้องเรียน!AN:AN,"โชคชัย",เรื่องร้องเรียน!CN:CN,"1")</f>
        <v>0</v>
      </c>
      <c r="G42" s="101">
        <f>COUNTIFS(เรื่องร้องเรียน!E:E,"5",เรื่องร้องเรียน!AO:AO,"4",เรื่องร้องเรียน!AN:AN,"โชคชัย",เรื่องร้องเรียน!CN:CN,"1")</f>
        <v>0</v>
      </c>
      <c r="H42" s="235">
        <f t="shared" si="2"/>
        <v>0</v>
      </c>
      <c r="I42" s="104">
        <f>COUNTIFS(เรื่องร้องเรียน!E:E,"1",เรื่องร้องเรียน!AO:AO,"4",เรื่องร้องเรียน!AN:AN,"โชคชัย",เรื่องร้องเรียน!AQ:AQ,"1",เรื่องร้องเรียน!CN:CN,"1")</f>
        <v>0</v>
      </c>
      <c r="J42" s="101">
        <f>COUNTIFS(เรื่องร้องเรียน!E:E,"2",เรื่องร้องเรียน!AO:AO,"4",เรื่องร้องเรียน!AN:AN,"โชคชัย",เรื่องร้องเรียน!AQ:AQ,"1",เรื่องร้องเรียน!CN:CN,"1")</f>
        <v>0</v>
      </c>
      <c r="K42" s="101">
        <f>COUNTIFS(เรื่องร้องเรียน!E:E,"3",เรื่องร้องเรียน!AO:AO,"4",เรื่องร้องเรียน!AN:AN,"โชคชัย",เรื่องร้องเรียน!AQ:AQ,"1",เรื่องร้องเรียน!CN:CN,"1")</f>
        <v>0</v>
      </c>
      <c r="L42" s="101">
        <f>COUNTIFS(เรื่องร้องเรียน!E:E,"4",เรื่องร้องเรียน!AO:AO,"4",เรื่องร้องเรียน!AN:AN,"โชคชัย",เรื่องร้องเรียน!AQ:AQ,"1",เรื่องร้องเรียน!CN:CN,"1")</f>
        <v>0</v>
      </c>
      <c r="M42" s="101">
        <f>COUNTIFS(เรื่องร้องเรียน!E:E,"5",เรื่องร้องเรียน!AO:AO,"4",เรื่องร้องเรียน!AN:AN,"โชคชัย",เรื่องร้องเรียน!AQ:AQ,"1",เรื่องร้องเรียน!CN:CN,"1")</f>
        <v>0</v>
      </c>
      <c r="N42" s="235">
        <f t="shared" si="4"/>
        <v>0</v>
      </c>
      <c r="O42" s="238">
        <f t="shared" si="1"/>
        <v>0</v>
      </c>
    </row>
    <row r="43" spans="1:15">
      <c r="A43" s="107"/>
      <c r="B43" s="227" t="s">
        <v>102</v>
      </c>
      <c r="C43" s="104">
        <f>COUNTIFS(เรื่องร้องเรียน!E:E,"1",เรื่องร้องเรียน!AO:AO,"4",เรื่องร้องเรียน!AN:AN,"บางชัน",เรื่องร้องเรียน!CN:CN,"1")</f>
        <v>0</v>
      </c>
      <c r="D43" s="101">
        <f>COUNTIFS(เรื่องร้องเรียน!E:E,"2",เรื่องร้องเรียน!AO:AO,"4",เรื่องร้องเรียน!AN:AN,"บางชัน",เรื่องร้องเรียน!CN:CN,"1")</f>
        <v>0</v>
      </c>
      <c r="E43" s="101">
        <f>COUNTIFS(เรื่องร้องเรียน!E:E,"3",เรื่องร้องเรียน!AO:AO,"4",เรื่องร้องเรียน!AN:AN,"บางชัน",เรื่องร้องเรียน!CN:CN,"1")</f>
        <v>0</v>
      </c>
      <c r="F43" s="101">
        <f>COUNTIFS(เรื่องร้องเรียน!E:E,"4",เรื่องร้องเรียน!AO:AO,"4",เรื่องร้องเรียน!AN:AN,"บางชัน",เรื่องร้องเรียน!CN:CN,"1")</f>
        <v>0</v>
      </c>
      <c r="G43" s="101">
        <f>COUNTIFS(เรื่องร้องเรียน!E:E,"5",เรื่องร้องเรียน!AO:AO,"4",เรื่องร้องเรียน!AN:AN,"บางชัน",เรื่องร้องเรียน!CN:CN,"1")</f>
        <v>0</v>
      </c>
      <c r="H43" s="235">
        <f t="shared" si="2"/>
        <v>0</v>
      </c>
      <c r="I43" s="104">
        <f>COUNTIFS(เรื่องร้องเรียน!E:E,"1",เรื่องร้องเรียน!AO:AO,"4",เรื่องร้องเรียน!AN:AN,"บางชัน",เรื่องร้องเรียน!AQ:AQ,"1",เรื่องร้องเรียน!CN:CN,"1")</f>
        <v>0</v>
      </c>
      <c r="J43" s="101">
        <f>COUNTIFS(เรื่องร้องเรียน!E:E,"2",เรื่องร้องเรียน!AO:AO,"4",เรื่องร้องเรียน!AN:AN,"บางชัน",เรื่องร้องเรียน!AQ:AQ,"1",เรื่องร้องเรียน!CN:CN,"1")</f>
        <v>0</v>
      </c>
      <c r="K43" s="101">
        <f>COUNTIFS(เรื่องร้องเรียน!E:E,"3",เรื่องร้องเรียน!AO:AO,"4",เรื่องร้องเรียน!AN:AN,"บางชัน",เรื่องร้องเรียน!AQ:AQ,"1",เรื่องร้องเรียน!CN:CN,"1")</f>
        <v>0</v>
      </c>
      <c r="L43" s="101">
        <f>COUNTIFS(เรื่องร้องเรียน!E:E,"4",เรื่องร้องเรียน!AO:AO,"4",เรื่องร้องเรียน!AN:AN,"บางชัน",เรื่องร้องเรียน!AQ:AQ,"1",เรื่องร้องเรียน!CN:CN,"1")</f>
        <v>0</v>
      </c>
      <c r="M43" s="101">
        <f>COUNTIFS(เรื่องร้องเรียน!E:E,"5",เรื่องร้องเรียน!AO:AO,"4",เรื่องร้องเรียน!AN:AN,"บางชัน",เรื่องร้องเรียน!AQ:AQ,"1",เรื่องร้องเรียน!CN:CN,"1")</f>
        <v>0</v>
      </c>
      <c r="N43" s="241">
        <f t="shared" si="4"/>
        <v>0</v>
      </c>
      <c r="O43" s="183">
        <f t="shared" si="1"/>
        <v>0</v>
      </c>
    </row>
    <row r="44" spans="1:15">
      <c r="A44" s="107"/>
      <c r="B44" s="227" t="s">
        <v>67</v>
      </c>
      <c r="C44" s="104">
        <f>COUNTIFS(เรื่องร้องเรียน!E:E,"1",เรื่องร้องเรียน!AO:AO,"4",เรื่องร้องเรียน!AN:AN,"บึงกุ่ม",เรื่องร้องเรียน!CN:CN,"1")</f>
        <v>0</v>
      </c>
      <c r="D44" s="101">
        <f>COUNTIFS(เรื่องร้องเรียน!E:E,"2",เรื่องร้องเรียน!AO:AO,"4",เรื่องร้องเรียน!AN:AN,"บึงกุ่ม",เรื่องร้องเรียน!CN:CN,"1")</f>
        <v>0</v>
      </c>
      <c r="E44" s="101">
        <f>COUNTIFS(เรื่องร้องเรียน!E:E,"3",เรื่องร้องเรียน!AO:AO,"4",เรื่องร้องเรียน!AN:AN,"บึงกุ่ม",เรื่องร้องเรียน!CN:CN,"1")</f>
        <v>0</v>
      </c>
      <c r="F44" s="101">
        <f>COUNTIFS(เรื่องร้องเรียน!E:E,"4",เรื่องร้องเรียน!AO:AO,"4",เรื่องร้องเรียน!AN:AN,"บึงกุ่ม",เรื่องร้องเรียน!CN:CN,"1")</f>
        <v>0</v>
      </c>
      <c r="G44" s="101">
        <f>COUNTIFS(เรื่องร้องเรียน!E:E,"5",เรื่องร้องเรียน!AO:AO,"4",เรื่องร้องเรียน!AN:AN,"บึงกุ่ม",เรื่องร้องเรียน!CN:CN,"1")</f>
        <v>0</v>
      </c>
      <c r="H44" s="235">
        <f t="shared" si="2"/>
        <v>0</v>
      </c>
      <c r="I44" s="104">
        <f>COUNTIFS(เรื่องร้องเรียน!E:E,"1",เรื่องร้องเรียน!AO:AO,"4",เรื่องร้องเรียน!AN:AN,"บึงกุ่ม",เรื่องร้องเรียน!AQ:AQ,"1",เรื่องร้องเรียน!CN:CN,"1")</f>
        <v>0</v>
      </c>
      <c r="J44" s="101">
        <f>COUNTIFS(เรื่องร้องเรียน!E:E,"2",เรื่องร้องเรียน!AO:AO,"4",เรื่องร้องเรียน!AN:AN,"บึงกุ่ม",เรื่องร้องเรียน!AQ:AQ,"1",เรื่องร้องเรียน!CN:CN,"1")</f>
        <v>0</v>
      </c>
      <c r="K44" s="101">
        <f>COUNTIFS(เรื่องร้องเรียน!E:E,"3",เรื่องร้องเรียน!AO:AO,"4",เรื่องร้องเรียน!AN:AN,"บึงกุ่ม",เรื่องร้องเรียน!AQ:AQ,"1",เรื่องร้องเรียน!CN:CN,"1")</f>
        <v>0</v>
      </c>
      <c r="L44" s="101">
        <f>COUNTIFS(เรื่องร้องเรียน!E:E,"4",เรื่องร้องเรียน!AO:AO,"4",เรื่องร้องเรียน!AN:AN,"บึงกุ่ม",เรื่องร้องเรียน!AQ:AQ,"1",เรื่องร้องเรียน!CN:CN,"1")</f>
        <v>0</v>
      </c>
      <c r="M44" s="101">
        <f>COUNTIFS(เรื่องร้องเรียน!E:E,"5",เรื่องร้องเรียน!AO:AO,"4",เรื่องร้องเรียน!AN:AN,"บึงกุ่ม",เรื่องร้องเรียน!AQ:AQ,"1",เรื่องร้องเรียน!CN:CN,"1")</f>
        <v>0</v>
      </c>
      <c r="N44" s="241">
        <f t="shared" si="4"/>
        <v>0</v>
      </c>
      <c r="O44" s="183">
        <f t="shared" si="1"/>
        <v>0</v>
      </c>
    </row>
    <row r="45" spans="1:15">
      <c r="A45" s="107"/>
      <c r="B45" s="227" t="s">
        <v>73</v>
      </c>
      <c r="C45" s="104">
        <f>COUNTIFS(เรื่องร้องเรียน!E:E,"1",เรื่องร้องเรียน!AO:AO,"4",เรื่องร้องเรียน!AN:AN,"ประเวศ",เรื่องร้องเรียน!CN:CN,"1")</f>
        <v>0</v>
      </c>
      <c r="D45" s="101">
        <f>COUNTIFS(เรื่องร้องเรียน!E:E,"2",เรื่องร้องเรียน!AO:AO,"4",เรื่องร้องเรียน!AN:AN,"ประเวศ",เรื่องร้องเรียน!CN:CN,"1")</f>
        <v>0</v>
      </c>
      <c r="E45" s="101">
        <f>COUNTIFS(เรื่องร้องเรียน!E:E,"3",เรื่องร้องเรียน!AO:AO,"4",เรื่องร้องเรียน!AN:AN,"ประเวศ",เรื่องร้องเรียน!CN:CN,"1")</f>
        <v>0</v>
      </c>
      <c r="F45" s="101">
        <f>COUNTIFS(เรื่องร้องเรียน!E:E,"4",เรื่องร้องเรียน!AO:AO,"4",เรื่องร้องเรียน!AN:AN,"ประเวศ",เรื่องร้องเรียน!CN:CN,"1")</f>
        <v>0</v>
      </c>
      <c r="G45" s="101">
        <f>COUNTIFS(เรื่องร้องเรียน!E:E,"5",เรื่องร้องเรียน!AO:AO,"4",เรื่องร้องเรียน!AN:AN,"ประเวศ",เรื่องร้องเรียน!CN:CN,"1")</f>
        <v>0</v>
      </c>
      <c r="H45" s="235">
        <f t="shared" si="2"/>
        <v>0</v>
      </c>
      <c r="I45" s="104">
        <f>COUNTIFS(เรื่องร้องเรียน!E:E,"1",เรื่องร้องเรียน!AO:AO,"4",เรื่องร้องเรียน!AN:AN,"ประเวศ",เรื่องร้องเรียน!AQ:AQ,"1",เรื่องร้องเรียน!CN:CN,"1")</f>
        <v>0</v>
      </c>
      <c r="J45" s="101">
        <f>COUNTIFS(เรื่องร้องเรียน!E:E,"2",เรื่องร้องเรียน!AO:AO,"4",เรื่องร้องเรียน!AN:AN,"ประเวศ",เรื่องร้องเรียน!AQ:AQ,"1",เรื่องร้องเรียน!CN:CN,"1")</f>
        <v>0</v>
      </c>
      <c r="K45" s="101">
        <f>COUNTIFS(เรื่องร้องเรียน!E:E,"3",เรื่องร้องเรียน!AO:AO,"4",เรื่องร้องเรียน!AN:AN,"ประเวศ",เรื่องร้องเรียน!AQ:AQ,"1",เรื่องร้องเรียน!CN:CN,"1")</f>
        <v>0</v>
      </c>
      <c r="L45" s="101">
        <f>COUNTIFS(เรื่องร้องเรียน!E:E,"4",เรื่องร้องเรียน!AO:AO,"4",เรื่องร้องเรียน!AN:AN,"ประเวศ",เรื่องร้องเรียน!AQ:AQ,"1",เรื่องร้องเรียน!CN:CN,"1")</f>
        <v>0</v>
      </c>
      <c r="M45" s="101">
        <f>COUNTIFS(เรื่องร้องเรียน!E:E,"5",เรื่องร้องเรียน!AO:AO,"4",เรื่องร้องเรียน!AN:AN,"ประเวศ",เรื่องร้องเรียน!AQ:AQ,"1",เรื่องร้องเรียน!CN:CN,"1")</f>
        <v>0</v>
      </c>
      <c r="N45" s="241">
        <f t="shared" si="4"/>
        <v>0</v>
      </c>
      <c r="O45" s="183">
        <f t="shared" si="1"/>
        <v>0</v>
      </c>
    </row>
    <row r="46" spans="1:15">
      <c r="A46" s="107"/>
      <c r="B46" s="227" t="s">
        <v>120</v>
      </c>
      <c r="C46" s="104">
        <f>COUNTIFS(เรื่องร้องเรียน!E:E,"1",เรื่องร้องเรียน!AO:AO,"4",เรื่องร้องเรียน!AN:AN,"ลาดพร้าว",เรื่องร้องเรียน!CN:CN,"1")</f>
        <v>0</v>
      </c>
      <c r="D46" s="101">
        <f>COUNTIFS(เรื่องร้องเรียน!E:E,"2",เรื่องร้องเรียน!AO:AO,"4",เรื่องร้องเรียน!AN:AN,"ลาดพร้าว",เรื่องร้องเรียน!CN:CN,"1")</f>
        <v>0</v>
      </c>
      <c r="E46" s="101">
        <f>COUNTIFS(เรื่องร้องเรียน!E:E,"3",เรื่องร้องเรียน!AO:AO,"4",เรื่องร้องเรียน!AN:AN,"ลาดพร้าว",เรื่องร้องเรียน!CN:CN,"1")</f>
        <v>0</v>
      </c>
      <c r="F46" s="101">
        <f>COUNTIFS(เรื่องร้องเรียน!E:E,"4",เรื่องร้องเรียน!AO:AO,"4",เรื่องร้องเรียน!AN:AN,"ลาดพร้าว",เรื่องร้องเรียน!CN:CN,"1")</f>
        <v>0</v>
      </c>
      <c r="G46" s="101">
        <f>COUNTIFS(เรื่องร้องเรียน!E:E,"5",เรื่องร้องเรียน!AO:AO,"4",เรื่องร้องเรียน!AN:AN,"ลาดพร้าว",เรื่องร้องเรียน!CN:CN,"1")</f>
        <v>0</v>
      </c>
      <c r="H46" s="235">
        <f t="shared" si="2"/>
        <v>0</v>
      </c>
      <c r="I46" s="104">
        <f>COUNTIFS(เรื่องร้องเรียน!E:E,"1",เรื่องร้องเรียน!AO:AO,"4",เรื่องร้องเรียน!AN:AN,"ลาดพร้าว",เรื่องร้องเรียน!AQ:AQ,"1",เรื่องร้องเรียน!CN:CN,"1")</f>
        <v>0</v>
      </c>
      <c r="J46" s="101">
        <f>COUNTIFS(เรื่องร้องเรียน!E:E,"2",เรื่องร้องเรียน!AO:AO,"4",เรื่องร้องเรียน!AN:AN,"ลาดพร้าว",เรื่องร้องเรียน!AQ:AQ,"1",เรื่องร้องเรียน!CN:CN,"1")</f>
        <v>0</v>
      </c>
      <c r="K46" s="101">
        <f>COUNTIFS(เรื่องร้องเรียน!E:E,"3",เรื่องร้องเรียน!AO:AO,"4",เรื่องร้องเรียน!AN:AN,"ลาดพร้าว",เรื่องร้องเรียน!AQ:AQ,"1",เรื่องร้องเรียน!CN:CN,"1")</f>
        <v>0</v>
      </c>
      <c r="L46" s="101">
        <f>COUNTIFS(เรื่องร้องเรียน!E:E,"4",เรื่องร้องเรียน!AO:AO,"4",เรื่องร้องเรียน!AN:AN,"ลาดพร้าว",เรื่องร้องเรียน!AQ:AQ,"1",เรื่องร้องเรียน!CN:CN,"1")</f>
        <v>0</v>
      </c>
      <c r="M46" s="101">
        <f>COUNTIFS(เรื่องร้องเรียน!E:E,"5",เรื่องร้องเรียน!AO:AO,"4",เรื่องร้องเรียน!AN:AN,"ลาดพร้าว",เรื่องร้องเรียน!AQ:AQ,"1",เรื่องร้องเรียน!CN:CN,"1")</f>
        <v>0</v>
      </c>
      <c r="N46" s="241">
        <f t="shared" si="4"/>
        <v>0</v>
      </c>
      <c r="O46" s="183">
        <f t="shared" si="1"/>
        <v>0</v>
      </c>
    </row>
    <row r="47" spans="1:15">
      <c r="A47" s="107"/>
      <c r="B47" s="227" t="s">
        <v>179</v>
      </c>
      <c r="C47" s="104">
        <f>COUNTIFS(เรื่องร้องเรียน!E:E,"1",เรื่องร้องเรียน!AO:AO,"4",เรื่องร้องเรียน!AN:AN,"วังทองหลาง",เรื่องร้องเรียน!CN:CN,"1")</f>
        <v>0</v>
      </c>
      <c r="D47" s="101">
        <f>COUNTIFS(เรื่องร้องเรียน!E:E,"2",เรื่องร้องเรียน!AO:AO,"4",เรื่องร้องเรียน!AN:AN,"วังทองหลาง",เรื่องร้องเรียน!CN:CN,"1")</f>
        <v>0</v>
      </c>
      <c r="E47" s="101">
        <f>COUNTIFS(เรื่องร้องเรียน!E:E,"3",เรื่องร้องเรียน!AO:AO,"4",เรื่องร้องเรียน!AN:AN,"วังทองหลาง",เรื่องร้องเรียน!CN:CN,"1")</f>
        <v>0</v>
      </c>
      <c r="F47" s="101">
        <f>COUNTIFS(เรื่องร้องเรียน!E:E,"4",เรื่องร้องเรียน!AO:AO,"4",เรื่องร้องเรียน!AN:AN,"วังทองหลาง",เรื่องร้องเรียน!CN:CN,"1")</f>
        <v>0</v>
      </c>
      <c r="G47" s="101">
        <f>COUNTIFS(เรื่องร้องเรียน!E:E,"5",เรื่องร้องเรียน!AO:AO,"4",เรื่องร้องเรียน!AN:AN,"วังทองหลาง",เรื่องร้องเรียน!CN:CN,"1")</f>
        <v>0</v>
      </c>
      <c r="H47" s="235">
        <f t="shared" si="2"/>
        <v>0</v>
      </c>
      <c r="I47" s="104">
        <f>COUNTIFS(เรื่องร้องเรียน!E:E,"1",เรื่องร้องเรียน!AO:AO,"4",เรื่องร้องเรียน!AN:AN,"วังทองหลาง",เรื่องร้องเรียน!AQ:AQ,"1",เรื่องร้องเรียน!CN:CN,"1")</f>
        <v>0</v>
      </c>
      <c r="J47" s="101">
        <f>COUNTIFS(เรื่องร้องเรียน!E:E,"2",เรื่องร้องเรียน!AO:AO,"4",เรื่องร้องเรียน!AN:AN,"วังทองหลาง",เรื่องร้องเรียน!AQ:AQ,"1",เรื่องร้องเรียน!CN:CN,"1")</f>
        <v>0</v>
      </c>
      <c r="K47" s="101">
        <f>COUNTIFS(เรื่องร้องเรียน!E:E,"3",เรื่องร้องเรียน!AO:AO,"4",เรื่องร้องเรียน!AN:AN,"วังทองหลาง",เรื่องร้องเรียน!AQ:AQ,"1",เรื่องร้องเรียน!CN:CN,"1")</f>
        <v>0</v>
      </c>
      <c r="L47" s="101">
        <f>COUNTIFS(เรื่องร้องเรียน!E:E,"4",เรื่องร้องเรียน!AO:AO,"4",เรื่องร้องเรียน!AN:AN,"วังทองหลาง",เรื่องร้องเรียน!AQ:AQ,"1",เรื่องร้องเรียน!CN:CN,"1")</f>
        <v>0</v>
      </c>
      <c r="M47" s="101">
        <f>COUNTIFS(เรื่องร้องเรียน!E:E,"5",เรื่องร้องเรียน!AO:AO,"4",เรื่องร้องเรียน!AN:AN,"วังทองหลาง",เรื่องร้องเรียน!AQ:AQ,"1",เรื่องร้องเรียน!CN:CN,"1")</f>
        <v>0</v>
      </c>
      <c r="N47" s="241">
        <f t="shared" si="4"/>
        <v>0</v>
      </c>
      <c r="O47" s="183">
        <f t="shared" si="1"/>
        <v>0</v>
      </c>
    </row>
    <row r="48" spans="1:15">
      <c r="A48" s="107"/>
      <c r="B48" s="227" t="s">
        <v>91</v>
      </c>
      <c r="C48" s="104">
        <f>COUNTIFS(เรื่องร้องเรียน!E:E,"1",เรื่องร้องเรียน!AO:AO,"4",เรื่องร้องเรียน!AN:AN,"หัวหมาก",เรื่องร้องเรียน!CN:CN,"1")</f>
        <v>0</v>
      </c>
      <c r="D48" s="101">
        <f>COUNTIFS(เรื่องร้องเรียน!E:E,"2",เรื่องร้องเรียน!AO:AO,"4",เรื่องร้องเรียน!AN:AN,"หัวหมาก",เรื่องร้องเรียน!CN:CN,"1")</f>
        <v>0</v>
      </c>
      <c r="E48" s="101">
        <f>COUNTIFS(เรื่องร้องเรียน!E:E,"3",เรื่องร้องเรียน!AO:AO,"4",เรื่องร้องเรียน!AN:AN,"หัวหมาก",เรื่องร้องเรียน!CN:CN,"1")</f>
        <v>0</v>
      </c>
      <c r="F48" s="101">
        <f>COUNTIFS(เรื่องร้องเรียน!E:E,"4",เรื่องร้องเรียน!AO:AO,"4",เรื่องร้องเรียน!AN:AN,"หัวหมาก",เรื่องร้องเรียน!CN:CN,"1")</f>
        <v>0</v>
      </c>
      <c r="G48" s="101">
        <f>COUNTIFS(เรื่องร้องเรียน!E:E,"5",เรื่องร้องเรียน!AO:AO,"4",เรื่องร้องเรียน!AN:AN,"หัวหมาก",เรื่องร้องเรียน!CN:CN,"1")</f>
        <v>0</v>
      </c>
      <c r="H48" s="235">
        <f t="shared" si="2"/>
        <v>0</v>
      </c>
      <c r="I48" s="104">
        <f>COUNTIFS(เรื่องร้องเรียน!E:E,"1",เรื่องร้องเรียน!AO:AO,"4",เรื่องร้องเรียน!AN:AN,"หัวหมาก",เรื่องร้องเรียน!AQ:AQ,"1",เรื่องร้องเรียน!CN:CN,"1")</f>
        <v>0</v>
      </c>
      <c r="J48" s="101">
        <f>COUNTIFS(เรื่องร้องเรียน!E:E,"2",เรื่องร้องเรียน!AO:AO,"4",เรื่องร้องเรียน!AN:AN,"หัวหมาก",เรื่องร้องเรียน!AQ:AQ,"1",เรื่องร้องเรียน!CN:CN,"1")</f>
        <v>0</v>
      </c>
      <c r="K48" s="101">
        <f>COUNTIFS(เรื่องร้องเรียน!E:E,"3",เรื่องร้องเรียน!AO:AO,"4",เรื่องร้องเรียน!AN:AN,"หัวหมาก",เรื่องร้องเรียน!AQ:AQ,"1",เรื่องร้องเรียน!CN:CN,"1")</f>
        <v>0</v>
      </c>
      <c r="L48" s="101">
        <f>COUNTIFS(เรื่องร้องเรียน!E:E,"4",เรื่องร้องเรียน!AO:AO,"4",เรื่องร้องเรียน!AN:AN,"หัวหมาก",เรื่องร้องเรียน!AQ:AQ,"1",เรื่องร้องเรียน!CN:CN,"1")</f>
        <v>0</v>
      </c>
      <c r="M48" s="101">
        <f>COUNTIFS(เรื่องร้องเรียน!E:E,"5",เรื่องร้องเรียน!AO:AO,"4",เรื่องร้องเรียน!AN:AN,"หัวหมาก",เรื่องร้องเรียน!AQ:AQ,"1",เรื่องร้องเรียน!CN:CN,"1")</f>
        <v>0</v>
      </c>
      <c r="N48" s="241">
        <f t="shared" si="4"/>
        <v>0</v>
      </c>
      <c r="O48" s="183">
        <f t="shared" si="1"/>
        <v>0</v>
      </c>
    </row>
    <row r="49" spans="1:15" ht="21.6" thickBot="1">
      <c r="A49" s="111"/>
      <c r="B49" s="228" t="s">
        <v>74</v>
      </c>
      <c r="C49" s="123">
        <f>COUNTIFS(เรื่องร้องเรียน!E:E,"1",เรื่องร้องเรียน!AO:AO,"4",เรื่องร้องเรียน!AN:AN,"อุดมสุข",เรื่องร้องเรียน!CN:CN,"1")</f>
        <v>0</v>
      </c>
      <c r="D49" s="117">
        <f>COUNTIFS(เรื่องร้องเรียน!E:E,"2",เรื่องร้องเรียน!AO:AO,"4",เรื่องร้องเรียน!AN:AN,"อุดมสุข",เรื่องร้องเรียน!CN:CN,"1")</f>
        <v>0</v>
      </c>
      <c r="E49" s="117">
        <f>COUNTIFS(เรื่องร้องเรียน!E:E,"3",เรื่องร้องเรียน!AO:AO,"4",เรื่องร้องเรียน!AN:AN,"อุดมสุข",เรื่องร้องเรียน!CN:CN,"1")</f>
        <v>0</v>
      </c>
      <c r="F49" s="117">
        <f>COUNTIFS(เรื่องร้องเรียน!E:E,"4",เรื่องร้องเรียน!AO:AO,"4",เรื่องร้องเรียน!AN:AN,"อุดมสุข",เรื่องร้องเรียน!CN:CN,"1")</f>
        <v>0</v>
      </c>
      <c r="G49" s="101">
        <f>COUNTIFS(เรื่องร้องเรียน!E:E,"5",เรื่องร้องเรียน!AO:AO,"4",เรื่องร้องเรียน!AN:AN,"อุดมสุข",เรื่องร้องเรียน!CN:CN,"1")</f>
        <v>0</v>
      </c>
      <c r="H49" s="236">
        <f t="shared" si="2"/>
        <v>0</v>
      </c>
      <c r="I49" s="123">
        <f>COUNTIFS(เรื่องร้องเรียน!E:E,"1",เรื่องร้องเรียน!AO:AO,"4",เรื่องร้องเรียน!AN:AN,"อุดมสุข",เรื่องร้องเรียน!AQ:AQ,"1",เรื่องร้องเรียน!CN:CN,"1")</f>
        <v>0</v>
      </c>
      <c r="J49" s="117">
        <f>COUNTIFS(เรื่องร้องเรียน!E:E,"2",เรื่องร้องเรียน!AO:AO,"4",เรื่องร้องเรียน!AN:AN,"อุดมสุข",เรื่องร้องเรียน!AQ:AQ,"1",เรื่องร้องเรียน!CN:CN,"1")</f>
        <v>0</v>
      </c>
      <c r="K49" s="117">
        <f>COUNTIFS(เรื่องร้องเรียน!E:E,"3",เรื่องร้องเรียน!AO:AO,"4",เรื่องร้องเรียน!AN:AN,"อุดมสุข",เรื่องร้องเรียน!AQ:AQ,"1",เรื่องร้องเรียน!CN:CN,"1")</f>
        <v>0</v>
      </c>
      <c r="L49" s="117">
        <f>COUNTIFS(เรื่องร้องเรียน!E:E,"4",เรื่องร้องเรียน!AO:AO,"4",เรื่องร้องเรียน!AN:AN,"อุดมสุข",เรื่องร้องเรียน!AQ:AQ,"1",เรื่องร้องเรียน!CN:CN,"1")</f>
        <v>0</v>
      </c>
      <c r="M49" s="101">
        <f>COUNTIFS(เรื่องร้องเรียน!E:E,"5",เรื่องร้องเรียน!AO:AO,"4",เรื่องร้องเรียน!AN:AN,"อุดมสุข",เรื่องร้องเรียน!AQ:AQ,"1",เรื่องร้องเรียน!CN:CN,"1")</f>
        <v>0</v>
      </c>
      <c r="N49" s="236">
        <f t="shared" si="4"/>
        <v>0</v>
      </c>
      <c r="O49" s="190">
        <f t="shared" si="1"/>
        <v>0</v>
      </c>
    </row>
    <row r="50" spans="1:15" ht="21.6" thickBot="1">
      <c r="A50" s="264">
        <v>5</v>
      </c>
      <c r="B50" s="276"/>
      <c r="C50" s="266">
        <f>SUM(C51:C59)</f>
        <v>0</v>
      </c>
      <c r="D50" s="267">
        <f>SUM(D51:D59)</f>
        <v>0</v>
      </c>
      <c r="E50" s="267">
        <f t="shared" ref="E50:M50" si="8">SUM(E51:E59)</f>
        <v>0</v>
      </c>
      <c r="F50" s="267">
        <f t="shared" si="8"/>
        <v>0</v>
      </c>
      <c r="G50" s="267">
        <f t="shared" si="8"/>
        <v>0</v>
      </c>
      <c r="H50" s="268">
        <f t="shared" si="2"/>
        <v>0</v>
      </c>
      <c r="I50" s="266">
        <f t="shared" si="8"/>
        <v>0</v>
      </c>
      <c r="J50" s="267">
        <f t="shared" si="8"/>
        <v>0</v>
      </c>
      <c r="K50" s="267">
        <f t="shared" si="8"/>
        <v>0</v>
      </c>
      <c r="L50" s="267">
        <f t="shared" si="8"/>
        <v>0</v>
      </c>
      <c r="M50" s="267">
        <f t="shared" si="8"/>
        <v>0</v>
      </c>
      <c r="N50" s="268">
        <f t="shared" si="4"/>
        <v>0</v>
      </c>
      <c r="O50" s="263">
        <f t="shared" si="1"/>
        <v>0</v>
      </c>
    </row>
    <row r="51" spans="1:15">
      <c r="A51" s="98"/>
      <c r="B51" s="226" t="s">
        <v>128</v>
      </c>
      <c r="C51" s="104">
        <f>COUNTIFS(เรื่องร้องเรียน!E:E,"1",เรื่องร้องเรียน!AO:AO,"5",เรื่องร้องเรียน!AN:AN,"คลองตัน",เรื่องร้องเรียน!CN:CN,"1")</f>
        <v>0</v>
      </c>
      <c r="D51" s="101">
        <f>COUNTIFS(เรื่องร้องเรียน!E:E,"2",เรื่องร้องเรียน!AO:AO,"5",เรื่องร้องเรียน!AN:AN,"คลองตัน",เรื่องร้องเรียน!CN:CN,"1")</f>
        <v>0</v>
      </c>
      <c r="E51" s="101">
        <f>COUNTIFS(เรื่องร้องเรียน!E:E,"3",เรื่องร้องเรียน!AO:AO,"5",เรื่องร้องเรียน!AN:AN,"คลองตัน",เรื่องร้องเรียน!CN:CN,"1")</f>
        <v>0</v>
      </c>
      <c r="F51" s="101">
        <f>COUNTIFS(เรื่องร้องเรียน!E:E,"4",เรื่องร้องเรียน!AO:AO,"5",เรื่องร้องเรียน!AN:AN,"คลองตัน",เรื่องร้องเรียน!CN:CN,"1")</f>
        <v>0</v>
      </c>
      <c r="G51" s="101">
        <f>COUNTIFS(เรื่องร้องเรียน!E:E,"5",เรื่องร้องเรียน!AO:AO,"5",เรื่องร้องเรียน!AN:AN,"คลองตัน",เรื่องร้องเรียน!CN:CN,"1")</f>
        <v>0</v>
      </c>
      <c r="H51" s="235">
        <f t="shared" si="2"/>
        <v>0</v>
      </c>
      <c r="I51" s="104">
        <f>COUNTIFS(เรื่องร้องเรียน!E:E,"1",เรื่องร้องเรียน!AO:AO,"5",เรื่องร้องเรียน!AN:AN,"คลองตัน",เรื่องร้องเรียน!AQ:AQ,"1",เรื่องร้องเรียน!CN:CN,"1")</f>
        <v>0</v>
      </c>
      <c r="J51" s="101">
        <f>COUNTIFS(เรื่องร้องเรียน!E:E,"2",เรื่องร้องเรียน!AO:AO,"5",เรื่องร้องเรียน!AN:AN,"คลองตัน",เรื่องร้องเรียน!AQ:AQ,"1",เรื่องร้องเรียน!CN:CN,"1")</f>
        <v>0</v>
      </c>
      <c r="K51" s="101">
        <f>COUNTIFS(เรื่องร้องเรียน!E:E,"3",เรื่องร้องเรียน!AO:AO,"5",เรื่องร้องเรียน!AN:AN,"คลองตัน",เรื่องร้องเรียน!AQ:AQ,"1",เรื่องร้องเรียน!CN:CN,"1")</f>
        <v>0</v>
      </c>
      <c r="L51" s="101">
        <f>COUNTIFS(เรื่องร้องเรียน!E:E,"4",เรื่องร้องเรียน!AO:AO,"5",เรื่องร้องเรียน!AN:AN,"คลองตัน",เรื่องร้องเรียน!AQ:AQ,"1",เรื่องร้องเรียน!CN:CN,"1")</f>
        <v>0</v>
      </c>
      <c r="M51" s="101">
        <f>COUNTIFS(เรื่องร้องเรียน!E:E,"5",เรื่องร้องเรียน!AO:AO,"5",เรื่องร้องเรียน!AN:AN,"คลองตัน",เรื่องร้องเรียน!AQ:AQ,"1",เรื่องร้องเรียน!CN:CN,"1")</f>
        <v>0</v>
      </c>
      <c r="N51" s="235">
        <f t="shared" si="4"/>
        <v>0</v>
      </c>
      <c r="O51" s="238">
        <f t="shared" si="1"/>
        <v>0</v>
      </c>
    </row>
    <row r="52" spans="1:15">
      <c r="A52" s="107"/>
      <c r="B52" s="227" t="s">
        <v>137</v>
      </c>
      <c r="C52" s="104">
        <f>COUNTIFS(เรื่องร้องเรียน!E:E,"1",เรื่องร้องเรียน!AO:AO,"5",เรื่องร้องเรียน!AN:AN,"ทองหล่อ",เรื่องร้องเรียน!CN:CN,"1")</f>
        <v>0</v>
      </c>
      <c r="D52" s="101">
        <f>COUNTIFS(เรื่องร้องเรียน!E:E,"2",เรื่องร้องเรียน!AO:AO,"5",เรื่องร้องเรียน!AN:AN,"ทองหล่อ",เรื่องร้องเรียน!CN:CN,"1")</f>
        <v>0</v>
      </c>
      <c r="E52" s="101">
        <f>COUNTIFS(เรื่องร้องเรียน!E:E,"3",เรื่องร้องเรียน!AO:AO,"5",เรื่องร้องเรียน!AN:AN,"ทองหล่อ",เรื่องร้องเรียน!CN:CN,"1")</f>
        <v>0</v>
      </c>
      <c r="F52" s="101">
        <f>COUNTIFS(เรื่องร้องเรียน!E:E,"4",เรื่องร้องเรียน!AO:AO,"5",เรื่องร้องเรียน!AN:AN,"ทองหล่อ",เรื่องร้องเรียน!CN:CN,"1")</f>
        <v>0</v>
      </c>
      <c r="G52" s="101">
        <f>COUNTIFS(เรื่องร้องเรียน!E:E,"5",เรื่องร้องเรียน!AO:AO,"5",เรื่องร้องเรียน!AN:AN,"ทองหล่อ",เรื่องร้องเรียน!CN:CN,"1")</f>
        <v>0</v>
      </c>
      <c r="H52" s="235">
        <f t="shared" si="2"/>
        <v>0</v>
      </c>
      <c r="I52" s="104">
        <f>COUNTIFS(เรื่องร้องเรียน!E:E,"1",เรื่องร้องเรียน!AO:AO,"5",เรื่องร้องเรียน!AN:AN,"ทองหล่อ",เรื่องร้องเรียน!AQ:AQ,"1",เรื่องร้องเรียน!CN:CN,"1")</f>
        <v>0</v>
      </c>
      <c r="J52" s="101">
        <f>COUNTIFS(เรื่องร้องเรียน!E:E,"2",เรื่องร้องเรียน!AO:AO,"5",เรื่องร้องเรียน!AN:AN,"ทองหล่อ",เรื่องร้องเรียน!AQ:AQ,"1",เรื่องร้องเรียน!CN:CN,"1")</f>
        <v>0</v>
      </c>
      <c r="K52" s="101">
        <f>COUNTIFS(เรื่องร้องเรียน!E:E,"3",เรื่องร้องเรียน!AO:AO,"5",เรื่องร้องเรียน!AN:AN,"ทองหล่อ",เรื่องร้องเรียน!AQ:AQ,"1",เรื่องร้องเรียน!CN:CN,"1")</f>
        <v>0</v>
      </c>
      <c r="L52" s="101">
        <f>COUNTIFS(เรื่องร้องเรียน!E:E,"4",เรื่องร้องเรียน!AO:AO,"5",เรื่องร้องเรียน!AN:AN,"ทองหล่อ",เรื่องร้องเรียน!AQ:AQ,"1",เรื่องร้องเรียน!CN:CN,"1")</f>
        <v>0</v>
      </c>
      <c r="M52" s="101">
        <f>COUNTIFS(เรื่องร้องเรียน!E:E,"5",เรื่องร้องเรียน!AO:AO,"5",เรื่องร้องเรียน!AN:AN,"ทองหล่อ",เรื่องร้องเรียน!AQ:AQ,"1",เรื่องร้องเรียน!CN:CN,"1")</f>
        <v>0</v>
      </c>
      <c r="N52" s="241">
        <f t="shared" si="4"/>
        <v>0</v>
      </c>
      <c r="O52" s="183">
        <f t="shared" si="1"/>
        <v>0</v>
      </c>
    </row>
    <row r="53" spans="1:15">
      <c r="A53" s="107"/>
      <c r="B53" s="227" t="s">
        <v>103</v>
      </c>
      <c r="C53" s="104">
        <f>COUNTIFS(เรื่องร้องเรียน!E:E,"1",เรื่องร้องเรียน!AO:AO,"5",เรื่องร้องเรียน!AN:AN,"ท่าเรือ",เรื่องร้องเรียน!CN:CN,"1")</f>
        <v>0</v>
      </c>
      <c r="D53" s="101">
        <f>COUNTIFS(เรื่องร้องเรียน!E:E,"2",เรื่องร้องเรียน!AO:AO,"5",เรื่องร้องเรียน!AN:AN,"ท่าเรือ",เรื่องร้องเรียน!CN:CN,"1")</f>
        <v>0</v>
      </c>
      <c r="E53" s="101">
        <f>COUNTIFS(เรื่องร้องเรียน!E:E,"3",เรื่องร้องเรียน!AO:AO,"5",เรื่องร้องเรียน!AN:AN,"ท่าเรือ",เรื่องร้องเรียน!CN:CN,"1")</f>
        <v>0</v>
      </c>
      <c r="F53" s="101">
        <f>COUNTIFS(เรื่องร้องเรียน!E:E,"4",เรื่องร้องเรียน!AO:AO,"5",เรื่องร้องเรียน!AN:AN,"ท่าเรือ",เรื่องร้องเรียน!CN:CN,"1")</f>
        <v>0</v>
      </c>
      <c r="G53" s="101">
        <f>COUNTIFS(เรื่องร้องเรียน!E:E,"5",เรื่องร้องเรียน!AO:AO,"5",เรื่องร้องเรียน!AN:AN,"ท่าเรือ",เรื่องร้องเรียน!CN:CN,"1")</f>
        <v>0</v>
      </c>
      <c r="H53" s="235">
        <f t="shared" si="2"/>
        <v>0</v>
      </c>
      <c r="I53" s="104">
        <f>COUNTIFS(เรื่องร้องเรียน!E:E,"1",เรื่องร้องเรียน!AO:AO,"5",เรื่องร้องเรียน!AN:AN,"ท่าเรือ",เรื่องร้องเรียน!AQ:AQ,"1",เรื่องร้องเรียน!CN:CN,"1")</f>
        <v>0</v>
      </c>
      <c r="J53" s="101">
        <f>COUNTIFS(เรื่องร้องเรียน!E:E,"2",เรื่องร้องเรียน!AO:AO,"5",เรื่องร้องเรียน!AN:AN,"ท่าเรือ",เรื่องร้องเรียน!AQ:AQ,"1",เรื่องร้องเรียน!CN:CN,"1")</f>
        <v>0</v>
      </c>
      <c r="K53" s="101">
        <f>COUNTIFS(เรื่องร้องเรียน!E:E,"3",เรื่องร้องเรียน!AO:AO,"5",เรื่องร้องเรียน!AN:AN,"ท่าเรือ",เรื่องร้องเรียน!AQ:AQ,"1",เรื่องร้องเรียน!CN:CN,"1")</f>
        <v>0</v>
      </c>
      <c r="L53" s="101">
        <f>COUNTIFS(เรื่องร้องเรียน!E:E,"4",เรื่องร้องเรียน!AO:AO,"5",เรื่องร้องเรียน!AN:AN,"ท่าเรือ",เรื่องร้องเรียน!AQ:AQ,"1",เรื่องร้องเรียน!CN:CN,"1")</f>
        <v>0</v>
      </c>
      <c r="M53" s="101">
        <f>COUNTIFS(เรื่องร้องเรียน!E:E,"5",เรื่องร้องเรียน!AO:AO,"5",เรื่องร้องเรียน!AN:AN,"ท่าเรือ",เรื่องร้องเรียน!AQ:AQ,"1",เรื่องร้องเรียน!CN:CN,"1")</f>
        <v>0</v>
      </c>
      <c r="N53" s="241">
        <f t="shared" si="4"/>
        <v>0</v>
      </c>
      <c r="O53" s="183">
        <f t="shared" si="1"/>
        <v>0</v>
      </c>
    </row>
    <row r="54" spans="1:15">
      <c r="A54" s="107"/>
      <c r="B54" s="227" t="s">
        <v>142</v>
      </c>
      <c r="C54" s="104">
        <f>COUNTIFS(เรื่องร้องเรียน!E:E,"1",เรื่องร้องเรียน!AO:AO,"5",เรื่องร้องเรียน!AN:AN,"ทุ่งมหาเมฆ",เรื่องร้องเรียน!CN:CN,"1")</f>
        <v>0</v>
      </c>
      <c r="D54" s="101">
        <f>COUNTIFS(เรื่องร้องเรียน!E:E,"2",เรื่องร้องเรียน!AO:AO,"5",เรื่องร้องเรียน!AN:AN,"ทุ่งมหาเมฆ",เรื่องร้องเรียน!CN:CN,"1")</f>
        <v>0</v>
      </c>
      <c r="E54" s="101">
        <f>COUNTIFS(เรื่องร้องเรียน!E:E,"3",เรื่องร้องเรียน!AO:AO,"5",เรื่องร้องเรียน!AN:AN,"ทุ่งมหาเมฆ",เรื่องร้องเรียน!CN:CN,"1")</f>
        <v>0</v>
      </c>
      <c r="F54" s="101">
        <f>COUNTIFS(เรื่องร้องเรียน!E:E,"4",เรื่องร้องเรียน!AO:AO,"5",เรื่องร้องเรียน!AN:AN,"ทุ่งมหาเมฆ",เรื่องร้องเรียน!CN:CN,"1")</f>
        <v>0</v>
      </c>
      <c r="G54" s="101">
        <f>COUNTIFS(เรื่องร้องเรียน!E:E,"5",เรื่องร้องเรียน!AO:AO,"5",เรื่องร้องเรียน!AN:AN,"ทุ่งมหาเมฆ",เรื่องร้องเรียน!CN:CN,"1")</f>
        <v>0</v>
      </c>
      <c r="H54" s="235">
        <f t="shared" si="2"/>
        <v>0</v>
      </c>
      <c r="I54" s="104">
        <f>COUNTIFS(เรื่องร้องเรียน!E:E,"1",เรื่องร้องเรียน!AO:AO,"5",เรื่องร้องเรียน!AN:AN,"ทุ่งมหาเมฆ",เรื่องร้องเรียน!AQ:AQ,"1",เรื่องร้องเรียน!CN:CN,"1")</f>
        <v>0</v>
      </c>
      <c r="J54" s="101">
        <f>COUNTIFS(เรื่องร้องเรียน!E:E,"2",เรื่องร้องเรียน!AO:AO,"5",เรื่องร้องเรียน!AN:AN,"ทุ่งมหาเมฆ",เรื่องร้องเรียน!AQ:AQ,"1",เรื่องร้องเรียน!CN:CN,"1")</f>
        <v>0</v>
      </c>
      <c r="K54" s="101">
        <f>COUNTIFS(เรื่องร้องเรียน!E:E,"3",เรื่องร้องเรียน!AO:AO,"5",เรื่องร้องเรียน!AN:AN,"ทุ่งมหาเมฆ",เรื่องร้องเรียน!AQ:AQ,"1",เรื่องร้องเรียน!CN:CN,"1")</f>
        <v>0</v>
      </c>
      <c r="L54" s="101">
        <f>COUNTIFS(เรื่องร้องเรียน!E:E,"4",เรื่องร้องเรียน!AO:AO,"5",เรื่องร้องเรียน!AN:AN,"ทุ่งมหาเมฆ",เรื่องร้องเรียน!AQ:AQ,"1",เรื่องร้องเรียน!CN:CN,"1")</f>
        <v>0</v>
      </c>
      <c r="M54" s="101">
        <f>COUNTIFS(เรื่องร้องเรียน!E:E,"5",เรื่องร้องเรียน!AO:AO,"5",เรื่องร้องเรียน!AN:AN,"ทุ่งมหาเมฆ",เรื่องร้องเรียน!AQ:AQ,"1",เรื่องร้องเรียน!CN:CN,"1")</f>
        <v>0</v>
      </c>
      <c r="N54" s="241">
        <f t="shared" si="4"/>
        <v>0</v>
      </c>
      <c r="O54" s="183">
        <f t="shared" si="1"/>
        <v>0</v>
      </c>
    </row>
    <row r="55" spans="1:15">
      <c r="A55" s="107"/>
      <c r="B55" s="227" t="s">
        <v>108</v>
      </c>
      <c r="C55" s="104">
        <f>COUNTIFS(เรื่องร้องเรียน!E:E,"1",เรื่องร้องเรียน!AO:AO,"5",เรื่องร้องเรียน!AN:AN,"บางนา",เรื่องร้องเรียน!CN:CN,"1")</f>
        <v>0</v>
      </c>
      <c r="D55" s="101">
        <f>COUNTIFS(เรื่องร้องเรียน!E:E,"2",เรื่องร้องเรียน!AO:AO,"5",เรื่องร้องเรียน!AN:AN,"บางนา",เรื่องร้องเรียน!CN:CN,"1")</f>
        <v>0</v>
      </c>
      <c r="E55" s="101">
        <f>COUNTIFS(เรื่องร้องเรียน!E:E,"3",เรื่องร้องเรียน!AO:AO,"5",เรื่องร้องเรียน!AN:AN,"บางนา",เรื่องร้องเรียน!CN:CN,"1")</f>
        <v>0</v>
      </c>
      <c r="F55" s="101">
        <f>COUNTIFS(เรื่องร้องเรียน!E:E,"4",เรื่องร้องเรียน!AO:AO,"5",เรื่องร้องเรียน!AN:AN,"บางนา",เรื่องร้องเรียน!CN:CN,"1")</f>
        <v>0</v>
      </c>
      <c r="G55" s="101">
        <f>COUNTIFS(เรื่องร้องเรียน!E:E,"5",เรื่องร้องเรียน!AO:AO,"5",เรื่องร้องเรียน!AN:AN,"บางนา",เรื่องร้องเรียน!CN:CN,"1")</f>
        <v>0</v>
      </c>
      <c r="H55" s="235">
        <f t="shared" si="2"/>
        <v>0</v>
      </c>
      <c r="I55" s="104">
        <f>COUNTIFS(เรื่องร้องเรียน!E:E,"1",เรื่องร้องเรียน!AO:AO,"5",เรื่องร้องเรียน!AN:AN,"บางนา",เรื่องร้องเรียน!AQ:AQ,"1",เรื่องร้องเรียน!CN:CN,"1")</f>
        <v>0</v>
      </c>
      <c r="J55" s="101">
        <f>COUNTIFS(เรื่องร้องเรียน!E:E,"2",เรื่องร้องเรียน!AO:AO,"5",เรื่องร้องเรียน!AN:AN,"บางนา",เรื่องร้องเรียน!AQ:AQ,"1",เรื่องร้องเรียน!CN:CN,"1")</f>
        <v>0</v>
      </c>
      <c r="K55" s="101">
        <f>COUNTIFS(เรื่องร้องเรียน!E:E,"3",เรื่องร้องเรียน!AO:AO,"5",เรื่องร้องเรียน!AN:AN,"บางนา",เรื่องร้องเรียน!AQ:AQ,"1",เรื่องร้องเรียน!CN:CN,"1")</f>
        <v>0</v>
      </c>
      <c r="L55" s="101">
        <f>COUNTIFS(เรื่องร้องเรียน!E:E,"4",เรื่องร้องเรียน!AO:AO,"5",เรื่องร้องเรียน!AN:AN,"บางนา",เรื่องร้องเรียน!AQ:AQ,"1",เรื่องร้องเรียน!CN:CN,"1")</f>
        <v>0</v>
      </c>
      <c r="M55" s="101">
        <f>COUNTIFS(เรื่องร้องเรียน!E:E,"5",เรื่องร้องเรียน!AO:AO,"5",เรื่องร้องเรียน!AN:AN,"บางนา",เรื่องร้องเรียน!AQ:AQ,"1",เรื่องร้องเรียน!CN:CN,"1")</f>
        <v>0</v>
      </c>
      <c r="N55" s="241">
        <f t="shared" si="4"/>
        <v>0</v>
      </c>
      <c r="O55" s="183">
        <f t="shared" si="1"/>
        <v>0</v>
      </c>
    </row>
    <row r="56" spans="1:15">
      <c r="A56" s="107"/>
      <c r="B56" s="227" t="s">
        <v>180</v>
      </c>
      <c r="C56" s="104">
        <f>COUNTIFS(เรื่องร้องเรียน!E:E,"1",เรื่องร้องเรียน!AO:AO,"5",เรื่องร้องเรียน!AN:AN,"บางโพงพาง",เรื่องร้องเรียน!CN:CN,"1")</f>
        <v>0</v>
      </c>
      <c r="D56" s="101">
        <f>COUNTIFS(เรื่องร้องเรียน!E:E,"2",เรื่องร้องเรียน!AO:AO,"5",เรื่องร้องเรียน!AN:AN,"บางโพงพาง",เรื่องร้องเรียน!CN:CN,"1")</f>
        <v>0</v>
      </c>
      <c r="E56" s="101">
        <f>COUNTIFS(เรื่องร้องเรียน!E:E,"3",เรื่องร้องเรียน!AO:AO,"5",เรื่องร้องเรียน!AN:AN,"บางโพงพาง",เรื่องร้องเรียน!CN:CN,"1")</f>
        <v>0</v>
      </c>
      <c r="F56" s="101">
        <f>COUNTIFS(เรื่องร้องเรียน!E:E,"4",เรื่องร้องเรียน!AO:AO,"5",เรื่องร้องเรียน!AN:AN,"บางโพงพาง",เรื่องร้องเรียน!CN:CN,"1")</f>
        <v>0</v>
      </c>
      <c r="G56" s="101">
        <f>COUNTIFS(เรื่องร้องเรียน!E:E,"5",เรื่องร้องเรียน!AO:AO,"5",เรื่องร้องเรียน!AN:AN,"บางโพงพาง",เรื่องร้องเรียน!CN:CN,"1")</f>
        <v>0</v>
      </c>
      <c r="H56" s="235">
        <f t="shared" si="2"/>
        <v>0</v>
      </c>
      <c r="I56" s="104">
        <f>COUNTIFS(เรื่องร้องเรียน!E:E,"1",เรื่องร้องเรียน!AO:AO,"5",เรื่องร้องเรียน!AN:AN,"บางโพงพาง",เรื่องร้องเรียน!AQ:AQ,"1",เรื่องร้องเรียน!CN:CN,"1")</f>
        <v>0</v>
      </c>
      <c r="J56" s="101">
        <f>COUNTIFS(เรื่องร้องเรียน!E:E,"2",เรื่องร้องเรียน!AO:AO,"5",เรื่องร้องเรียน!AN:AN,"บางโพงพาง",เรื่องร้องเรียน!AQ:AQ,"1",เรื่องร้องเรียน!CN:CN,"1")</f>
        <v>0</v>
      </c>
      <c r="K56" s="101">
        <f>COUNTIFS(เรื่องร้องเรียน!E:E,"3",เรื่องร้องเรียน!AO:AO,"5",เรื่องร้องเรียน!AN:AN,"บางโพงพาง",เรื่องร้องเรียน!AQ:AQ,"1",เรื่องร้องเรียน!CN:CN,"1")</f>
        <v>0</v>
      </c>
      <c r="L56" s="101">
        <f>COUNTIFS(เรื่องร้องเรียน!E:E,"4",เรื่องร้องเรียน!AO:AO,"5",เรื่องร้องเรียน!AN:AN,"บางโพงพาง",เรื่องร้องเรียน!AQ:AQ,"1",เรื่องร้องเรียน!CN:CN,"1")</f>
        <v>0</v>
      </c>
      <c r="M56" s="101">
        <f>COUNTIFS(เรื่องร้องเรียน!E:E,"5",เรื่องร้องเรียน!AO:AO,"5",เรื่องร้องเรียน!AN:AN,"บางโพงพาง",เรื่องร้องเรียน!AQ:AQ,"1",เรื่องร้องเรียน!CN:CN,"1")</f>
        <v>0</v>
      </c>
      <c r="N56" s="241">
        <f t="shared" si="4"/>
        <v>0</v>
      </c>
      <c r="O56" s="183">
        <f t="shared" si="1"/>
        <v>0</v>
      </c>
    </row>
    <row r="57" spans="1:15">
      <c r="A57" s="107"/>
      <c r="B57" s="227" t="s">
        <v>115</v>
      </c>
      <c r="C57" s="104">
        <f>COUNTIFS(เรื่องร้องเรียน!E:E,"1",เรื่องร้องเรียน!AO:AO,"5",เรื่องร้องเรียน!AN:AN,"พระโขนง",เรื่องร้องเรียน!CN:CN,"1")</f>
        <v>0</v>
      </c>
      <c r="D57" s="101">
        <f>COUNTIFS(เรื่องร้องเรียน!E:E,"2",เรื่องร้องเรียน!AO:AO,"5",เรื่องร้องเรียน!AN:AN,"พระโขนง",เรื่องร้องเรียน!CN:CN,"1")</f>
        <v>0</v>
      </c>
      <c r="E57" s="101">
        <f>COUNTIFS(เรื่องร้องเรียน!E:E,"3",เรื่องร้องเรียน!AO:AO,"5",เรื่องร้องเรียน!AN:AN,"พระโขนง",เรื่องร้องเรียน!CN:CN,"1")</f>
        <v>0</v>
      </c>
      <c r="F57" s="101">
        <f>COUNTIFS(เรื่องร้องเรียน!E:E,"4",เรื่องร้องเรียน!AO:AO,"5",เรื่องร้องเรียน!AN:AN,"พระโขนง",เรื่องร้องเรียน!CN:CN,"1")</f>
        <v>0</v>
      </c>
      <c r="G57" s="101">
        <f>COUNTIFS(เรื่องร้องเรียน!E:E,"5",เรื่องร้องเรียน!AO:AO,"5",เรื่องร้องเรียน!AN:AN,"พระโขนง",เรื่องร้องเรียน!CN:CN,"1")</f>
        <v>0</v>
      </c>
      <c r="H57" s="235">
        <f t="shared" si="2"/>
        <v>0</v>
      </c>
      <c r="I57" s="104">
        <f>COUNTIFS(เรื่องร้องเรียน!E:E,"1",เรื่องร้องเรียน!AO:AO,"5",เรื่องร้องเรียน!AN:AN,"พระโขนง",เรื่องร้องเรียน!AQ:AQ,"1",เรื่องร้องเรียน!CN:CN,"1")</f>
        <v>0</v>
      </c>
      <c r="J57" s="101">
        <f>COUNTIFS(เรื่องร้องเรียน!E:E,"2",เรื่องร้องเรียน!AO:AO,"5",เรื่องร้องเรียน!AN:AN,"พระโขนง",เรื่องร้องเรียน!AQ:AQ,"1",เรื่องร้องเรียน!CN:CN,"1")</f>
        <v>0</v>
      </c>
      <c r="K57" s="101">
        <f>COUNTIFS(เรื่องร้องเรียน!E:E,"3",เรื่องร้องเรียน!AO:AO,"5",เรื่องร้องเรียน!AN:AN,"พระโขนง",เรื่องร้องเรียน!AQ:AQ,"1",เรื่องร้องเรียน!CN:CN,"1")</f>
        <v>0</v>
      </c>
      <c r="L57" s="101">
        <f>COUNTIFS(เรื่องร้องเรียน!E:E,"4",เรื่องร้องเรียน!AO:AO,"5",เรื่องร้องเรียน!AN:AN,"พระโขนง",เรื่องร้องเรียน!AQ:AQ,"1",เรื่องร้องเรียน!CN:CN,"1")</f>
        <v>0</v>
      </c>
      <c r="M57" s="101">
        <f>COUNTIFS(เรื่องร้องเรียน!E:E,"5",เรื่องร้องเรียน!AO:AO,"5",เรื่องร้องเรียน!AN:AN,"พระโขนง",เรื่องร้องเรียน!AQ:AQ,"1",เรื่องร้องเรียน!CN:CN,"1")</f>
        <v>0</v>
      </c>
      <c r="N57" s="241">
        <f t="shared" si="4"/>
        <v>0</v>
      </c>
      <c r="O57" s="183">
        <f t="shared" si="1"/>
        <v>0</v>
      </c>
    </row>
    <row r="58" spans="1:15">
      <c r="A58" s="107"/>
      <c r="B58" s="227" t="s">
        <v>98</v>
      </c>
      <c r="C58" s="104">
        <f>COUNTIFS(เรื่องร้องเรียน!E:E,"1",เรื่องร้องเรียน!AO:AO,"5",เรื่องร้องเรียน!AN:AN,"ลุมพินี",เรื่องร้องเรียน!CN:CN,"1")</f>
        <v>0</v>
      </c>
      <c r="D58" s="101">
        <f>COUNTIFS(เรื่องร้องเรียน!E:E,"2",เรื่องร้องเรียน!AO:AO,"5",เรื่องร้องเรียน!AN:AN,"ลุมพินี",เรื่องร้องเรียน!CN:CN,"1")</f>
        <v>0</v>
      </c>
      <c r="E58" s="101">
        <f>COUNTIFS(เรื่องร้องเรียน!E:E,"3",เรื่องร้องเรียน!AO:AO,"5",เรื่องร้องเรียน!AN:AN,"ลุมพินี",เรื่องร้องเรียน!CN:CN,"1")</f>
        <v>0</v>
      </c>
      <c r="F58" s="101">
        <f>COUNTIFS(เรื่องร้องเรียน!E:E,"4",เรื่องร้องเรียน!AO:AO,"5",เรื่องร้องเรียน!AN:AN,"ลุมพินี",เรื่องร้องเรียน!CN:CN,"1")</f>
        <v>0</v>
      </c>
      <c r="G58" s="101">
        <f>COUNTIFS(เรื่องร้องเรียน!E:E,"5",เรื่องร้องเรียน!AO:AO,"5",เรื่องร้องเรียน!AN:AN,"ลุมพินี",เรื่องร้องเรียน!CN:CN,"1")</f>
        <v>0</v>
      </c>
      <c r="H58" s="235">
        <f t="shared" si="2"/>
        <v>0</v>
      </c>
      <c r="I58" s="104">
        <f>COUNTIFS(เรื่องร้องเรียน!E:E,"1",เรื่องร้องเรียน!AO:AO,"5",เรื่องร้องเรียน!AN:AN,"ลุมพินี",เรื่องร้องเรียน!AQ:AQ,"1",เรื่องร้องเรียน!CN:CN,"1")</f>
        <v>0</v>
      </c>
      <c r="J58" s="101">
        <f>COUNTIFS(เรื่องร้องเรียน!E:E,"2",เรื่องร้องเรียน!AO:AO,"5",เรื่องร้องเรียน!AN:AN,"ลุมพินี",เรื่องร้องเรียน!AQ:AQ,"1",เรื่องร้องเรียน!CN:CN,"1")</f>
        <v>0</v>
      </c>
      <c r="K58" s="101">
        <f>COUNTIFS(เรื่องร้องเรียน!E:E,"3",เรื่องร้องเรียน!AO:AO,"5",เรื่องร้องเรียน!AN:AN,"ลุมพินี",เรื่องร้องเรียน!AQ:AQ,"1",เรื่องร้องเรียน!CN:CN,"1")</f>
        <v>0</v>
      </c>
      <c r="L58" s="101">
        <f>COUNTIFS(เรื่องร้องเรียน!E:E,"4",เรื่องร้องเรียน!AO:AO,"5",เรื่องร้องเรียน!AN:AN,"ลุมพินี",เรื่องร้องเรียน!AQ:AQ,"1",เรื่องร้องเรียน!CN:CN,"1")</f>
        <v>0</v>
      </c>
      <c r="M58" s="101">
        <f>COUNTIFS(เรื่องร้องเรียน!E:E,"5",เรื่องร้องเรียน!AO:AO,"5",เรื่องร้องเรียน!AN:AN,"ลุมพินี",เรื่องร้องเรียน!AQ:AQ,"1",เรื่องร้องเรียน!CN:CN,"1")</f>
        <v>0</v>
      </c>
      <c r="N58" s="241">
        <f t="shared" si="4"/>
        <v>0</v>
      </c>
      <c r="O58" s="183">
        <f t="shared" si="1"/>
        <v>0</v>
      </c>
    </row>
    <row r="59" spans="1:15" ht="21.6" thickBot="1">
      <c r="A59" s="111"/>
      <c r="B59" s="228" t="s">
        <v>104</v>
      </c>
      <c r="C59" s="116">
        <f>COUNTIFS(เรื่องร้องเรียน!E:E,"1",เรื่องร้องเรียน!AO:AO,"5",เรื่องร้องเรียน!AN:AN,"วัดพระยาไกร",เรื่องร้องเรียน!CN:CN,"1")</f>
        <v>0</v>
      </c>
      <c r="D59" s="114">
        <f>COUNTIFS(เรื่องร้องเรียน!E:E,"2",เรื่องร้องเรียน!AO:AO,"5",เรื่องร้องเรียน!AN:AN,"วัดพระยาไกร",เรื่องร้องเรียน!CN:CN,"1")</f>
        <v>0</v>
      </c>
      <c r="E59" s="114">
        <f>COUNTIFS(เรื่องร้องเรียน!E:E,"3",เรื่องร้องเรียน!AO:AO,"5",เรื่องร้องเรียน!AN:AN,"วัดพระยาไกร",เรื่องร้องเรียน!CN:CN,"1")</f>
        <v>0</v>
      </c>
      <c r="F59" s="114">
        <f>COUNTIFS(เรื่องร้องเรียน!E:E,"4",เรื่องร้องเรียน!AO:AO,"5",เรื่องร้องเรียน!AN:AN,"วัดพระยาไกร",เรื่องร้องเรียน!CN:CN,"1")</f>
        <v>0</v>
      </c>
      <c r="G59" s="101">
        <f>COUNTIFS(เรื่องร้องเรียน!E:E,"5",เรื่องร้องเรียน!AO:AO,"5",เรื่องร้องเรียน!AN:AN,"วัดพระยาไกร",เรื่องร้องเรียน!CN:CN,"1")</f>
        <v>0</v>
      </c>
      <c r="H59" s="235">
        <f t="shared" si="2"/>
        <v>0</v>
      </c>
      <c r="I59" s="116">
        <f>COUNTIFS(เรื่องร้องเรียน!E:E,"1",เรื่องร้องเรียน!AO:AO,"5",เรื่องร้องเรียน!AN:AN,"วัดพระยาไกร",เรื่องร้องเรียน!AQ:AQ,"1",เรื่องร้องเรียน!CN:CN,"1")</f>
        <v>0</v>
      </c>
      <c r="J59" s="114">
        <f>COUNTIFS(เรื่องร้องเรียน!E:E,"2",เรื่องร้องเรียน!AO:AO,"5",เรื่องร้องเรียน!AN:AN,"วัดพระยาไกร",เรื่องร้องเรียน!AQ:AQ,"1",เรื่องร้องเรียน!CN:CN,"1")</f>
        <v>0</v>
      </c>
      <c r="K59" s="114">
        <f>COUNTIFS(เรื่องร้องเรียน!E:E,"3",เรื่องร้องเรียน!AO:AO,"5",เรื่องร้องเรียน!AN:AN,"วัดพระยาไกร",เรื่องร้องเรียน!AQ:AQ,"1",เรื่องร้องเรียน!CN:CN,"1")</f>
        <v>0</v>
      </c>
      <c r="L59" s="114">
        <f>COUNTIFS(เรื่องร้องเรียน!E:E,"4",เรื่องร้องเรียน!AO:AO,"5",เรื่องร้องเรียน!AN:AN,"วัดพระยาไกร",เรื่องร้องเรียน!AQ:AQ,"1",เรื่องร้องเรียน!CN:CN,"1")</f>
        <v>0</v>
      </c>
      <c r="M59" s="101">
        <f>COUNTIFS(เรื่องร้องเรียน!E:E,"5",เรื่องร้องเรียน!AO:AO,"5",เรื่องร้องเรียน!AN:AN,"วัดพระยาไกร",เรื่องร้องเรียน!AQ:AQ,"1",เรื่องร้องเรียน!CN:CN,"1")</f>
        <v>0</v>
      </c>
      <c r="N59" s="236">
        <f t="shared" si="4"/>
        <v>0</v>
      </c>
      <c r="O59" s="190">
        <f t="shared" si="1"/>
        <v>0</v>
      </c>
    </row>
    <row r="60" spans="1:15" ht="21.6" thickBot="1">
      <c r="A60" s="264">
        <v>6</v>
      </c>
      <c r="B60" s="276"/>
      <c r="C60" s="266">
        <f>SUM(C61:C68)</f>
        <v>0</v>
      </c>
      <c r="D60" s="267">
        <f t="shared" ref="D60:M60" si="9">SUM(D61:D68)</f>
        <v>0</v>
      </c>
      <c r="E60" s="267">
        <f t="shared" si="9"/>
        <v>0</v>
      </c>
      <c r="F60" s="267">
        <f t="shared" si="9"/>
        <v>0</v>
      </c>
      <c r="G60" s="267">
        <f t="shared" si="9"/>
        <v>0</v>
      </c>
      <c r="H60" s="268">
        <f t="shared" si="2"/>
        <v>0</v>
      </c>
      <c r="I60" s="266">
        <f t="shared" si="9"/>
        <v>0</v>
      </c>
      <c r="J60" s="267">
        <f t="shared" si="9"/>
        <v>0</v>
      </c>
      <c r="K60" s="267">
        <f t="shared" si="9"/>
        <v>0</v>
      </c>
      <c r="L60" s="267">
        <f t="shared" si="9"/>
        <v>0</v>
      </c>
      <c r="M60" s="267">
        <f t="shared" si="9"/>
        <v>0</v>
      </c>
      <c r="N60" s="268">
        <f t="shared" si="4"/>
        <v>0</v>
      </c>
      <c r="O60" s="263">
        <f t="shared" si="1"/>
        <v>0</v>
      </c>
    </row>
    <row r="61" spans="1:15">
      <c r="A61" s="98"/>
      <c r="B61" s="226" t="s">
        <v>181</v>
      </c>
      <c r="C61" s="104">
        <f>COUNTIFS(เรื่องร้องเรียน!E:E,"1",เรื่องร้องเรียน!AO:AO,"6",เรื่องร้องเรียน!AN:AN,"จักรวรรดิ",เรื่องร้องเรียน!CN:CN,"1")</f>
        <v>0</v>
      </c>
      <c r="D61" s="101">
        <f>COUNTIFS(เรื่องร้องเรียน!E:E,"2",เรื่องร้องเรียน!AO:AO,"6",เรื่องร้องเรียน!AN:AN,"จักรวรรดิ",เรื่องร้องเรียน!CN:CN,"1")</f>
        <v>0</v>
      </c>
      <c r="E61" s="101">
        <f>COUNTIFS(เรื่องร้องเรียน!E:E,"3",เรื่องร้องเรียน!AO:AO,"6",เรื่องร้องเรียน!AN:AN,"จักรวรรดิ",เรื่องร้องเรียน!CN:CN,"1")</f>
        <v>0</v>
      </c>
      <c r="F61" s="101">
        <f>COUNTIFS(เรื่องร้องเรียน!E:E,"4",เรื่องร้องเรียน!AO:AO,"6",เรื่องร้องเรียน!AN:AN,"จักรวรรดิ",เรื่องร้องเรียน!CN:CN,"1")</f>
        <v>0</v>
      </c>
      <c r="G61" s="101">
        <f>COUNTIFS(เรื่องร้องเรียน!E:E,"5",เรื่องร้องเรียน!AO:AO,"6",เรื่องร้องเรียน!AN:AN,"จักรวรรดิ",เรื่องร้องเรียน!CN:CN,"1")</f>
        <v>0</v>
      </c>
      <c r="H61" s="235">
        <f t="shared" si="2"/>
        <v>0</v>
      </c>
      <c r="I61" s="104">
        <f>COUNTIFS(เรื่องร้องเรียน!E:E,"1",เรื่องร้องเรียน!AO:AO,"6",เรื่องร้องเรียน!AN:AN,"จักรวรรดิ",เรื่องร้องเรียน!AQ:AQ,"1",เรื่องร้องเรียน!CN:CN,"1")</f>
        <v>0</v>
      </c>
      <c r="J61" s="101">
        <f>COUNTIFS(เรื่องร้องเรียน!E:E,"2",เรื่องร้องเรียน!AO:AO,"6",เรื่องร้องเรียน!AN:AN,"จักรวรรดิ",เรื่องร้องเรียน!AQ:AQ,"1",เรื่องร้องเรียน!CN:CN,"1")</f>
        <v>0</v>
      </c>
      <c r="K61" s="101">
        <f>COUNTIFS(เรื่องร้องเรียน!E:E,"3",เรื่องร้องเรียน!AO:AO,"6",เรื่องร้องเรียน!AN:AN,"จักรวรรดิ",เรื่องร้องเรียน!AQ:AQ,"1",เรื่องร้องเรียน!CN:CN,"1")</f>
        <v>0</v>
      </c>
      <c r="L61" s="101">
        <f>COUNTIFS(เรื่องร้องเรียน!E:E,"4",เรื่องร้องเรียน!AO:AO,"6",เรื่องร้องเรียน!AN:AN,"จักรวรรดิ",เรื่องร้องเรียน!AQ:AQ,"1",เรื่องร้องเรียน!CN:CN,"1")</f>
        <v>0</v>
      </c>
      <c r="M61" s="101">
        <f>COUNTIFS(เรื่องร้องเรียน!E:E,"5",เรื่องร้องเรียน!AO:AO,"6",เรื่องร้องเรียน!AN:AN,"จักรวรรดิ",เรื่องร้องเรียน!AQ:AQ,"1",เรื่องร้องเรียน!CN:CN,"1")</f>
        <v>0</v>
      </c>
      <c r="N61" s="235">
        <f t="shared" si="4"/>
        <v>0</v>
      </c>
      <c r="O61" s="238">
        <f t="shared" si="1"/>
        <v>0</v>
      </c>
    </row>
    <row r="62" spans="1:15">
      <c r="A62" s="107"/>
      <c r="B62" s="227" t="s">
        <v>125</v>
      </c>
      <c r="C62" s="104">
        <f>COUNTIFS(เรื่องร้องเรียน!E:E,"1",เรื่องร้องเรียน!AO:AO,"6",เรื่องร้องเรียน!AN:AN,"บางรัก",เรื่องร้องเรียน!CN:CN,"1")</f>
        <v>0</v>
      </c>
      <c r="D62" s="101">
        <f>COUNTIFS(เรื่องร้องเรียน!E:E,"2",เรื่องร้องเรียน!AO:AO,"6",เรื่องร้องเรียน!AN:AN,"บางรัก",เรื่องร้องเรียน!CN:CN,"1")</f>
        <v>0</v>
      </c>
      <c r="E62" s="101">
        <f>COUNTIFS(เรื่องร้องเรียน!E:E,"3",เรื่องร้องเรียน!AO:AO,"6",เรื่องร้องเรียน!AN:AN,"บางรัก",เรื่องร้องเรียน!CN:CN,"1")</f>
        <v>0</v>
      </c>
      <c r="F62" s="101">
        <f>COUNTIFS(เรื่องร้องเรียน!E:E,"4",เรื่องร้องเรียน!AO:AO,"6",เรื่องร้องเรียน!AN:AN,"บางรัก",เรื่องร้องเรียน!CN:CN,"1")</f>
        <v>0</v>
      </c>
      <c r="G62" s="101">
        <f>COUNTIFS(เรื่องร้องเรียน!E:E,"5",เรื่องร้องเรียน!AO:AO,"6",เรื่องร้องเรียน!AN:AN,"บางรัก",เรื่องร้องเรียน!CN:CN,"1")</f>
        <v>0</v>
      </c>
      <c r="H62" s="235">
        <f t="shared" si="2"/>
        <v>0</v>
      </c>
      <c r="I62" s="104">
        <f>COUNTIFS(เรื่องร้องเรียน!E:E,"1",เรื่องร้องเรียน!AO:AO,"6",เรื่องร้องเรียน!AN:AN,"บางรัก",เรื่องร้องเรียน!AQ:AQ,"1",เรื่องร้องเรียน!CN:CN,"1")</f>
        <v>0</v>
      </c>
      <c r="J62" s="101">
        <f>COUNTIFS(เรื่องร้องเรียน!E:E,"2",เรื่องร้องเรียน!AO:AO,"6",เรื่องร้องเรียน!AN:AN,"บางรัก",เรื่องร้องเรียน!AQ:AQ,"1",เรื่องร้องเรียน!CN:CN,"1")</f>
        <v>0</v>
      </c>
      <c r="K62" s="101">
        <f>COUNTIFS(เรื่องร้องเรียน!E:E,"3",เรื่องร้องเรียน!AO:AO,"6",เรื่องร้องเรียน!AN:AN,"บางรัก",เรื่องร้องเรียน!AQ:AQ,"1",เรื่องร้องเรียน!CN:CN,"1")</f>
        <v>0</v>
      </c>
      <c r="L62" s="101">
        <f>COUNTIFS(เรื่องร้องเรียน!E:E,"4",เรื่องร้องเรียน!AO:AO,"6",เรื่องร้องเรียน!AN:AN,"บางรัก",เรื่องร้องเรียน!AQ:AQ,"1",เรื่องร้องเรียน!CN:CN,"1")</f>
        <v>0</v>
      </c>
      <c r="M62" s="101">
        <f>COUNTIFS(เรื่องร้องเรียน!E:E,"5",เรื่องร้องเรียน!AO:AO,"6",เรื่องร้องเรียน!AN:AN,"บางรัก",เรื่องร้องเรียน!AQ:AQ,"1",เรื่องร้องเรียน!CN:CN,"1")</f>
        <v>0</v>
      </c>
      <c r="N62" s="241">
        <f t="shared" si="4"/>
        <v>0</v>
      </c>
      <c r="O62" s="183">
        <f t="shared" si="1"/>
        <v>0</v>
      </c>
    </row>
    <row r="63" spans="1:15">
      <c r="A63" s="107"/>
      <c r="B63" s="227" t="s">
        <v>182</v>
      </c>
      <c r="C63" s="104">
        <f>COUNTIFS(เรื่องร้องเรียน!E:E,"1",เรื่องร้องเรียน!AO:AO,"6",เรื่องร้องเรียน!AN:AN,"ปทุมวัน",เรื่องร้องเรียน!CN:CN,"1")</f>
        <v>0</v>
      </c>
      <c r="D63" s="101">
        <f>COUNTIFS(เรื่องร้องเรียน!E:E,"2",เรื่องร้องเรียน!AO:AO,"6",เรื่องร้องเรียน!AN:AN,"ปทุมวัน",เรื่องร้องเรียน!CN:CN,"1")</f>
        <v>0</v>
      </c>
      <c r="E63" s="101">
        <f>COUNTIFS(เรื่องร้องเรียน!E:E,"3",เรื่องร้องเรียน!AO:AO,"6",เรื่องร้องเรียน!AN:AN,"ปทุมวัน",เรื่องร้องเรียน!CN:CN,"1")</f>
        <v>0</v>
      </c>
      <c r="F63" s="101">
        <f>COUNTIFS(เรื่องร้องเรียน!E:E,"4",เรื่องร้องเรียน!AO:AO,"6",เรื่องร้องเรียน!AN:AN,"ปทุมวัน",เรื่องร้องเรียน!CN:CN,"1")</f>
        <v>0</v>
      </c>
      <c r="G63" s="101">
        <f>COUNTIFS(เรื่องร้องเรียน!E:E,"5",เรื่องร้องเรียน!AO:AO,"6",เรื่องร้องเรียน!AN:AN,"ปทุมวัน",เรื่องร้องเรียน!CN:CN,"1")</f>
        <v>0</v>
      </c>
      <c r="H63" s="235">
        <f t="shared" si="2"/>
        <v>0</v>
      </c>
      <c r="I63" s="104">
        <f>COUNTIFS(เรื่องร้องเรียน!E:E,"1",เรื่องร้องเรียน!AO:AO,"6",เรื่องร้องเรียน!AN:AN,"ปทุมวัน",เรื่องร้องเรียน!AQ:AQ,"1",เรื่องร้องเรียน!CN:CN,"1")</f>
        <v>0</v>
      </c>
      <c r="J63" s="101">
        <f>COUNTIFS(เรื่องร้องเรียน!E:E,"2",เรื่องร้องเรียน!AO:AO,"6",เรื่องร้องเรียน!AN:AN,"ปทุมวัน",เรื่องร้องเรียน!AQ:AQ,"1",เรื่องร้องเรียน!CN:CN,"1")</f>
        <v>0</v>
      </c>
      <c r="K63" s="101">
        <f>COUNTIFS(เรื่องร้องเรียน!E:E,"3",เรื่องร้องเรียน!AO:AO,"6",เรื่องร้องเรียน!AN:AN,"ปทุมวัน",เรื่องร้องเรียน!AQ:AQ,"1",เรื่องร้องเรียน!CN:CN,"1")</f>
        <v>0</v>
      </c>
      <c r="L63" s="101">
        <f>COUNTIFS(เรื่องร้องเรียน!E:E,"4",เรื่องร้องเรียน!AO:AO,"6",เรื่องร้องเรียน!AN:AN,"ปทุมวัน",เรื่องร้องเรียน!AQ:AQ,"1",เรื่องร้องเรียน!CN:CN,"1")</f>
        <v>0</v>
      </c>
      <c r="M63" s="101">
        <f>COUNTIFS(เรื่องร้องเรียน!E:E,"5",เรื่องร้องเรียน!AO:AO,"6",เรื่องร้องเรียน!AN:AN,"ปทุมวัน",เรื่องร้องเรียน!AQ:AQ,"1",เรื่องร้องเรียน!CN:CN,"1")</f>
        <v>0</v>
      </c>
      <c r="N63" s="241">
        <f t="shared" si="4"/>
        <v>0</v>
      </c>
      <c r="O63" s="183">
        <f t="shared" si="1"/>
        <v>0</v>
      </c>
    </row>
    <row r="64" spans="1:15">
      <c r="A64" s="107"/>
      <c r="B64" s="227" t="s">
        <v>183</v>
      </c>
      <c r="C64" s="104">
        <f>COUNTIFS(เรื่องร้องเรียน!E:E,"1",เรื่องร้องเรียน!AO:AO,"6",เรื่องร้องเรียน!AN:AN,"พระราชวัง",เรื่องร้องเรียน!CN:CN,"1")</f>
        <v>0</v>
      </c>
      <c r="D64" s="101">
        <f>COUNTIFS(เรื่องร้องเรียน!E:E,"2",เรื่องร้องเรียน!AO:AO,"6",เรื่องร้องเรียน!AN:AN,"พระราชวัง",เรื่องร้องเรียน!CN:CN,"1")</f>
        <v>0</v>
      </c>
      <c r="E64" s="101">
        <f>COUNTIFS(เรื่องร้องเรียน!E:E,"3",เรื่องร้องเรียน!AO:AO,"6",เรื่องร้องเรียน!AN:AN,"พระราชวัง",เรื่องร้องเรียน!CN:CN,"1")</f>
        <v>0</v>
      </c>
      <c r="F64" s="101">
        <f>COUNTIFS(เรื่องร้องเรียน!E:E,"4",เรื่องร้องเรียน!AO:AO,"6",เรื่องร้องเรียน!AN:AN,"พระราชวัง",เรื่องร้องเรียน!CN:CN,"1")</f>
        <v>0</v>
      </c>
      <c r="G64" s="101">
        <f>COUNTIFS(เรื่องร้องเรียน!E:E,"5",เรื่องร้องเรียน!AO:AO,"6",เรื่องร้องเรียน!AN:AN,"พระราชวัง",เรื่องร้องเรียน!CN:CN,"1")</f>
        <v>0</v>
      </c>
      <c r="H64" s="235">
        <f t="shared" si="2"/>
        <v>0</v>
      </c>
      <c r="I64" s="104">
        <f>COUNTIFS(เรื่องร้องเรียน!E:E,"1",เรื่องร้องเรียน!AO:AO,"6",เรื่องร้องเรียน!AN:AN,"พระราชวัง",เรื่องร้องเรียน!AQ:AQ,"1",เรื่องร้องเรียน!CN:CN,"1")</f>
        <v>0</v>
      </c>
      <c r="J64" s="101">
        <f>COUNTIFS(เรื่องร้องเรียน!E:E,"2",เรื่องร้องเรียน!AO:AO,"6",เรื่องร้องเรียน!AN:AN,"พระราชวัง",เรื่องร้องเรียน!AQ:AQ,"1",เรื่องร้องเรียน!CN:CN,"1")</f>
        <v>0</v>
      </c>
      <c r="K64" s="101">
        <f>COUNTIFS(เรื่องร้องเรียน!E:E,"3",เรื่องร้องเรียน!AO:AO,"6",เรื่องร้องเรียน!AN:AN,"พระราชวัง",เรื่องร้องเรียน!AQ:AQ,"1",เรื่องร้องเรียน!CN:CN,"1")</f>
        <v>0</v>
      </c>
      <c r="L64" s="101">
        <f>COUNTIFS(เรื่องร้องเรียน!E:E,"4",เรื่องร้องเรียน!AO:AO,"6",เรื่องร้องเรียน!AN:AN,"พระราชวัง",เรื่องร้องเรียน!AQ:AQ,"1",เรื่องร้องเรียน!CN:CN,"1")</f>
        <v>0</v>
      </c>
      <c r="M64" s="101">
        <f>COUNTIFS(เรื่องร้องเรียน!E:E,"5",เรื่องร้องเรียน!AO:AO,"6",เรื่องร้องเรียน!AN:AN,"พระราชวัง",เรื่องร้องเรียน!AQ:AQ,"1",เรื่องร้องเรียน!CN:CN,"1")</f>
        <v>0</v>
      </c>
      <c r="N64" s="241">
        <f t="shared" si="4"/>
        <v>0</v>
      </c>
      <c r="O64" s="183">
        <f t="shared" si="1"/>
        <v>0</v>
      </c>
    </row>
    <row r="65" spans="1:15">
      <c r="A65" s="107"/>
      <c r="B65" s="227" t="s">
        <v>130</v>
      </c>
      <c r="C65" s="104">
        <f>COUNTIFS(เรื่องร้องเรียน!E:E,"1",เรื่องร้องเรียน!AO:AO,"6",เรื่องร้องเรียน!AN:AN,"พลับพลาไชย 1",เรื่องร้องเรียน!CN:CN,"1")</f>
        <v>0</v>
      </c>
      <c r="D65" s="101">
        <f>COUNTIFS(เรื่องร้องเรียน!E:E,"2",เรื่องร้องเรียน!AO:AO,"6",เรื่องร้องเรียน!AN:AN,"พลับพลาไชย 1",เรื่องร้องเรียน!CN:CN,"1")</f>
        <v>0</v>
      </c>
      <c r="E65" s="101">
        <f>COUNTIFS(เรื่องร้องเรียน!E:E,"3",เรื่องร้องเรียน!AO:AO,"6",เรื่องร้องเรียน!AN:AN,"พลับพลาไชย 1",เรื่องร้องเรียน!CN:CN,"1")</f>
        <v>0</v>
      </c>
      <c r="F65" s="101">
        <f>COUNTIFS(เรื่องร้องเรียน!E:E,"4",เรื่องร้องเรียน!AO:AO,"6",เรื่องร้องเรียน!AN:AN,"พลับพลาไชย 1",เรื่องร้องเรียน!CN:CN,"1")</f>
        <v>0</v>
      </c>
      <c r="G65" s="101">
        <f>COUNTIFS(เรื่องร้องเรียน!E:E,"5",เรื่องร้องเรียน!AO:AO,"6",เรื่องร้องเรียน!AN:AN,"พลับพลาไชย 1",เรื่องร้องเรียน!CN:CN,"1")</f>
        <v>0</v>
      </c>
      <c r="H65" s="235">
        <f t="shared" si="2"/>
        <v>0</v>
      </c>
      <c r="I65" s="104">
        <f>COUNTIFS(เรื่องร้องเรียน!E:E,"1",เรื่องร้องเรียน!AO:AO,"6",เรื่องร้องเรียน!AN:AN,"พลับพลาไชย 1",เรื่องร้องเรียน!AQ:AQ,"1",เรื่องร้องเรียน!CN:CN,"1")</f>
        <v>0</v>
      </c>
      <c r="J65" s="101">
        <f>COUNTIFS(เรื่องร้องเรียน!E:E,"2",เรื่องร้องเรียน!AO:AO,"6",เรื่องร้องเรียน!AN:AN,"พลับพลาไชย 1",เรื่องร้องเรียน!AQ:AQ,"1",เรื่องร้องเรียน!CN:CN,"1")</f>
        <v>0</v>
      </c>
      <c r="K65" s="101">
        <f>COUNTIFS(เรื่องร้องเรียน!E:E,"3",เรื่องร้องเรียน!AO:AO,"6",เรื่องร้องเรียน!AN:AN,"พลับพลาไชย 1",เรื่องร้องเรียน!AQ:AQ,"1",เรื่องร้องเรียน!CN:CN,"1")</f>
        <v>0</v>
      </c>
      <c r="L65" s="101">
        <f>COUNTIFS(เรื่องร้องเรียน!E:E,"4",เรื่องร้องเรียน!AO:AO,"6",เรื่องร้องเรียน!AN:AN,"พลับพลาไชย 1",เรื่องร้องเรียน!AQ:AQ,"1",เรื่องร้องเรียน!CN:CN,"1")</f>
        <v>0</v>
      </c>
      <c r="M65" s="101">
        <f>COUNTIFS(เรื่องร้องเรียน!E:E,"5",เรื่องร้องเรียน!AO:AO,"6",เรื่องร้องเรียน!AN:AN,"พลับพลาไชย 1",เรื่องร้องเรียน!AQ:AQ,"1",เรื่องร้องเรียน!CN:CN,"1")</f>
        <v>0</v>
      </c>
      <c r="N65" s="241">
        <f t="shared" si="4"/>
        <v>0</v>
      </c>
      <c r="O65" s="183">
        <f t="shared" si="1"/>
        <v>0</v>
      </c>
    </row>
    <row r="66" spans="1:15">
      <c r="A66" s="107"/>
      <c r="B66" s="227" t="s">
        <v>139</v>
      </c>
      <c r="C66" s="104">
        <f>COUNTIFS(เรื่องร้องเรียน!E:E,"1",เรื่องร้องเรียน!AO:AO,"6",เรื่องร้องเรียน!AN:AN,"พลับพลาไชย 2",เรื่องร้องเรียน!CN:CN,"1")</f>
        <v>0</v>
      </c>
      <c r="D66" s="101">
        <f>COUNTIFS(เรื่องร้องเรียน!E:E,"2",เรื่องร้องเรียน!AO:AO,"6",เรื่องร้องเรียน!AN:AN,"พลับพลาไชย 2",เรื่องร้องเรียน!CN:CN,"1")</f>
        <v>0</v>
      </c>
      <c r="E66" s="101">
        <f>COUNTIFS(เรื่องร้องเรียน!E:E,"3",เรื่องร้องเรียน!AO:AO,"6",เรื่องร้องเรียน!AN:AN,"พลับพลาไชย 2",เรื่องร้องเรียน!CN:CN,"1")</f>
        <v>0</v>
      </c>
      <c r="F66" s="101">
        <f>COUNTIFS(เรื่องร้องเรียน!E:E,"4",เรื่องร้องเรียน!AO:AO,"6",เรื่องร้องเรียน!AN:AN,"พลับพลาไชย 2",เรื่องร้องเรียน!CN:CN,"1")</f>
        <v>0</v>
      </c>
      <c r="G66" s="101">
        <f>COUNTIFS(เรื่องร้องเรียน!E:E,"5",เรื่องร้องเรียน!AO:AO,"6",เรื่องร้องเรียน!AN:AN,"พลับพลาไชย 2",เรื่องร้องเรียน!CN:CN,"1")</f>
        <v>0</v>
      </c>
      <c r="H66" s="235">
        <f t="shared" si="2"/>
        <v>0</v>
      </c>
      <c r="I66" s="104">
        <f>COUNTIFS(เรื่องร้องเรียน!E:E,"1",เรื่องร้องเรียน!AO:AO,"6",เรื่องร้องเรียน!AN:AN,"พลับพลาไชย 2",เรื่องร้องเรียน!AQ:AQ,"1",เรื่องร้องเรียน!CN:CN,"1")</f>
        <v>0</v>
      </c>
      <c r="J66" s="101">
        <f>COUNTIFS(เรื่องร้องเรียน!E:E,"2",เรื่องร้องเรียน!AO:AO,"6",เรื่องร้องเรียน!AN:AN,"พลับพลาไชย 2",เรื่องร้องเรียน!AQ:AQ,"1",เรื่องร้องเรียน!CN:CN,"1")</f>
        <v>0</v>
      </c>
      <c r="K66" s="101">
        <f>COUNTIFS(เรื่องร้องเรียน!E:E,"3",เรื่องร้องเรียน!AO:AO,"6",เรื่องร้องเรียน!AN:AN,"พลับพลาไชย 2",เรื่องร้องเรียน!AQ:AQ,"1",เรื่องร้องเรียน!CN:CN,"1")</f>
        <v>0</v>
      </c>
      <c r="L66" s="101">
        <f>COUNTIFS(เรื่องร้องเรียน!E:E,"4",เรื่องร้องเรียน!AO:AO,"6",เรื่องร้องเรียน!AN:AN,"พลับพลาไชย 2",เรื่องร้องเรียน!AQ:AQ,"1",เรื่องร้องเรียน!CN:CN,"1")</f>
        <v>0</v>
      </c>
      <c r="M66" s="101">
        <f>COUNTIFS(เรื่องร้องเรียน!E:E,"5",เรื่องร้องเรียน!AO:AO,"6",เรื่องร้องเรียน!AN:AN,"พลับพลาไชย 2",เรื่องร้องเรียน!AQ:AQ,"1",เรื่องร้องเรียน!CN:CN,"1")</f>
        <v>0</v>
      </c>
      <c r="N66" s="241">
        <f t="shared" si="4"/>
        <v>0</v>
      </c>
      <c r="O66" s="183">
        <f t="shared" si="1"/>
        <v>0</v>
      </c>
    </row>
    <row r="67" spans="1:15">
      <c r="A67" s="107"/>
      <c r="B67" s="227" t="s">
        <v>80</v>
      </c>
      <c r="C67" s="104">
        <f>COUNTIFS(เรื่องร้องเรียน!E:E,"1",เรื่องร้องเรียน!AO:AO,"6",เรื่องร้องเรียน!AN:AN,"ยานนาวา",เรื่องร้องเรียน!CN:CN,"1")</f>
        <v>0</v>
      </c>
      <c r="D67" s="101">
        <f>COUNTIFS(เรื่องร้องเรียน!E:E,"2",เรื่องร้องเรียน!AO:AO,"6",เรื่องร้องเรียน!AN:AN,"ยานนาวา",เรื่องร้องเรียน!CN:CN,"1")</f>
        <v>0</v>
      </c>
      <c r="E67" s="101">
        <f>COUNTIFS(เรื่องร้องเรียน!E:E,"3",เรื่องร้องเรียน!AO:AO,"6",เรื่องร้องเรียน!AN:AN,"ยานนาวา",เรื่องร้องเรียน!CN:CN,"1")</f>
        <v>0</v>
      </c>
      <c r="F67" s="101">
        <f>COUNTIFS(เรื่องร้องเรียน!E:E,"4",เรื่องร้องเรียน!AO:AO,"6",เรื่องร้องเรียน!AN:AN,"ยานนาวา",เรื่องร้องเรียน!CN:CN,"1")</f>
        <v>0</v>
      </c>
      <c r="G67" s="101">
        <f>COUNTIFS(เรื่องร้องเรียน!E:E,"5",เรื่องร้องเรียน!AO:AO,"6",เรื่องร้องเรียน!AN:AN,"ยานนาวา",เรื่องร้องเรียน!CN:CN,"1")</f>
        <v>0</v>
      </c>
      <c r="H67" s="235">
        <f t="shared" si="2"/>
        <v>0</v>
      </c>
      <c r="I67" s="104">
        <f>COUNTIFS(เรื่องร้องเรียน!E:E,"1",เรื่องร้องเรียน!AO:AO,"6",เรื่องร้องเรียน!AN:AN,"ยานนาวา",เรื่องร้องเรียน!AQ:AQ,"1",เรื่องร้องเรียน!CN:CN,"1")</f>
        <v>0</v>
      </c>
      <c r="J67" s="101">
        <f>COUNTIFS(เรื่องร้องเรียน!E:E,"2",เรื่องร้องเรียน!AO:AO,"6",เรื่องร้องเรียน!AN:AN,"ยานนาวา",เรื่องร้องเรียน!AQ:AQ,"1",เรื่องร้องเรียน!CN:CN,"1")</f>
        <v>0</v>
      </c>
      <c r="K67" s="101">
        <f>COUNTIFS(เรื่องร้องเรียน!E:E,"3",เรื่องร้องเรียน!AO:AO,"6",เรื่องร้องเรียน!AN:AN,"ยานนาวา",เรื่องร้องเรียน!AQ:AQ,"1",เรื่องร้องเรียน!CN:CN,"1")</f>
        <v>0</v>
      </c>
      <c r="L67" s="101">
        <f>COUNTIFS(เรื่องร้องเรียน!E:E,"4",เรื่องร้องเรียน!AO:AO,"6",เรื่องร้องเรียน!AN:AN,"ยานนาวา",เรื่องร้องเรียน!AQ:AQ,"1",เรื่องร้องเรียน!CN:CN,"1")</f>
        <v>0</v>
      </c>
      <c r="M67" s="101">
        <f>COUNTIFS(เรื่องร้องเรียน!E:E,"5",เรื่องร้องเรียน!AO:AO,"6",เรื่องร้องเรียน!AN:AN,"ยานนาวา",เรื่องร้องเรียน!AQ:AQ,"1",เรื่องร้องเรียน!CN:CN,"1")</f>
        <v>0</v>
      </c>
      <c r="N67" s="241">
        <f t="shared" si="4"/>
        <v>0</v>
      </c>
      <c r="O67" s="183">
        <f t="shared" si="1"/>
        <v>0</v>
      </c>
    </row>
    <row r="68" spans="1:15" ht="21.6" thickBot="1">
      <c r="A68" s="111"/>
      <c r="B68" s="228" t="s">
        <v>184</v>
      </c>
      <c r="C68" s="123">
        <f>COUNTIFS(เรื่องร้องเรียน!E:E,"1",เรื่องร้องเรียน!AO:AO,"6",เรื่องร้องเรียน!AN:AN,"สำราญราษฎร์",เรื่องร้องเรียน!CN:CN,"1")</f>
        <v>0</v>
      </c>
      <c r="D68" s="117">
        <f>COUNTIFS(เรื่องร้องเรียน!E:E,"2",เรื่องร้องเรียน!AO:AO,"6",เรื่องร้องเรียน!AN:AN,"สำราญราษฎร์",เรื่องร้องเรียน!CN:CN,"1")</f>
        <v>0</v>
      </c>
      <c r="E68" s="117">
        <f>COUNTIFS(เรื่องร้องเรียน!E:E,"3",เรื่องร้องเรียน!AO:AO,"6",เรื่องร้องเรียน!AN:AN,"สำราญราษฎร์",เรื่องร้องเรียน!CN:CN,"1")</f>
        <v>0</v>
      </c>
      <c r="F68" s="117">
        <f>COUNTIFS(เรื่องร้องเรียน!E:E,"4",เรื่องร้องเรียน!AO:AO,"6",เรื่องร้องเรียน!AN:AN,"สำราญราษฎร์",เรื่องร้องเรียน!CN:CN,"1")</f>
        <v>0</v>
      </c>
      <c r="G68" s="114">
        <f>COUNTIFS(เรื่องร้องเรียน!E:E,"5",เรื่องร้องเรียน!AO:AO,"6",เรื่องร้องเรียน!AN:AN,"สำราญราษฎร์",เรื่องร้องเรียน!CN:CN,"1")</f>
        <v>0</v>
      </c>
      <c r="H68" s="236">
        <f t="shared" si="2"/>
        <v>0</v>
      </c>
      <c r="I68" s="123">
        <f>COUNTIFS(เรื่องร้องเรียน!E:E,"1",เรื่องร้องเรียน!AO:AO,"6",เรื่องร้องเรียน!AN:AN,"สำราญราษฎร์",เรื่องร้องเรียน!AQ:AQ,"1",เรื่องร้องเรียน!CN:CN,"1")</f>
        <v>0</v>
      </c>
      <c r="J68" s="117">
        <f>COUNTIFS(เรื่องร้องเรียน!E:E,"2",เรื่องร้องเรียน!AO:AO,"6",เรื่องร้องเรียน!AN:AN,"สำราญราษฎร์",เรื่องร้องเรียน!AQ:AQ,"1",เรื่องร้องเรียน!CN:CN,"1")</f>
        <v>0</v>
      </c>
      <c r="K68" s="117">
        <f>COUNTIFS(เรื่องร้องเรียน!E:E,"3",เรื่องร้องเรียน!AO:AO,"6",เรื่องร้องเรียน!AN:AN,"สำราญราษฎร์",เรื่องร้องเรียน!AQ:AQ,"1",เรื่องร้องเรียน!CN:CN,"1")</f>
        <v>0</v>
      </c>
      <c r="L68" s="117">
        <f>COUNTIFS(เรื่องร้องเรียน!E:E,"4",เรื่องร้องเรียน!AO:AO,"6",เรื่องร้องเรียน!AN:AN,"สำราญราษฎร์",เรื่องร้องเรียน!AQ:AQ,"1",เรื่องร้องเรียน!CN:CN,"1")</f>
        <v>0</v>
      </c>
      <c r="M68" s="101">
        <f>COUNTIFS(เรื่องร้องเรียน!E:E,"5",เรื่องร้องเรียน!AO:AO,"6",เรื่องร้องเรียน!AN:AN,"สำราญราษฎร์",เรื่องร้องเรียน!AQ:AQ,"1",เรื่องร้องเรียน!CN:CN,"1")</f>
        <v>0</v>
      </c>
      <c r="N68" s="236">
        <f t="shared" si="4"/>
        <v>0</v>
      </c>
      <c r="O68" s="190">
        <f t="shared" si="1"/>
        <v>0</v>
      </c>
    </row>
    <row r="69" spans="1:15" ht="21.6" thickBot="1">
      <c r="A69" s="264">
        <v>7</v>
      </c>
      <c r="B69" s="276"/>
      <c r="C69" s="266">
        <f>SUM(C70:C80)</f>
        <v>0</v>
      </c>
      <c r="D69" s="267">
        <f t="shared" ref="D69:M69" si="10">SUM(D70:D80)</f>
        <v>0</v>
      </c>
      <c r="E69" s="267">
        <f t="shared" si="10"/>
        <v>0</v>
      </c>
      <c r="F69" s="267">
        <f t="shared" si="10"/>
        <v>0</v>
      </c>
      <c r="G69" s="267">
        <f t="shared" si="10"/>
        <v>0</v>
      </c>
      <c r="H69" s="268">
        <f t="shared" si="2"/>
        <v>0</v>
      </c>
      <c r="I69" s="266">
        <f t="shared" si="10"/>
        <v>0</v>
      </c>
      <c r="J69" s="267">
        <f t="shared" si="10"/>
        <v>0</v>
      </c>
      <c r="K69" s="267">
        <f t="shared" si="10"/>
        <v>0</v>
      </c>
      <c r="L69" s="267">
        <f t="shared" si="10"/>
        <v>0</v>
      </c>
      <c r="M69" s="267">
        <f t="shared" si="10"/>
        <v>0</v>
      </c>
      <c r="N69" s="268">
        <f t="shared" si="4"/>
        <v>0</v>
      </c>
      <c r="O69" s="263">
        <f t="shared" ref="O69:O103" si="11">H69-N69</f>
        <v>0</v>
      </c>
    </row>
    <row r="70" spans="1:15">
      <c r="A70" s="98"/>
      <c r="B70" s="226" t="s">
        <v>185</v>
      </c>
      <c r="C70" s="104">
        <f>COUNTIFS(เรื่องร้องเรียน!E:E,"1",เรื่องร้องเรียน!AO:AO,"7",เรื่องร้องเรียน!AN:AN,"ตลิ่งชัน",เรื่องร้องเรียน!CN:CN,"1")</f>
        <v>0</v>
      </c>
      <c r="D70" s="101">
        <f>COUNTIFS(เรื่องร้องเรียน!E:E,"2",เรื่องร้องเรียน!AO:AO,"7",เรื่องร้องเรียน!AN:AN,"ตลิ่งชัน",เรื่องร้องเรียน!CN:CN,"1")</f>
        <v>0</v>
      </c>
      <c r="E70" s="101">
        <f>COUNTIFS(เรื่องร้องเรียน!E:E,"3",เรื่องร้องเรียน!AO:AO,"7",เรื่องร้องเรียน!AN:AN,"ตลิ่งชัน",เรื่องร้องเรียน!CN:CN,"1")</f>
        <v>0</v>
      </c>
      <c r="F70" s="101">
        <f>COUNTIFS(เรื่องร้องเรียน!E:E,"4",เรื่องร้องเรียน!AO:AO,"7",เรื่องร้องเรียน!AN:AN,"ตลิ่งชัน",เรื่องร้องเรียน!CN:CN,"1")</f>
        <v>0</v>
      </c>
      <c r="G70" s="101">
        <f>COUNTIFS(เรื่องร้องเรียน!E:E,"5",เรื่องร้องเรียน!AO:AO,"7",เรื่องร้องเรียน!AN:AN,"ตลิ่งชัน",เรื่องร้องเรียน!CN:CN,"1")</f>
        <v>0</v>
      </c>
      <c r="H70" s="235">
        <f t="shared" ref="H70:H103" si="12">SUM(C70,D70,E70,F70,G70)</f>
        <v>0</v>
      </c>
      <c r="I70" s="104">
        <f>COUNTIFS(เรื่องร้องเรียน!E:E,"1",เรื่องร้องเรียน!AO:AO,"7",เรื่องร้องเรียน!AN:AN,"ตลิ่งชัน",เรื่องร้องเรียน!AQ:AQ,"1",เรื่องร้องเรียน!CN:CN,"1")</f>
        <v>0</v>
      </c>
      <c r="J70" s="101">
        <f>COUNTIFS(เรื่องร้องเรียน!E:E,"2",เรื่องร้องเรียน!AO:AO,"7",เรื่องร้องเรียน!AN:AN,"ตลิ่งชัน",เรื่องร้องเรียน!AQ:AQ,"1",เรื่องร้องเรียน!CN:CN,"1")</f>
        <v>0</v>
      </c>
      <c r="K70" s="101">
        <f>COUNTIFS(เรื่องร้องเรียน!E:E,"3",เรื่องร้องเรียน!AO:AO,"7",เรื่องร้องเรียน!AN:AN,"ตลิ่งชัน",เรื่องร้องเรียน!AQ:AQ,"1",เรื่องร้องเรียน!CN:CN,"1")</f>
        <v>0</v>
      </c>
      <c r="L70" s="101">
        <f>COUNTIFS(เรื่องร้องเรียน!E:E,"4",เรื่องร้องเรียน!AO:AO,"7",เรื่องร้องเรียน!AN:AN,"ตลิ่งชัน",เรื่องร้องเรียน!AQ:AQ,"1",เรื่องร้องเรียน!CN:CN,"1")</f>
        <v>0</v>
      </c>
      <c r="M70" s="101">
        <f>COUNTIFS(เรื่องร้องเรียน!E:E,"5",เรื่องร้องเรียน!AO:AO,"7",เรื่องร้องเรียน!AN:AN,"ตลิ่งชัน",เรื่องร้องเรียน!AQ:AQ,"1",เรื่องร้องเรียน!CN:CN,"1")</f>
        <v>0</v>
      </c>
      <c r="N70" s="235">
        <f t="shared" si="4"/>
        <v>0</v>
      </c>
      <c r="O70" s="238">
        <f t="shared" si="11"/>
        <v>0</v>
      </c>
    </row>
    <row r="71" spans="1:15">
      <c r="A71" s="107"/>
      <c r="B71" s="227" t="s">
        <v>186</v>
      </c>
      <c r="C71" s="104">
        <f>COUNTIFS(เรื่องร้องเรียน!E:E,"1",เรื่องร้องเรียน!AO:AO,"7",เรื่องร้องเรียน!AN:AN,"ท่าพระ",เรื่องร้องเรียน!CN:CN,"1")</f>
        <v>0</v>
      </c>
      <c r="D71" s="101">
        <f>COUNTIFS(เรื่องร้องเรียน!E:E,"2",เรื่องร้องเรียน!AO:AO,"7",เรื่องร้องเรียน!AN:AN,"ท่าพระ",เรื่องร้องเรียน!CN:CN,"1")</f>
        <v>0</v>
      </c>
      <c r="E71" s="101">
        <f>COUNTIFS(เรื่องร้องเรียน!E:E,"3",เรื่องร้องเรียน!AO:AO,"7",เรื่องร้องเรียน!AN:AN,"ท่าพระ",เรื่องร้องเรียน!CN:CN,"1")</f>
        <v>0</v>
      </c>
      <c r="F71" s="101">
        <f>COUNTIFS(เรื่องร้องเรียน!E:E,"4",เรื่องร้องเรียน!AO:AO,"7",เรื่องร้องเรียน!AN:AN,"ท่าพระ",เรื่องร้องเรียน!CN:CN,"1")</f>
        <v>0</v>
      </c>
      <c r="G71" s="101">
        <f>COUNTIFS(เรื่องร้องเรียน!E:E,"5",เรื่องร้องเรียน!AO:AO,"7",เรื่องร้องเรียน!AN:AN,"ท่าพระ",เรื่องร้องเรียน!CN:CN,"1")</f>
        <v>0</v>
      </c>
      <c r="H71" s="235">
        <f t="shared" si="12"/>
        <v>0</v>
      </c>
      <c r="I71" s="104">
        <f>COUNTIFS(เรื่องร้องเรียน!E:E,"1",เรื่องร้องเรียน!AO:AO,"7",เรื่องร้องเรียน!AN:AN,"ท่าพระ",เรื่องร้องเรียน!AQ:AQ,"1",เรื่องร้องเรียน!CN:CN,"1")</f>
        <v>0</v>
      </c>
      <c r="J71" s="101">
        <f>COUNTIFS(เรื่องร้องเรียน!E:E,"2",เรื่องร้องเรียน!AO:AO,"7",เรื่องร้องเรียน!AN:AN,"ท่าพระ",เรื่องร้องเรียน!AQ:AQ,"1",เรื่องร้องเรียน!CN:CN,"1")</f>
        <v>0</v>
      </c>
      <c r="K71" s="101">
        <f>COUNTIFS(เรื่องร้องเรียน!E:E,"3",เรื่องร้องเรียน!AO:AO,"7",เรื่องร้องเรียน!AN:AN,"ท่าพระ",เรื่องร้องเรียน!AQ:AQ,"1",เรื่องร้องเรียน!CN:CN,"1")</f>
        <v>0</v>
      </c>
      <c r="L71" s="101">
        <f>COUNTIFS(เรื่องร้องเรียน!E:E,"4",เรื่องร้องเรียน!AO:AO,"7",เรื่องร้องเรียน!AN:AN,"ท่าพระ",เรื่องร้องเรียน!AQ:AQ,"1",เรื่องร้องเรียน!CN:CN,"1")</f>
        <v>0</v>
      </c>
      <c r="M71" s="101">
        <f>COUNTIFS(เรื่องร้องเรียน!E:E,"5",เรื่องร้องเรียน!AO:AO,"7",เรื่องร้องเรียน!AN:AN,"ท่าพระ",เรื่องร้องเรียน!AQ:AQ,"1",เรื่องร้องเรียน!CN:CN,"1")</f>
        <v>0</v>
      </c>
      <c r="N71" s="241">
        <f t="shared" ref="N71:N103" si="13">SUM(I71:M71)</f>
        <v>0</v>
      </c>
      <c r="O71" s="183">
        <f t="shared" si="11"/>
        <v>0</v>
      </c>
    </row>
    <row r="72" spans="1:15">
      <c r="A72" s="107"/>
      <c r="B72" s="227" t="s">
        <v>187</v>
      </c>
      <c r="C72" s="104">
        <f>COUNTIFS(เรื่องร้องเรียน!E:E,"1",เรื่องร้องเรียน!AO:AO,"7",เรื่องร้องเรียน!AN:AN,"ธรรมศาลา",เรื่องร้องเรียน!CN:CN,"1")</f>
        <v>0</v>
      </c>
      <c r="D72" s="101">
        <f>COUNTIFS(เรื่องร้องเรียน!E:E,"2",เรื่องร้องเรียน!AO:AO,"7",เรื่องร้องเรียน!AN:AN,"ธรรมศาลา",เรื่องร้องเรียน!CN:CN,"1")</f>
        <v>0</v>
      </c>
      <c r="E72" s="101">
        <f>COUNTIFS(เรื่องร้องเรียน!E:E,"3",เรื่องร้องเรียน!AO:AO,"7",เรื่องร้องเรียน!AN:AN,"ธรรมศาลา",เรื่องร้องเรียน!CN:CN,"1")</f>
        <v>0</v>
      </c>
      <c r="F72" s="101">
        <f>COUNTIFS(เรื่องร้องเรียน!E:E,"4",เรื่องร้องเรียน!AO:AO,"7",เรื่องร้องเรียน!AN:AN,"ธรรมศาลา",เรื่องร้องเรียน!CN:CN,"1")</f>
        <v>0</v>
      </c>
      <c r="G72" s="101">
        <f>COUNTIFS(เรื่องร้องเรียน!E:E,"5",เรื่องร้องเรียน!AO:AO,"7",เรื่องร้องเรียน!AN:AN,"ธรรมศาลา",เรื่องร้องเรียน!CN:CN,"1")</f>
        <v>0</v>
      </c>
      <c r="H72" s="235">
        <f t="shared" si="12"/>
        <v>0</v>
      </c>
      <c r="I72" s="104">
        <f>COUNTIFS(เรื่องร้องเรียน!E:E,"1",เรื่องร้องเรียน!AO:AO,"7",เรื่องร้องเรียน!AN:AN,"ธรรมศาลา",เรื่องร้องเรียน!AQ:AQ,"1",เรื่องร้องเรียน!CN:CN,"1")</f>
        <v>0</v>
      </c>
      <c r="J72" s="101">
        <f>COUNTIFS(เรื่องร้องเรียน!E:E,"2",เรื่องร้องเรียน!AO:AO,"7",เรื่องร้องเรียน!AN:AN,"ธรรมศาลา",เรื่องร้องเรียน!AQ:AQ,"1",เรื่องร้องเรียน!CN:CN,"1")</f>
        <v>0</v>
      </c>
      <c r="K72" s="101">
        <f>COUNTIFS(เรื่องร้องเรียน!E:E,"3",เรื่องร้องเรียน!AO:AO,"7",เรื่องร้องเรียน!AN:AN,"ธรรมศาลา",เรื่องร้องเรียน!AQ:AQ,"1",เรื่องร้องเรียน!CN:CN,"1")</f>
        <v>0</v>
      </c>
      <c r="L72" s="101">
        <f>COUNTIFS(เรื่องร้องเรียน!E:E,"4",เรื่องร้องเรียน!AO:AO,"7",เรื่องร้องเรียน!AN:AN,"ธรรมศาลา",เรื่องร้องเรียน!AQ:AQ,"1",เรื่องร้องเรียน!CN:CN,"1")</f>
        <v>0</v>
      </c>
      <c r="M72" s="101">
        <f>COUNTIFS(เรื่องร้องเรียน!E:E,"5",เรื่องร้องเรียน!AO:AO,"7",เรื่องร้องเรียน!AN:AN,"ธรรมศาลา",เรื่องร้องเรียน!AQ:AQ,"1",เรื่องร้องเรียน!CN:CN,"1")</f>
        <v>0</v>
      </c>
      <c r="N72" s="241">
        <f t="shared" si="13"/>
        <v>0</v>
      </c>
      <c r="O72" s="183">
        <f t="shared" si="11"/>
        <v>0</v>
      </c>
    </row>
    <row r="73" spans="1:15">
      <c r="A73" s="107"/>
      <c r="B73" s="227" t="s">
        <v>126</v>
      </c>
      <c r="C73" s="104">
        <f>COUNTIFS(เรื่องร้องเรียน!E:E,"1",เรื่องร้องเรียน!AO:AO,"7",เรื่องร้องเรียน!AN:AN,"บางกอกน้อย",เรื่องร้องเรียน!CN:CN,"1")</f>
        <v>0</v>
      </c>
      <c r="D73" s="101">
        <f>COUNTIFS(เรื่องร้องเรียน!E:E,"2",เรื่องร้องเรียน!AO:AO,"7",เรื่องร้องเรียน!AN:AN,"บางกอกน้อย",เรื่องร้องเรียน!CN:CN,"1")</f>
        <v>0</v>
      </c>
      <c r="E73" s="101">
        <f>COUNTIFS(เรื่องร้องเรียน!E:E,"3",เรื่องร้องเรียน!AO:AO,"7",เรื่องร้องเรียน!AN:AN,"บางกอกน้อย",เรื่องร้องเรียน!CN:CN,"1")</f>
        <v>0</v>
      </c>
      <c r="F73" s="101">
        <f>COUNTIFS(เรื่องร้องเรียน!E:E,"4",เรื่องร้องเรียน!AO:AO,"7",เรื่องร้องเรียน!AN:AN,"บางกอกน้อย",เรื่องร้องเรียน!CN:CN,"1")</f>
        <v>0</v>
      </c>
      <c r="G73" s="101">
        <f>COUNTIFS(เรื่องร้องเรียน!E:E,"5",เรื่องร้องเรียน!AO:AO,"7",เรื่องร้องเรียน!AN:AN,"บางกอกน้อย",เรื่องร้องเรียน!CN:CN,"1")</f>
        <v>0</v>
      </c>
      <c r="H73" s="235">
        <f t="shared" si="12"/>
        <v>0</v>
      </c>
      <c r="I73" s="104">
        <f>COUNTIFS(เรื่องร้องเรียน!E:E,"1",เรื่องร้องเรียน!AO:AO,"7",เรื่องร้องเรียน!AN:AN,"บางกอกน้อย",เรื่องร้องเรียน!AQ:AQ,"1",เรื่องร้องเรียน!CN:CN,"1")</f>
        <v>0</v>
      </c>
      <c r="J73" s="101">
        <f>COUNTIFS(เรื่องร้องเรียน!E:E,"2",เรื่องร้องเรียน!AO:AO,"7",เรื่องร้องเรียน!AN:AN,"บางกอกน้อย",เรื่องร้องเรียน!AQ:AQ,"1",เรื่องร้องเรียน!CN:CN,"1")</f>
        <v>0</v>
      </c>
      <c r="K73" s="101">
        <f>COUNTIFS(เรื่องร้องเรียน!E:E,"3",เรื่องร้องเรียน!AO:AO,"7",เรื่องร้องเรียน!AN:AN,"บางกอกน้อย",เรื่องร้องเรียน!AQ:AQ,"1",เรื่องร้องเรียน!CN:CN,"1")</f>
        <v>0</v>
      </c>
      <c r="L73" s="101">
        <f>COUNTIFS(เรื่องร้องเรียน!E:E,"4",เรื่องร้องเรียน!AO:AO,"7",เรื่องร้องเรียน!AN:AN,"บางกอกน้อย",เรื่องร้องเรียน!AQ:AQ,"1",เรื่องร้องเรียน!CN:CN,"1")</f>
        <v>0</v>
      </c>
      <c r="M73" s="101">
        <f>COUNTIFS(เรื่องร้องเรียน!E:E,"5",เรื่องร้องเรียน!AO:AO,"7",เรื่องร้องเรียน!AN:AN,"บางกอกน้อย",เรื่องร้องเรียน!AQ:AQ,"1",เรื่องร้องเรียน!CN:CN,"1")</f>
        <v>0</v>
      </c>
      <c r="N73" s="241">
        <f t="shared" si="13"/>
        <v>0</v>
      </c>
      <c r="O73" s="183">
        <f t="shared" si="11"/>
        <v>0</v>
      </c>
    </row>
    <row r="74" spans="1:15">
      <c r="A74" s="107"/>
      <c r="B74" s="227" t="s">
        <v>188</v>
      </c>
      <c r="C74" s="104">
        <f>COUNTIFS(เรื่องร้องเรียน!E:E,"1",เรื่องร้องเรียน!AO:AO,"7",เรื่องร้องเรียน!AN:AN,"บางกอกใหญ่",เรื่องร้องเรียน!CN:CN,"1")</f>
        <v>0</v>
      </c>
      <c r="D74" s="101">
        <f>COUNTIFS(เรื่องร้องเรียน!E:E,"2",เรื่องร้องเรียน!AO:AO,"7",เรื่องร้องเรียน!AN:AN,"บางกอกใหญ่",เรื่องร้องเรียน!CN:CN,"1")</f>
        <v>0</v>
      </c>
      <c r="E74" s="101">
        <f>COUNTIFS(เรื่องร้องเรียน!E:E,"3",เรื่องร้องเรียน!AO:AO,"7",เรื่องร้องเรียน!AN:AN,"บางกอกใหญ่",เรื่องร้องเรียน!CN:CN,"1")</f>
        <v>0</v>
      </c>
      <c r="F74" s="101">
        <f>COUNTIFS(เรื่องร้องเรียน!E:E,"4",เรื่องร้องเรียน!AO:AO,"7",เรื่องร้องเรียน!AN:AN,"บางกอกใหญ่",เรื่องร้องเรียน!CN:CN,"1")</f>
        <v>0</v>
      </c>
      <c r="G74" s="101">
        <f>COUNTIFS(เรื่องร้องเรียน!E:E,"5",เรื่องร้องเรียน!AO:AO,"7",เรื่องร้องเรียน!AN:AN,"บางกอกใหญ่",เรื่องร้องเรียน!CN:CN,"1")</f>
        <v>0</v>
      </c>
      <c r="H74" s="235">
        <f t="shared" si="12"/>
        <v>0</v>
      </c>
      <c r="I74" s="104">
        <f>COUNTIFS(เรื่องร้องเรียน!E:E,"1",เรื่องร้องเรียน!AO:AO,"7",เรื่องร้องเรียน!AN:AN,"บางกอกใหญ่",เรื่องร้องเรียน!AQ:AQ,"1",เรื่องร้องเรียน!CN:CN,"1")</f>
        <v>0</v>
      </c>
      <c r="J74" s="101">
        <f>COUNTIFS(เรื่องร้องเรียน!E:E,"2",เรื่องร้องเรียน!AO:AO,"7",เรื่องร้องเรียน!AN:AN,"บางกอกใหญ่",เรื่องร้องเรียน!AQ:AQ,"1",เรื่องร้องเรียน!CN:CN,"1")</f>
        <v>0</v>
      </c>
      <c r="K74" s="101">
        <f>COUNTIFS(เรื่องร้องเรียน!E:E,"3",เรื่องร้องเรียน!AO:AO,"7",เรื่องร้องเรียน!AN:AN,"บางกอกใหญ่",เรื่องร้องเรียน!AQ:AQ,"1",เรื่องร้องเรียน!CN:CN,"1")</f>
        <v>0</v>
      </c>
      <c r="L74" s="101">
        <f>COUNTIFS(เรื่องร้องเรียน!E:E,"4",เรื่องร้องเรียน!AO:AO,"7",เรื่องร้องเรียน!AN:AN,"บางกอกใหญ่",เรื่องร้องเรียน!AQ:AQ,"1",เรื่องร้องเรียน!CN:CN,"1")</f>
        <v>0</v>
      </c>
      <c r="M74" s="101">
        <f>COUNTIFS(เรื่องร้องเรียน!E:E,"5",เรื่องร้องเรียน!AO:AO,"7",เรื่องร้องเรียน!AN:AN,"บางกอกใหญ่",เรื่องร้องเรียน!AQ:AQ,"1",เรื่องร้องเรียน!CN:CN,"1")</f>
        <v>0</v>
      </c>
      <c r="N74" s="241">
        <f t="shared" si="13"/>
        <v>0</v>
      </c>
      <c r="O74" s="183">
        <f t="shared" si="11"/>
        <v>0</v>
      </c>
    </row>
    <row r="75" spans="1:15">
      <c r="A75" s="107"/>
      <c r="B75" s="227" t="s">
        <v>189</v>
      </c>
      <c r="C75" s="104">
        <f>COUNTIFS(เรื่องร้องเรียน!E:E,"1",เรื่องร้องเรียน!AO:AO,"7",เรื่องร้องเรียน!AN:AN,"บางขุนนนท์",เรื่องร้องเรียน!CN:CN,"1")</f>
        <v>0</v>
      </c>
      <c r="D75" s="101">
        <f>COUNTIFS(เรื่องร้องเรียน!E:E,"2",เรื่องร้องเรียน!AO:AO,"7",เรื่องร้องเรียน!AN:AN,"บางขุนนนท์",เรื่องร้องเรียน!CN:CN,"1")</f>
        <v>0</v>
      </c>
      <c r="E75" s="101">
        <f>COUNTIFS(เรื่องร้องเรียน!E:E,"3",เรื่องร้องเรียน!AO:AO,"7",เรื่องร้องเรียน!AN:AN,"บางขุนนนท์",เรื่องร้องเรียน!CN:CN,"1")</f>
        <v>0</v>
      </c>
      <c r="F75" s="101">
        <f>COUNTIFS(เรื่องร้องเรียน!E:E,"4",เรื่องร้องเรียน!AO:AO,"7",เรื่องร้องเรียน!AN:AN,"บางขุนนนท์",เรื่องร้องเรียน!CN:CN,"1")</f>
        <v>0</v>
      </c>
      <c r="G75" s="101">
        <f>COUNTIFS(เรื่องร้องเรียน!E:E,"5",เรื่องร้องเรียน!AO:AO,"7",เรื่องร้องเรียน!AN:AN,"บางขุนนนท์",เรื่องร้องเรียน!CN:CN,"1")</f>
        <v>0</v>
      </c>
      <c r="H75" s="235">
        <f t="shared" si="12"/>
        <v>0</v>
      </c>
      <c r="I75" s="104">
        <f>COUNTIFS(เรื่องร้องเรียน!E:E,"1",เรื่องร้องเรียน!AO:AO,"7",เรื่องร้องเรียน!AN:AN,"บางขุนนนท์",เรื่องร้องเรียน!AQ:AQ,"1",เรื่องร้องเรียน!CN:CN,"1")</f>
        <v>0</v>
      </c>
      <c r="J75" s="101">
        <f>COUNTIFS(เรื่องร้องเรียน!E:E,"2",เรื่องร้องเรียน!AO:AO,"7",เรื่องร้องเรียน!AN:AN,"บางขุนนนท์",เรื่องร้องเรียน!AQ:AQ,"1",เรื่องร้องเรียน!CN:CN,"1")</f>
        <v>0</v>
      </c>
      <c r="K75" s="101">
        <f>COUNTIFS(เรื่องร้องเรียน!E:E,"3",เรื่องร้องเรียน!AO:AO,"7",เรื่องร้องเรียน!AN:AN,"บางขุนนนท์",เรื่องร้องเรียน!AQ:AQ,"1",เรื่องร้องเรียน!CN:CN,"1")</f>
        <v>0</v>
      </c>
      <c r="L75" s="101">
        <f>COUNTIFS(เรื่องร้องเรียน!E:E,"4",เรื่องร้องเรียน!AO:AO,"7",เรื่องร้องเรียน!AN:AN,"บางขุนนนท์",เรื่องร้องเรียน!AQ:AQ,"1",เรื่องร้องเรียน!CN:CN,"1")</f>
        <v>0</v>
      </c>
      <c r="M75" s="101">
        <f>COUNTIFS(เรื่องร้องเรียน!E:E,"5",เรื่องร้องเรียน!AO:AO,"7",เรื่องร้องเรียน!AN:AN,"บางขุนนนท์",เรื่องร้องเรียน!AQ:AQ,"1",เรื่องร้องเรียน!CN:CN,"1")</f>
        <v>0</v>
      </c>
      <c r="N75" s="241">
        <f t="shared" si="13"/>
        <v>0</v>
      </c>
      <c r="O75" s="183">
        <f t="shared" si="11"/>
        <v>0</v>
      </c>
    </row>
    <row r="76" spans="1:15">
      <c r="A76" s="107"/>
      <c r="B76" s="227" t="s">
        <v>106</v>
      </c>
      <c r="C76" s="104">
        <f>COUNTIFS(เรื่องร้องเรียน!E:E,"1",เรื่องร้องเรียน!AO:AO,"7",เรื่องร้องเรียน!AN:AN,"บางพลัด",เรื่องร้องเรียน!CN:CN,"1")</f>
        <v>0</v>
      </c>
      <c r="D76" s="101">
        <f>COUNTIFS(เรื่องร้องเรียน!E:E,"2",เรื่องร้องเรียน!AO:AO,"7",เรื่องร้องเรียน!AN:AN,"บางพลัด",เรื่องร้องเรียน!CN:CN,"1")</f>
        <v>0</v>
      </c>
      <c r="E76" s="101">
        <f>COUNTIFS(เรื่องร้องเรียน!E:E,"3",เรื่องร้องเรียน!AO:AO,"7",เรื่องร้องเรียน!AN:AN,"บางพลัด",เรื่องร้องเรียน!CN:CN,"1")</f>
        <v>0</v>
      </c>
      <c r="F76" s="101">
        <f>COUNTIFS(เรื่องร้องเรียน!E:E,"4",เรื่องร้องเรียน!AO:AO,"7",เรื่องร้องเรียน!AN:AN,"บางพลัด",เรื่องร้องเรียน!CN:CN,"1")</f>
        <v>0</v>
      </c>
      <c r="G76" s="101">
        <f>COUNTIFS(เรื่องร้องเรียน!E:E,"5",เรื่องร้องเรียน!AO:AO,"7",เรื่องร้องเรียน!AN:AN,"บางพลัด",เรื่องร้องเรียน!CN:CN,"1")</f>
        <v>0</v>
      </c>
      <c r="H76" s="235">
        <f t="shared" si="12"/>
        <v>0</v>
      </c>
      <c r="I76" s="104">
        <f>COUNTIFS(เรื่องร้องเรียน!E:E,"1",เรื่องร้องเรียน!AO:AO,"7",เรื่องร้องเรียน!AN:AN,"บางพลัด",เรื่องร้องเรียน!AQ:AQ,"1",เรื่องร้องเรียน!CN:CN,"1")</f>
        <v>0</v>
      </c>
      <c r="J76" s="101">
        <f>COUNTIFS(เรื่องร้องเรียน!E:E,"2",เรื่องร้องเรียน!AO:AO,"7",เรื่องร้องเรียน!AN:AN,"บางพลัด",เรื่องร้องเรียน!AQ:AQ,"1",เรื่องร้องเรียน!CN:CN,"1")</f>
        <v>0</v>
      </c>
      <c r="K76" s="101">
        <f>COUNTIFS(เรื่องร้องเรียน!E:E,"3",เรื่องร้องเรียน!AO:AO,"7",เรื่องร้องเรียน!AN:AN,"บางพลัด",เรื่องร้องเรียน!AQ:AQ,"1",เรื่องร้องเรียน!CN:CN,"1")</f>
        <v>0</v>
      </c>
      <c r="L76" s="101">
        <f>COUNTIFS(เรื่องร้องเรียน!E:E,"4",เรื่องร้องเรียน!AO:AO,"7",เรื่องร้องเรียน!AN:AN,"บางพลัด",เรื่องร้องเรียน!AQ:AQ,"1",เรื่องร้องเรียน!CN:CN,"1")</f>
        <v>0</v>
      </c>
      <c r="M76" s="101">
        <f>COUNTIFS(เรื่องร้องเรียน!E:E,"5",เรื่องร้องเรียน!AO:AO,"7",เรื่องร้องเรียน!AN:AN,"บางพลัด",เรื่องร้องเรียน!AQ:AQ,"1",เรื่องร้องเรียน!CN:CN,"1")</f>
        <v>0</v>
      </c>
      <c r="N76" s="241">
        <f t="shared" si="13"/>
        <v>0</v>
      </c>
      <c r="O76" s="183">
        <f t="shared" si="11"/>
        <v>0</v>
      </c>
    </row>
    <row r="77" spans="1:15">
      <c r="A77" s="107"/>
      <c r="B77" s="227" t="s">
        <v>127</v>
      </c>
      <c r="C77" s="104">
        <f>COUNTIFS(เรื่องร้องเรียน!E:E,"1",เรื่องร้องเรียน!AO:AO,"7",เรื่องร้องเรียน!AN:AN,"บางยี่ขัน",เรื่องร้องเรียน!CN:CN,"1")</f>
        <v>0</v>
      </c>
      <c r="D77" s="101">
        <f>COUNTIFS(เรื่องร้องเรียน!E:E,"2",เรื่องร้องเรียน!AO:AO,"7",เรื่องร้องเรียน!AN:AN,"บางยี่ขัน",เรื่องร้องเรียน!CN:CN,"1")</f>
        <v>0</v>
      </c>
      <c r="E77" s="101">
        <f>COUNTIFS(เรื่องร้องเรียน!E:E,"3",เรื่องร้องเรียน!AO:AO,"7",เรื่องร้องเรียน!AN:AN,"บางยี่ขัน",เรื่องร้องเรียน!CN:CN,"1")</f>
        <v>0</v>
      </c>
      <c r="F77" s="101">
        <f>COUNTIFS(เรื่องร้องเรียน!E:E,"4",เรื่องร้องเรียน!AO:AO,"7",เรื่องร้องเรียน!AN:AN,"บางยี่ขัน",เรื่องร้องเรียน!CN:CN,"1")</f>
        <v>0</v>
      </c>
      <c r="G77" s="101">
        <f>COUNTIFS(เรื่องร้องเรียน!E:E,"5",เรื่องร้องเรียน!AO:AO,"7",เรื่องร้องเรียน!AN:AN,"บางยี่ขัน",เรื่องร้องเรียน!CN:CN,"1")</f>
        <v>0</v>
      </c>
      <c r="H77" s="235">
        <f t="shared" si="12"/>
        <v>0</v>
      </c>
      <c r="I77" s="104">
        <f>COUNTIFS(เรื่องร้องเรียน!E:E,"1",เรื่องร้องเรียน!AO:AO,"7",เรื่องร้องเรียน!AN:AN,"บางยี่ขัน",เรื่องร้องเรียน!AQ:AQ,"1",เรื่องร้องเรียน!CN:CN,"1")</f>
        <v>0</v>
      </c>
      <c r="J77" s="101">
        <f>COUNTIFS(เรื่องร้องเรียน!E:E,"2",เรื่องร้องเรียน!AO:AO,"7",เรื่องร้องเรียน!AN:AN,"บางยี่ขัน",เรื่องร้องเรียน!AQ:AQ,"1",เรื่องร้องเรียน!CN:CN,"1")</f>
        <v>0</v>
      </c>
      <c r="K77" s="101">
        <f>COUNTIFS(เรื่องร้องเรียน!E:E,"3",เรื่องร้องเรียน!AO:AO,"7",เรื่องร้องเรียน!AN:AN,"บางยี่ขัน",เรื่องร้องเรียน!AQ:AQ,"1",เรื่องร้องเรียน!CN:CN,"1")</f>
        <v>0</v>
      </c>
      <c r="L77" s="101">
        <f>COUNTIFS(เรื่องร้องเรียน!E:E,"4",เรื่องร้องเรียน!AO:AO,"7",เรื่องร้องเรียน!AN:AN,"บางยี่ขัน",เรื่องร้องเรียน!AQ:AQ,"1",เรื่องร้องเรียน!CN:CN,"1")</f>
        <v>0</v>
      </c>
      <c r="M77" s="101">
        <f>COUNTIFS(เรื่องร้องเรียน!E:E,"5",เรื่องร้องเรียน!AO:AO,"7",เรื่องร้องเรียน!AN:AN,"บางยี่ขัน",เรื่องร้องเรียน!AQ:AQ,"1",เรื่องร้องเรียน!CN:CN,"1")</f>
        <v>0</v>
      </c>
      <c r="N77" s="241">
        <f t="shared" si="13"/>
        <v>0</v>
      </c>
      <c r="O77" s="183">
        <f t="shared" si="11"/>
        <v>0</v>
      </c>
    </row>
    <row r="78" spans="1:15">
      <c r="A78" s="107"/>
      <c r="B78" s="227" t="s">
        <v>190</v>
      </c>
      <c r="C78" s="104">
        <f>COUNTIFS(เรื่องร้องเรียน!E:E,"1",เรื่องร้องเรียน!AO:AO,"7",เรื่องร้องเรียน!AN:AN,"บางเสาธง",เรื่องร้องเรียน!CN:CN,"1")</f>
        <v>0</v>
      </c>
      <c r="D78" s="101">
        <f>COUNTIFS(เรื่องร้องเรียน!E:E,"2",เรื่องร้องเรียน!AO:AO,"7",เรื่องร้องเรียน!AN:AN,"บางเสาธง",เรื่องร้องเรียน!CN:CN,"1")</f>
        <v>0</v>
      </c>
      <c r="E78" s="101">
        <f>COUNTIFS(เรื่องร้องเรียน!E:E,"3",เรื่องร้องเรียน!AO:AO,"7",เรื่องร้องเรียน!AN:AN,"บางเสาธง",เรื่องร้องเรียน!CN:CN,"1")</f>
        <v>0</v>
      </c>
      <c r="F78" s="101">
        <f>COUNTIFS(เรื่องร้องเรียน!E:E,"4",เรื่องร้องเรียน!AO:AO,"7",เรื่องร้องเรียน!AN:AN,"บางเสาธง",เรื่องร้องเรียน!CN:CN,"1")</f>
        <v>0</v>
      </c>
      <c r="G78" s="101">
        <f>COUNTIFS(เรื่องร้องเรียน!E:E,"5",เรื่องร้องเรียน!AO:AO,"7",เรื่องร้องเรียน!AN:AN,"บางเสาธง",เรื่องร้องเรียน!CN:CN,"1")</f>
        <v>0</v>
      </c>
      <c r="H78" s="235">
        <f t="shared" si="12"/>
        <v>0</v>
      </c>
      <c r="I78" s="104">
        <f>COUNTIFS(เรื่องร้องเรียน!E:E,"1",เรื่องร้องเรียน!AO:AO,"7",เรื่องร้องเรียน!AN:AN,"บางเสาธง",เรื่องร้องเรียน!AQ:AQ,"1",เรื่องร้องเรียน!CN:CN,"1")</f>
        <v>0</v>
      </c>
      <c r="J78" s="101">
        <f>COUNTIFS(เรื่องร้องเรียน!E:E,"2",เรื่องร้องเรียน!AO:AO,"7",เรื่องร้องเรียน!AN:AN,"บางเสาธง",เรื่องร้องเรียน!AQ:AQ,"1",เรื่องร้องเรียน!CN:CN,"1")</f>
        <v>0</v>
      </c>
      <c r="K78" s="101">
        <f>COUNTIFS(เรื่องร้องเรียน!E:E,"3",เรื่องร้องเรียน!AO:AO,"7",เรื่องร้องเรียน!AN:AN,"บางเสาธง",เรื่องร้องเรียน!AQ:AQ,"1",เรื่องร้องเรียน!CN:CN,"1")</f>
        <v>0</v>
      </c>
      <c r="L78" s="101">
        <f>COUNTIFS(เรื่องร้องเรียน!E:E,"4",เรื่องร้องเรียน!AO:AO,"7",เรื่องร้องเรียน!AN:AN,"บางเสาธง",เรื่องร้องเรียน!AQ:AQ,"1",เรื่องร้องเรียน!CN:CN,"1")</f>
        <v>0</v>
      </c>
      <c r="M78" s="101">
        <f>COUNTIFS(เรื่องร้องเรียน!E:E,"5",เรื่องร้องเรียน!AO:AO,"7",เรื่องร้องเรียน!AN:AN,"บางเสาธง",เรื่องร้องเรียน!AQ:AQ,"1",เรื่องร้องเรียน!CN:CN,"1")</f>
        <v>0</v>
      </c>
      <c r="N78" s="241">
        <f t="shared" si="13"/>
        <v>0</v>
      </c>
      <c r="O78" s="183">
        <f t="shared" si="11"/>
        <v>0</v>
      </c>
    </row>
    <row r="79" spans="1:15">
      <c r="A79" s="107"/>
      <c r="B79" s="227" t="s">
        <v>191</v>
      </c>
      <c r="C79" s="104">
        <f>COUNTIFS(เรื่องร้องเรียน!E:E,"1",เรื่องร้องเรียน!AO:AO,"7",เรื่องร้องเรียน!AN:AN,"ศาลาแดง",เรื่องร้องเรียน!CN:CN,"1")</f>
        <v>0</v>
      </c>
      <c r="D79" s="101">
        <f>COUNTIFS(เรื่องร้องเรียน!E:E,"2",เรื่องร้องเรียน!AO:AO,"7",เรื่องร้องเรียน!AN:AN,"ศาลาแดง",เรื่องร้องเรียน!CN:CN,"1")</f>
        <v>0</v>
      </c>
      <c r="E79" s="101">
        <f>COUNTIFS(เรื่องร้องเรียน!E:E,"3",เรื่องร้องเรียน!AO:AO,"7",เรื่องร้องเรียน!AN:AN,"ศาลาแดง",เรื่องร้องเรียน!CN:CN,"1")</f>
        <v>0</v>
      </c>
      <c r="F79" s="101">
        <f>COUNTIFS(เรื่องร้องเรียน!E:E,"4",เรื่องร้องเรียน!AO:AO,"7",เรื่องร้องเรียน!AN:AN,"ศาลาแดง",เรื่องร้องเรียน!CN:CN,"1")</f>
        <v>0</v>
      </c>
      <c r="G79" s="101">
        <f>COUNTIFS(เรื่องร้องเรียน!E:E,"5",เรื่องร้องเรียน!AO:AO,"7",เรื่องร้องเรียน!AN:AN,"ศาลาแดง",เรื่องร้องเรียน!CN:CN,"1")</f>
        <v>0</v>
      </c>
      <c r="H79" s="235">
        <f t="shared" si="12"/>
        <v>0</v>
      </c>
      <c r="I79" s="104">
        <f>COUNTIFS(เรื่องร้องเรียน!E:E,"1",เรื่องร้องเรียน!AO:AO,"7",เรื่องร้องเรียน!AN:AN,"ศาลาแดง",เรื่องร้องเรียน!AQ:AQ,"1",เรื่องร้องเรียน!CN:CN,"1")</f>
        <v>0</v>
      </c>
      <c r="J79" s="101">
        <f>COUNTIFS(เรื่องร้องเรียน!E:E,"2",เรื่องร้องเรียน!AO:AO,"7",เรื่องร้องเรียน!AN:AN,"ศาลาแดง",เรื่องร้องเรียน!AQ:AQ,"1",เรื่องร้องเรียน!CN:CN,"1")</f>
        <v>0</v>
      </c>
      <c r="K79" s="101">
        <f>COUNTIFS(เรื่องร้องเรียน!E:E,"3",เรื่องร้องเรียน!AO:AO,"7",เรื่องร้องเรียน!AN:AN,"ศาลาแดง",เรื่องร้องเรียน!AQ:AQ,"1",เรื่องร้องเรียน!CN:CN,"1")</f>
        <v>0</v>
      </c>
      <c r="L79" s="101">
        <f>COUNTIFS(เรื่องร้องเรียน!E:E,"4",เรื่องร้องเรียน!AO:AO,"7",เรื่องร้องเรียน!AN:AN,"ศาลาแดง",เรื่องร้องเรียน!AQ:AQ,"1",เรื่องร้องเรียน!CN:CN,"1")</f>
        <v>0</v>
      </c>
      <c r="M79" s="101">
        <f>COUNTIFS(เรื่องร้องเรียน!E:E,"5",เรื่องร้องเรียน!AO:AO,"7",เรื่องร้องเรียน!AN:AN,"ศาลาแดง",เรื่องร้องเรียน!AQ:AQ,"1",เรื่องร้องเรียน!CN:CN,"1")</f>
        <v>0</v>
      </c>
      <c r="N79" s="241">
        <f t="shared" si="13"/>
        <v>0</v>
      </c>
      <c r="O79" s="183">
        <f t="shared" si="11"/>
        <v>0</v>
      </c>
    </row>
    <row r="80" spans="1:15" ht="21.6" thickBot="1">
      <c r="A80" s="111"/>
      <c r="B80" s="228" t="s">
        <v>192</v>
      </c>
      <c r="C80" s="123">
        <f>COUNTIFS(เรื่องร้องเรียน!E:E,"1",เรื่องร้องเรียน!AO:AO,"7",เรื่องร้องเรียน!AN:AN,"บวรมงคล",เรื่องร้องเรียน!CN:CN,"1")</f>
        <v>0</v>
      </c>
      <c r="D80" s="117">
        <f>COUNTIFS(เรื่องร้องเรียน!E:E,"2",เรื่องร้องเรียน!AO:AO,"7",เรื่องร้องเรียน!AN:AN,"บวรมงคล",เรื่องร้องเรียน!CN:CN,"1")</f>
        <v>0</v>
      </c>
      <c r="E80" s="117">
        <f>COUNTIFS(เรื่องร้องเรียน!E:E,"3",เรื่องร้องเรียน!AO:AO,"7",เรื่องร้องเรียน!AN:AN,"บวรมงคล",เรื่องร้องเรียน!CN:CN,"1")</f>
        <v>0</v>
      </c>
      <c r="F80" s="117">
        <f>COUNTIFS(เรื่องร้องเรียน!E:E,"4",เรื่องร้องเรียน!AO:AO,"7",เรื่องร้องเรียน!AN:AN,"บวรมงคล",เรื่องร้องเรียน!CN:CN,"1")</f>
        <v>0</v>
      </c>
      <c r="G80" s="101">
        <f>COUNTIFS(เรื่องร้องเรียน!E:E,"5",เรื่องร้องเรียน!AO:AO,"7",เรื่องร้องเรียน!AN:AN,"บวรมงคล",เรื่องร้องเรียน!CN:CN,"1")</f>
        <v>0</v>
      </c>
      <c r="H80" s="236">
        <f t="shared" si="12"/>
        <v>0</v>
      </c>
      <c r="I80" s="123">
        <f>COUNTIFS(เรื่องร้องเรียน!E:E,"1",เรื่องร้องเรียน!AO:AO,"7",เรื่องร้องเรียน!AN:AN,"บวรมงคล",เรื่องร้องเรียน!AQ:AQ,"1",เรื่องร้องเรียน!CN:CN,"1")</f>
        <v>0</v>
      </c>
      <c r="J80" s="117">
        <f>COUNTIFS(เรื่องร้องเรียน!E:E,"2",เรื่องร้องเรียน!AO:AO,"7",เรื่องร้องเรียน!AN:AN,"บวรมงคล",เรื่องร้องเรียน!AQ:AQ,"1",เรื่องร้องเรียน!CN:CN,"1")</f>
        <v>0</v>
      </c>
      <c r="K80" s="117">
        <f>COUNTIFS(เรื่องร้องเรียน!E:E,"3",เรื่องร้องเรียน!AO:AO,"7",เรื่องร้องเรียน!AN:AN,"บวรมงคล",เรื่องร้องเรียน!AQ:AQ,"1",เรื่องร้องเรียน!CN:CN,"1")</f>
        <v>0</v>
      </c>
      <c r="L80" s="117">
        <f>COUNTIFS(เรื่องร้องเรียน!E:E,"4",เรื่องร้องเรียน!AO:AO,"7",เรื่องร้องเรียน!AN:AN,"บวรมงคล",เรื่องร้องเรียน!AQ:AQ,"1",เรื่องร้องเรียน!CN:CN,"1")</f>
        <v>0</v>
      </c>
      <c r="M80" s="101">
        <f>COUNTIFS(เรื่องร้องเรียน!E:E,"5",เรื่องร้องเรียน!AO:AO,"7",เรื่องร้องเรียน!AN:AN,"บวรมงคล",เรื่องร้องเรียน!AQ:AQ,"1",เรื่องร้องเรียน!CN:CN,"1")</f>
        <v>0</v>
      </c>
      <c r="N80" s="236">
        <f t="shared" si="13"/>
        <v>0</v>
      </c>
      <c r="O80" s="190">
        <f t="shared" si="11"/>
        <v>0</v>
      </c>
    </row>
    <row r="81" spans="1:15" ht="21.6" thickBot="1">
      <c r="A81" s="264">
        <v>8</v>
      </c>
      <c r="B81" s="276"/>
      <c r="C81" s="266">
        <f>SUM(C82:C92)</f>
        <v>0</v>
      </c>
      <c r="D81" s="267">
        <f t="shared" ref="D81:M81" si="14">SUM(D82:D92)</f>
        <v>0</v>
      </c>
      <c r="E81" s="267">
        <f t="shared" si="14"/>
        <v>0</v>
      </c>
      <c r="F81" s="267">
        <f t="shared" si="14"/>
        <v>0</v>
      </c>
      <c r="G81" s="267">
        <f t="shared" si="14"/>
        <v>0</v>
      </c>
      <c r="H81" s="268">
        <f t="shared" si="12"/>
        <v>0</v>
      </c>
      <c r="I81" s="266">
        <f t="shared" si="14"/>
        <v>0</v>
      </c>
      <c r="J81" s="267">
        <f t="shared" si="14"/>
        <v>0</v>
      </c>
      <c r="K81" s="267">
        <f t="shared" si="14"/>
        <v>0</v>
      </c>
      <c r="L81" s="267">
        <f t="shared" si="14"/>
        <v>0</v>
      </c>
      <c r="M81" s="267">
        <f t="shared" si="14"/>
        <v>0</v>
      </c>
      <c r="N81" s="268">
        <f t="shared" si="13"/>
        <v>0</v>
      </c>
      <c r="O81" s="263">
        <f t="shared" si="11"/>
        <v>0</v>
      </c>
    </row>
    <row r="82" spans="1:15">
      <c r="A82" s="98"/>
      <c r="B82" s="226" t="s">
        <v>193</v>
      </c>
      <c r="C82" s="104">
        <f>COUNTIFS(เรื่องร้องเรียน!E:E,"1",เรื่องร้องเรียน!AO:AO,"8",เรื่องร้องเรียน!AN:AN,"ตลาดพลู",เรื่องร้องเรียน!CN:CN,"1")</f>
        <v>0</v>
      </c>
      <c r="D82" s="101">
        <f>COUNTIFS(เรื่องร้องเรียน!E:E,"2",เรื่องร้องเรียน!AO:AO,"8",เรื่องร้องเรียน!AN:AN,"ตลาดพลู",เรื่องร้องเรียน!CN:CN,"1")</f>
        <v>0</v>
      </c>
      <c r="E82" s="101">
        <f>COUNTIFS(เรื่องร้องเรียน!E:E,"3",เรื่องร้องเรียน!AO:AO,"8",เรื่องร้องเรียน!AN:AN,"ตลาดพลู",เรื่องร้องเรียน!CN:CN,"1")</f>
        <v>0</v>
      </c>
      <c r="F82" s="101">
        <f>COUNTIFS(เรื่องร้องเรียน!E:E,"4",เรื่องร้องเรียน!AO:AO,"8",เรื่องร้องเรียน!AN:AN,"ตลาดพลู",เรื่องร้องเรียน!CN:CN,"1")</f>
        <v>0</v>
      </c>
      <c r="G82" s="101">
        <f>COUNTIFS(เรื่องร้องเรียน!E:E,"5",เรื่องร้องเรียน!AO:AO,"8",เรื่องร้องเรียน!AN:AN,"ตลาดพลู",เรื่องร้องเรียน!CN:CN,"1")</f>
        <v>0</v>
      </c>
      <c r="H82" s="235">
        <f t="shared" si="12"/>
        <v>0</v>
      </c>
      <c r="I82" s="104">
        <f>COUNTIFS(เรื่องร้องเรียน!E:E,"1",เรื่องร้องเรียน!AO:AO,"8",เรื่องร้องเรียน!AN:AN,"ตลาดพลู",เรื่องร้องเรียน!AQ:AQ,"1",เรื่องร้องเรียน!CN:CN,"1")</f>
        <v>0</v>
      </c>
      <c r="J82" s="101">
        <f>COUNTIFS(เรื่องร้องเรียน!E:E,"2",เรื่องร้องเรียน!AO:AO,"8",เรื่องร้องเรียน!AN:AN,"ตลาดพลู",เรื่องร้องเรียน!AQ:AQ,"1",เรื่องร้องเรียน!CN:CN,"1")</f>
        <v>0</v>
      </c>
      <c r="K82" s="101">
        <f>COUNTIFS(เรื่องร้องเรียน!E:E,"3",เรื่องร้องเรียน!AO:AO,"8",เรื่องร้องเรียน!AN:AN,"ตลาดพลู",เรื่องร้องเรียน!AQ:AQ,"1",เรื่องร้องเรียน!CN:CN,"1")</f>
        <v>0</v>
      </c>
      <c r="L82" s="101">
        <f>COUNTIFS(เรื่องร้องเรียน!E:E,"4",เรื่องร้องเรียน!AO:AO,"8",เรื่องร้องเรียน!AN:AN,"ตลาดพลู",เรื่องร้องเรียน!AQ:AQ,"1",เรื่องร้องเรียน!CN:CN,"1")</f>
        <v>0</v>
      </c>
      <c r="M82" s="101">
        <f>COUNTIFS(เรื่องร้องเรียน!E:E,"5",เรื่องร้องเรียน!AO:AO,"8",เรื่องร้องเรียน!AN:AN,"ตลาดพลู",เรื่องร้องเรียน!AQ:AQ,"1",เรื่องร้องเรียน!CN:CN,"1")</f>
        <v>0</v>
      </c>
      <c r="N82" s="235">
        <f t="shared" si="13"/>
        <v>0</v>
      </c>
      <c r="O82" s="238">
        <f t="shared" si="11"/>
        <v>0</v>
      </c>
    </row>
    <row r="83" spans="1:15">
      <c r="A83" s="107"/>
      <c r="B83" s="227" t="s">
        <v>194</v>
      </c>
      <c r="C83" s="104">
        <f>COUNTIFS(เรื่องร้องเรียน!E:E,"1",เรื่องร้องเรียน!AO:AO,"8",เรื่องร้องเรียน!AN:AN,"ทุ่งครุ",เรื่องร้องเรียน!CN:CN,"1")</f>
        <v>0</v>
      </c>
      <c r="D83" s="101">
        <f>COUNTIFS(เรื่องร้องเรียน!E:E,"2",เรื่องร้องเรียน!AO:AO,"8",เรื่องร้องเรียน!AN:AN,"ทุ่งครุ",เรื่องร้องเรียน!CN:CN,"1")</f>
        <v>0</v>
      </c>
      <c r="E83" s="101">
        <f>COUNTIFS(เรื่องร้องเรียน!E:E,"3",เรื่องร้องเรียน!AO:AO,"8",เรื่องร้องเรียน!AN:AN,"ทุ่งครุ",เรื่องร้องเรียน!CN:CN,"1")</f>
        <v>0</v>
      </c>
      <c r="F83" s="101">
        <f>COUNTIFS(เรื่องร้องเรียน!E:E,"4",เรื่องร้องเรียน!AO:AO,"8",เรื่องร้องเรียน!AN:AN,"ทุ่งครุ",เรื่องร้องเรียน!CN:CN,"1")</f>
        <v>0</v>
      </c>
      <c r="G83" s="101">
        <f>COUNTIFS(เรื่องร้องเรียน!E:E,"5",เรื่องร้องเรียน!AO:AO,"8",เรื่องร้องเรียน!AN:AN,"ทุ่งครุ",เรื่องร้องเรียน!CN:CN,"1")</f>
        <v>0</v>
      </c>
      <c r="H83" s="235">
        <f t="shared" si="12"/>
        <v>0</v>
      </c>
      <c r="I83" s="104">
        <f>COUNTIFS(เรื่องร้องเรียน!E:E,"1",เรื่องร้องเรียน!AO:AO,"8",เรื่องร้องเรียน!AN:AN,"ทุ่งครุ",เรื่องร้องเรียน!AQ:AQ,"1",เรื่องร้องเรียน!CN:CN,"1")</f>
        <v>0</v>
      </c>
      <c r="J83" s="101">
        <f>COUNTIFS(เรื่องร้องเรียน!E:E,"2",เรื่องร้องเรียน!AO:AO,"8",เรื่องร้องเรียน!AN:AN,"ทุ่งครุ",เรื่องร้องเรียน!AQ:AQ,"1",เรื่องร้องเรียน!CN:CN,"1")</f>
        <v>0</v>
      </c>
      <c r="K83" s="101">
        <f>COUNTIFS(เรื่องร้องเรียน!E:E,"3",เรื่องร้องเรียน!AO:AO,"8",เรื่องร้องเรียน!AN:AN,"ทุ่งครุ",เรื่องร้องเรียน!AQ:AQ,"1",เรื่องร้องเรียน!CN:CN,"1")</f>
        <v>0</v>
      </c>
      <c r="L83" s="101">
        <f>COUNTIFS(เรื่องร้องเรียน!E:E,"4",เรื่องร้องเรียน!AO:AO,"8",เรื่องร้องเรียน!AN:AN,"ทุ่งครุ",เรื่องร้องเรียน!AQ:AQ,"1",เรื่องร้องเรียน!CN:CN,"1")</f>
        <v>0</v>
      </c>
      <c r="M83" s="101">
        <f>COUNTIFS(เรื่องร้องเรียน!E:E,"5",เรื่องร้องเรียน!AO:AO,"8",เรื่องร้องเรียน!AN:AN,"ทุ่งครุ",เรื่องร้องเรียน!AQ:AQ,"1",เรื่องร้องเรียน!CN:CN,"1")</f>
        <v>0</v>
      </c>
      <c r="N83" s="241">
        <f t="shared" si="13"/>
        <v>0</v>
      </c>
      <c r="O83" s="183">
        <f t="shared" si="11"/>
        <v>0</v>
      </c>
    </row>
    <row r="84" spans="1:15">
      <c r="A84" s="107"/>
      <c r="B84" s="227" t="s">
        <v>110</v>
      </c>
      <c r="C84" s="104">
        <f>COUNTIFS(เรื่องร้องเรียน!E:E,"1",เรื่องร้องเรียน!AO:AO,"8",เรื่องร้องเรียน!AN:AN,"บางมด",เรื่องร้องเรียน!CN:CN,"1")</f>
        <v>0</v>
      </c>
      <c r="D84" s="101">
        <f>COUNTIFS(เรื่องร้องเรียน!E:E,"2",เรื่องร้องเรียน!AO:AO,"8",เรื่องร้องเรียน!AN:AN,"บางมด",เรื่องร้องเรียน!CN:CN,"1")</f>
        <v>0</v>
      </c>
      <c r="E84" s="101">
        <f>COUNTIFS(เรื่องร้องเรียน!E:E,"3",เรื่องร้องเรียน!AO:AO,"8",เรื่องร้องเรียน!AN:AN,"บางมด",เรื่องร้องเรียน!CN:CN,"1")</f>
        <v>0</v>
      </c>
      <c r="F84" s="101">
        <f>COUNTIFS(เรื่องร้องเรียน!E:E,"4",เรื่องร้องเรียน!AO:AO,"8",เรื่องร้องเรียน!AN:AN,"บางมด",เรื่องร้องเรียน!CN:CN,"1")</f>
        <v>0</v>
      </c>
      <c r="G84" s="101">
        <f>COUNTIFS(เรื่องร้องเรียน!E:E,"5",เรื่องร้องเรียน!AO:AO,"8",เรื่องร้องเรียน!AN:AN,"บางมด",เรื่องร้องเรียน!CN:CN,"1")</f>
        <v>0</v>
      </c>
      <c r="H84" s="235">
        <f t="shared" si="12"/>
        <v>0</v>
      </c>
      <c r="I84" s="104">
        <f>COUNTIFS(เรื่องร้องเรียน!E:E,"1",เรื่องร้องเรียน!AO:AO,"8",เรื่องร้องเรียน!AN:AN,"บางมด",เรื่องร้องเรียน!AQ:AQ,"1",เรื่องร้องเรียน!CN:CN,"1")</f>
        <v>0</v>
      </c>
      <c r="J84" s="101">
        <f>COUNTIFS(เรื่องร้องเรียน!E:E,"2",เรื่องร้องเรียน!AO:AO,"8",เรื่องร้องเรียน!AN:AN,"บางมด",เรื่องร้องเรียน!AQ:AQ,"1",เรื่องร้องเรียน!CN:CN,"1")</f>
        <v>0</v>
      </c>
      <c r="K84" s="101">
        <f>COUNTIFS(เรื่องร้องเรียน!E:E,"3",เรื่องร้องเรียน!AO:AO,"8",เรื่องร้องเรียน!AN:AN,"บางมด",เรื่องร้องเรียน!AQ:AQ,"1",เรื่องร้องเรียน!CN:CN,"1")</f>
        <v>0</v>
      </c>
      <c r="L84" s="101">
        <f>COUNTIFS(เรื่องร้องเรียน!E:E,"4",เรื่องร้องเรียน!AO:AO,"8",เรื่องร้องเรียน!AN:AN,"บางมด",เรื่องร้องเรียน!AQ:AQ,"1",เรื่องร้องเรียน!CN:CN,"1")</f>
        <v>0</v>
      </c>
      <c r="M84" s="101">
        <f>COUNTIFS(เรื่องร้องเรียน!E:E,"5",เรื่องร้องเรียน!AO:AO,"8",เรื่องร้องเรียน!AN:AN,"บางมด",เรื่องร้องเรียน!AQ:AQ,"1",เรื่องร้องเรียน!CN:CN,"1")</f>
        <v>0</v>
      </c>
      <c r="N84" s="241">
        <f t="shared" si="13"/>
        <v>0</v>
      </c>
      <c r="O84" s="183">
        <f t="shared" si="11"/>
        <v>0</v>
      </c>
    </row>
    <row r="85" spans="1:15">
      <c r="A85" s="107"/>
      <c r="B85" s="227" t="s">
        <v>195</v>
      </c>
      <c r="C85" s="104">
        <f>COUNTIFS(เรื่องร้องเรียน!E:E,"1",เรื่องร้องเรียน!AO:AO,"8",เรื่องร้องเรียน!AN:AN,"บางยี่เรือ",เรื่องร้องเรียน!CN:CN,"1")</f>
        <v>0</v>
      </c>
      <c r="D85" s="101">
        <f>COUNTIFS(เรื่องร้องเรียน!E:E,"2",เรื่องร้องเรียน!AO:AO,"8",เรื่องร้องเรียน!AN:AN,"บางยี่เรือ",เรื่องร้องเรียน!CN:CN,"1")</f>
        <v>0</v>
      </c>
      <c r="E85" s="101">
        <f>COUNTIFS(เรื่องร้องเรียน!E:E,"3",เรื่องร้องเรียน!AO:AO,"8",เรื่องร้องเรียน!AN:AN,"บางยี่เรือ",เรื่องร้องเรียน!CN:CN,"1")</f>
        <v>0</v>
      </c>
      <c r="F85" s="101">
        <f>COUNTIFS(เรื่องร้องเรียน!E:E,"4",เรื่องร้องเรียน!AO:AO,"8",เรื่องร้องเรียน!AN:AN,"บางยี่เรือ",เรื่องร้องเรียน!CN:CN,"1")</f>
        <v>0</v>
      </c>
      <c r="G85" s="101">
        <f>COUNTIFS(เรื่องร้องเรียน!E:E,"5",เรื่องร้องเรียน!AO:AO,"8",เรื่องร้องเรียน!AN:AN,"บางยี่เรือ",เรื่องร้องเรียน!CN:CN,"1")</f>
        <v>0</v>
      </c>
      <c r="H85" s="235">
        <f t="shared" si="12"/>
        <v>0</v>
      </c>
      <c r="I85" s="104">
        <f>COUNTIFS(เรื่องร้องเรียน!E:E,"1",เรื่องร้องเรียน!AO:AO,"8",เรื่องร้องเรียน!AN:AN,"บางยี่เรือ",เรื่องร้องเรียน!AQ:AQ,"1",เรื่องร้องเรียน!CN:CN,"1")</f>
        <v>0</v>
      </c>
      <c r="J85" s="101">
        <f>COUNTIFS(เรื่องร้องเรียน!E:E,"2",เรื่องร้องเรียน!AO:AO,"8",เรื่องร้องเรียน!AN:AN,"บางยี่เรือ",เรื่องร้องเรียน!AQ:AQ,"1",เรื่องร้องเรียน!CN:CN,"1")</f>
        <v>0</v>
      </c>
      <c r="K85" s="101">
        <f>COUNTIFS(เรื่องร้องเรียน!E:E,"3",เรื่องร้องเรียน!AO:AO,"8",เรื่องร้องเรียน!AN:AN,"บางยี่เรือ",เรื่องร้องเรียน!AQ:AQ,"1",เรื่องร้องเรียน!CN:CN,"1")</f>
        <v>0</v>
      </c>
      <c r="L85" s="101">
        <f>COUNTIFS(เรื่องร้องเรียน!E:E,"4",เรื่องร้องเรียน!AO:AO,"8",เรื่องร้องเรียน!AN:AN,"บางยี่เรือ",เรื่องร้องเรียน!AQ:AQ,"1",เรื่องร้องเรียน!CN:CN,"1")</f>
        <v>0</v>
      </c>
      <c r="M85" s="101">
        <f>COUNTIFS(เรื่องร้องเรียน!E:E,"5",เรื่องร้องเรียน!AO:AO,"8",เรื่องร้องเรียน!AN:AN,"บางยี่เรือ",เรื่องร้องเรียน!AQ:AQ,"1",เรื่องร้องเรียน!CN:CN,"1")</f>
        <v>0</v>
      </c>
      <c r="N85" s="241">
        <f t="shared" si="13"/>
        <v>0</v>
      </c>
      <c r="O85" s="183">
        <f t="shared" si="11"/>
        <v>0</v>
      </c>
    </row>
    <row r="86" spans="1:15">
      <c r="A86" s="107"/>
      <c r="B86" s="227" t="s">
        <v>196</v>
      </c>
      <c r="C86" s="104">
        <f>COUNTIFS(เรื่องร้องเรียน!E:E,"1",เรื่องร้องเรียน!AO:AO,"8",เรื่องร้องเรียน!AN:AN,"บุคคโล",เรื่องร้องเรียน!CN:CN,"1")</f>
        <v>0</v>
      </c>
      <c r="D86" s="101">
        <f>COUNTIFS(เรื่องร้องเรียน!E:E,"2",เรื่องร้องเรียน!AO:AO,"8",เรื่องร้องเรียน!AN:AN,"บุคคโล",เรื่องร้องเรียน!CN:CN,"1")</f>
        <v>0</v>
      </c>
      <c r="E86" s="101">
        <f>COUNTIFS(เรื่องร้องเรียน!E:E,"3",เรื่องร้องเรียน!AO:AO,"8",เรื่องร้องเรียน!AN:AN,"บุคคโล",เรื่องร้องเรียน!CN:CN,"1")</f>
        <v>0</v>
      </c>
      <c r="F86" s="101">
        <f>COUNTIFS(เรื่องร้องเรียน!E:E,"4",เรื่องร้องเรียน!AO:AO,"8",เรื่องร้องเรียน!AN:AN,"บุคคโล",เรื่องร้องเรียน!CN:CN,"1")</f>
        <v>0</v>
      </c>
      <c r="G86" s="101">
        <f>COUNTIFS(เรื่องร้องเรียน!E:E,"5",เรื่องร้องเรียน!AO:AO,"8",เรื่องร้องเรียน!AN:AN,"บุคคโล",เรื่องร้องเรียน!CN:CN,"1")</f>
        <v>0</v>
      </c>
      <c r="H86" s="235">
        <f t="shared" si="12"/>
        <v>0</v>
      </c>
      <c r="I86" s="104">
        <f>COUNTIFS(เรื่องร้องเรียน!E:E,"1",เรื่องร้องเรียน!AO:AO,"8",เรื่องร้องเรียน!AN:AN,"บุคคโล",เรื่องร้องเรียน!AQ:AQ,"1",เรื่องร้องเรียน!CN:CN,"1")</f>
        <v>0</v>
      </c>
      <c r="J86" s="101">
        <f>COUNTIFS(เรื่องร้องเรียน!E:E,"2",เรื่องร้องเรียน!AO:AO,"8",เรื่องร้องเรียน!AN:AN,"บุคคโล",เรื่องร้องเรียน!AQ:AQ,"1",เรื่องร้องเรียน!CN:CN,"1")</f>
        <v>0</v>
      </c>
      <c r="K86" s="101">
        <f>COUNTIFS(เรื่องร้องเรียน!E:E,"3",เรื่องร้องเรียน!AO:AO,"8",เรื่องร้องเรียน!AN:AN,"บุคคโล",เรื่องร้องเรียน!AQ:AQ,"1",เรื่องร้องเรียน!CN:CN,"1")</f>
        <v>0</v>
      </c>
      <c r="L86" s="101">
        <f>COUNTIFS(เรื่องร้องเรียน!E:E,"4",เรื่องร้องเรียน!AO:AO,"8",เรื่องร้องเรียน!AN:AN,"บุคคโล",เรื่องร้องเรียน!AQ:AQ,"1",เรื่องร้องเรียน!CN:CN,"1")</f>
        <v>0</v>
      </c>
      <c r="M86" s="101">
        <f>COUNTIFS(เรื่องร้องเรียน!E:E,"5",เรื่องร้องเรียน!AO:AO,"8",เรื่องร้องเรียน!AN:AN,"บุคคโล",เรื่องร้องเรียน!AQ:AQ,"1",เรื่องร้องเรียน!CN:CN,"1")</f>
        <v>0</v>
      </c>
      <c r="N86" s="241">
        <f t="shared" si="13"/>
        <v>0</v>
      </c>
      <c r="O86" s="183">
        <f t="shared" si="11"/>
        <v>0</v>
      </c>
    </row>
    <row r="87" spans="1:15">
      <c r="A87" s="107"/>
      <c r="B87" s="227" t="s">
        <v>123</v>
      </c>
      <c r="C87" s="104">
        <f>COUNTIFS(เรื่องร้องเรียน!E:E,"1",เรื่องร้องเรียน!AO:AO,"8",เรื่องร้องเรียน!AN:AN,"บุปผาราม",เรื่องร้องเรียน!CN:CN,"1")</f>
        <v>0</v>
      </c>
      <c r="D87" s="101">
        <f>COUNTIFS(เรื่องร้องเรียน!E:E,"2",เรื่องร้องเรียน!AO:AO,"8",เรื่องร้องเรียน!AN:AN,"บุปผาราม",เรื่องร้องเรียน!CN:CN,"1")</f>
        <v>0</v>
      </c>
      <c r="E87" s="101">
        <f>COUNTIFS(เรื่องร้องเรียน!E:E,"3",เรื่องร้องเรียน!AO:AO,"8",เรื่องร้องเรียน!AN:AN,"บุปผาราม",เรื่องร้องเรียน!CN:CN,"1")</f>
        <v>0</v>
      </c>
      <c r="F87" s="101">
        <f>COUNTIFS(เรื่องร้องเรียน!E:E,"4",เรื่องร้องเรียน!AO:AO,"8",เรื่องร้องเรียน!AN:AN,"บุปผาราม",เรื่องร้องเรียน!CN:CN,"1")</f>
        <v>0</v>
      </c>
      <c r="G87" s="101">
        <f>COUNTIFS(เรื่องร้องเรียน!E:E,"5",เรื่องร้องเรียน!AO:AO,"8",เรื่องร้องเรียน!AN:AN,"บุปผาราม",เรื่องร้องเรียน!CN:CN,"1")</f>
        <v>0</v>
      </c>
      <c r="H87" s="235">
        <f t="shared" si="12"/>
        <v>0</v>
      </c>
      <c r="I87" s="104">
        <f>COUNTIFS(เรื่องร้องเรียน!E:E,"1",เรื่องร้องเรียน!AO:AO,"8",เรื่องร้องเรียน!AN:AN,"บุปผาราม",เรื่องร้องเรียน!AQ:AQ,"1",เรื่องร้องเรียน!CN:CN,"1")</f>
        <v>0</v>
      </c>
      <c r="J87" s="101">
        <f>COUNTIFS(เรื่องร้องเรียน!E:E,"2",เรื่องร้องเรียน!AO:AO,"8",เรื่องร้องเรียน!AN:AN,"บุปผาราม",เรื่องร้องเรียน!AQ:AQ,"1",เรื่องร้องเรียน!CN:CN,"1")</f>
        <v>0</v>
      </c>
      <c r="K87" s="101">
        <f>COUNTIFS(เรื่องร้องเรียน!E:E,"3",เรื่องร้องเรียน!AO:AO,"8",เรื่องร้องเรียน!AN:AN,"บุปผาราม",เรื่องร้องเรียน!AQ:AQ,"1",เรื่องร้องเรียน!CN:CN,"1")</f>
        <v>0</v>
      </c>
      <c r="L87" s="101">
        <f>COUNTIFS(เรื่องร้องเรียน!E:E,"4",เรื่องร้องเรียน!AO:AO,"8",เรื่องร้องเรียน!AN:AN,"บุปผาราม",เรื่องร้องเรียน!AQ:AQ,"1",เรื่องร้องเรียน!CN:CN,"1")</f>
        <v>0</v>
      </c>
      <c r="M87" s="101">
        <f>COUNTIFS(เรื่องร้องเรียน!E:E,"5",เรื่องร้องเรียน!AO:AO,"8",เรื่องร้องเรียน!AN:AN,"บุปผาราม",เรื่องร้องเรียน!AQ:AQ,"1",เรื่องร้องเรียน!CN:CN,"1")</f>
        <v>0</v>
      </c>
      <c r="N87" s="241">
        <f t="shared" si="13"/>
        <v>0</v>
      </c>
      <c r="O87" s="183">
        <f t="shared" si="11"/>
        <v>0</v>
      </c>
    </row>
    <row r="88" spans="1:15">
      <c r="A88" s="107"/>
      <c r="B88" s="227" t="s">
        <v>113</v>
      </c>
      <c r="C88" s="104">
        <f>COUNTIFS(เรื่องร้องเรียน!E:E,"1",เรื่องร้องเรียน!AO:AO,"8",เรื่องร้องเรียน!AN:AN,"ราษฎร์บูรณะ",เรื่องร้องเรียน!CN:CN,"1")</f>
        <v>0</v>
      </c>
      <c r="D88" s="101">
        <f>COUNTIFS(เรื่องร้องเรียน!E:E,"2",เรื่องร้องเรียน!AO:AO,"8",เรื่องร้องเรียน!AN:AN,"ราษฎร์บูรณะ",เรื่องร้องเรียน!CN:CN,"1")</f>
        <v>0</v>
      </c>
      <c r="E88" s="101">
        <f>COUNTIFS(เรื่องร้องเรียน!E:E,"3",เรื่องร้องเรียน!AO:AO,"8",เรื่องร้องเรียน!AN:AN,"ราษฎร์บูรณะ",เรื่องร้องเรียน!CN:CN,"1")</f>
        <v>0</v>
      </c>
      <c r="F88" s="101">
        <f>COUNTIFS(เรื่องร้องเรียน!E:E,"4",เรื่องร้องเรียน!AO:AO,"8",เรื่องร้องเรียน!AN:AN,"ราษฎร์บูรณะ",เรื่องร้องเรียน!CN:CN,"1")</f>
        <v>0</v>
      </c>
      <c r="G88" s="101">
        <f>COUNTIFS(เรื่องร้องเรียน!E:E,"5",เรื่องร้องเรียน!AO:AO,"8",เรื่องร้องเรียน!AN:AN,"ราษฎร์บูรณะ",เรื่องร้องเรียน!CN:CN,"1")</f>
        <v>0</v>
      </c>
      <c r="H88" s="235">
        <f t="shared" si="12"/>
        <v>0</v>
      </c>
      <c r="I88" s="104">
        <f>COUNTIFS(เรื่องร้องเรียน!E:E,"1",เรื่องร้องเรียน!AO:AO,"8",เรื่องร้องเรียน!AN:AN,"ราษฎร์บูรณะ",เรื่องร้องเรียน!AQ:AQ,"1",เรื่องร้องเรียน!CN:CN,"1")</f>
        <v>0</v>
      </c>
      <c r="J88" s="101">
        <f>COUNTIFS(เรื่องร้องเรียน!E:E,"2",เรื่องร้องเรียน!AO:AO,"8",เรื่องร้องเรียน!AN:AN,"ราษฎร์บูรณะ",เรื่องร้องเรียน!AQ:AQ,"1",เรื่องร้องเรียน!CN:CN,"1")</f>
        <v>0</v>
      </c>
      <c r="K88" s="101">
        <f>COUNTIFS(เรื่องร้องเรียน!E:E,"3",เรื่องร้องเรียน!AO:AO,"8",เรื่องร้องเรียน!AN:AN,"ราษฎร์บูรณะ",เรื่องร้องเรียน!AQ:AQ,"1",เรื่องร้องเรียน!CN:CN,"1")</f>
        <v>0</v>
      </c>
      <c r="L88" s="101">
        <f>COUNTIFS(เรื่องร้องเรียน!E:E,"4",เรื่องร้องเรียน!AO:AO,"8",เรื่องร้องเรียน!AN:AN,"ราษฎร์บูรณะ",เรื่องร้องเรียน!AQ:AQ,"1",เรื่องร้องเรียน!CN:CN,"1")</f>
        <v>0</v>
      </c>
      <c r="M88" s="101">
        <f>COUNTIFS(เรื่องร้องเรียน!E:E,"5",เรื่องร้องเรียน!AO:AO,"8",เรื่องร้องเรียน!AN:AN,"ราษฎร์บูรณะ",เรื่องร้องเรียน!AQ:AQ,"1",เรื่องร้องเรียน!CN:CN,"1")</f>
        <v>0</v>
      </c>
      <c r="N88" s="241">
        <f t="shared" si="13"/>
        <v>0</v>
      </c>
      <c r="O88" s="183">
        <f t="shared" si="11"/>
        <v>0</v>
      </c>
    </row>
    <row r="89" spans="1:15">
      <c r="A89" s="107"/>
      <c r="B89" s="227" t="s">
        <v>83</v>
      </c>
      <c r="C89" s="104">
        <f>COUNTIFS(เรื่องร้องเรียน!E:E,"1",เรื่องร้องเรียน!AO:AO,"8",เรื่องร้องเรียน!AN:AN,"สมเด็จเจ้าพระยา",เรื่องร้องเรียน!CN:CN,"1")</f>
        <v>0</v>
      </c>
      <c r="D89" s="10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COUNTIFS(เรื่องร้องเรียน!E:E,"2",เรื่องร้องเรียน!AO:AO,"8",เรื่องร้องเรียน!AN:AN,"สมเด็จเจ้าพระยา",เรื่องร้องเรียน!CN:CN,"1")</f>
        <v>0</v>
      </c>
      <c r="E89" s="101">
        <f>COUNTIFS(เรื่องร้องเรียน!E:E,"3",เรื่องร้องเรียน!AO:AO,"8",เรื่องร้องเรียน!AN:AN,"สมเด็จเจ้าพระยา",เรื่องร้องเรียน!CN:CN,"1")</f>
        <v>0</v>
      </c>
      <c r="F89" s="101">
        <f>COUNTIFS(เรื่องร้องเรียน!E:E,"4",เรื่องร้องเรียน!AO:AO,"8",เรื่องร้องเรียน!AN:AN,"สมเด็จเจ้าพระยา",เรื่องร้องเรียน!CN:CN,"1")</f>
        <v>0</v>
      </c>
      <c r="G89" s="101">
        <f>COUNTIFS(เรื่องร้องเรียน!E:E,"5",เรื่องร้องเรียน!AO:AO,"8",เรื่องร้องเรียน!AN:AN,"สมเด็จเจ้าพระยา",เรื่องร้องเรียน!CN:CN,"1")</f>
        <v>0</v>
      </c>
      <c r="H89" s="235">
        <f t="shared" si="12"/>
        <v>0</v>
      </c>
      <c r="I89" s="104">
        <f>COUNTIFS(เรื่องร้องเรียน!E:E,"1",เรื่องร้องเรียน!AO:AO,"8",เรื่องร้องเรียน!AN:AN,"สมเด็จเจ้าพระยา",เรื่องร้องเรียน!AQ:AQ,"1",เรื่องร้องเรียน!CN:CN,"1")</f>
        <v>0</v>
      </c>
      <c r="J89" s="101">
        <f>COUNTIFS(เรื่องร้องเรียน!E:E,"2",เรื่องร้องเรียน!AO:AO,"8",เรื่องร้องเรียน!AN:AN,"สมเด็จเจ้าพระยา",เรื่องร้องเรียน!AQ:AQ,"1",เรื่องร้องเรียน!CN:CN,"1")</f>
        <v>0</v>
      </c>
      <c r="K89" s="101">
        <f>COUNTIFS(เรื่องร้องเรียน!E:E,"3",เรื่องร้องเรียน!AO:AO,"8",เรื่องร้องเรียน!AN:AN,"สมเด็จเจ้าพระยา",เรื่องร้องเรียน!AQ:AQ,"1",เรื่องร้องเรียน!CN:CN,"1")</f>
        <v>0</v>
      </c>
      <c r="L89" s="101">
        <f>COUNTIFS(เรื่องร้องเรียน!E:E,"4",เรื่องร้องเรียน!AO:AO,"8",เรื่องร้องเรียน!AN:AN,"สมเด็จเจ้าพระยา",เรื่องร้องเรียน!AQ:AQ,"1",เรื่องร้องเรียน!CN:CN,"1")</f>
        <v>0</v>
      </c>
      <c r="M89" s="101">
        <f>COUNTIFS(เรื่องร้องเรียน!E:E,"5",เรื่องร้องเรียน!AO:AO,"8",เรื่องร้องเรียน!AN:AN,"สมเด็จเจ้าพระยา",เรื่องร้องเรียน!AQ:AQ,"1",เรื่องร้องเรียน!CN:CN,"1")</f>
        <v>0</v>
      </c>
      <c r="N89" s="241">
        <f t="shared" si="13"/>
        <v>0</v>
      </c>
      <c r="O89" s="183">
        <f t="shared" si="11"/>
        <v>0</v>
      </c>
    </row>
    <row r="90" spans="1:15">
      <c r="A90" s="107"/>
      <c r="B90" s="227" t="s">
        <v>197</v>
      </c>
      <c r="C90" s="104">
        <f>COUNTIFS(เรื่องร้องเรียน!E:E,"1",เรื่องร้องเรียน!AO:AO,"8",เรื่องร้องเรียน!AN:AN,"สำเหร่",เรื่องร้องเรียน!CN:CN,"1")</f>
        <v>0</v>
      </c>
      <c r="D90" s="101">
        <f>COUNTIFS(เรื่องร้องเรียน!E:E,"2",เรื่องร้องเรียน!AO:AO,"8",เรื่องร้องเรียน!AN:AN,"สำเหร่",เรื่องร้องเรียน!CN:CN,"1")</f>
        <v>0</v>
      </c>
      <c r="E90" s="101">
        <f>COUNTIFS(เรื่องร้องเรียน!E:E,"3",เรื่องร้องเรียน!AO:AO,"8",เรื่องร้องเรียน!AN:AN,"สำเหร่",เรื่องร้องเรียน!CN:CN,"1")</f>
        <v>0</v>
      </c>
      <c r="F90" s="101">
        <f>COUNTIFS(เรื่องร้องเรียน!E:E,"4",เรื่องร้องเรียน!AO:AO,"8",เรื่องร้องเรียน!AN:AN,"สำเหร่",เรื่องร้องเรียน!CN:CN,"1")</f>
        <v>0</v>
      </c>
      <c r="G90" s="101">
        <f>COUNTIFS(เรื่องร้องเรียน!E:E,"5",เรื่องร้องเรียน!AO:AO,"8",เรื่องร้องเรียน!AN:AN,"สำเหร่",เรื่องร้องเรียน!CN:CN,"1")</f>
        <v>0</v>
      </c>
      <c r="H90" s="235">
        <f t="shared" si="12"/>
        <v>0</v>
      </c>
      <c r="I90" s="104">
        <f>COUNTIFS(เรื่องร้องเรียน!E:E,"1",เรื่องร้องเรียน!AO:AO,"8",เรื่องร้องเรียน!AN:AN,"สำเหร่",เรื่องร้องเรียน!AQ:AQ,"1",เรื่องร้องเรียน!CN:CN,"1")</f>
        <v>0</v>
      </c>
      <c r="J90" s="101">
        <f>COUNTIFS(เรื่องร้องเรียน!E:E,"2",เรื่องร้องเรียน!AO:AO,"8",เรื่องร้องเรียน!AN:AN,"สำเหร่",เรื่องร้องเรียน!AQ:AQ,"1",เรื่องร้องเรียน!CN:CN,"1")</f>
        <v>0</v>
      </c>
      <c r="K90" s="101">
        <f>COUNTIFS(เรื่องร้องเรียน!E:E,"3",เรื่องร้องเรียน!AO:AO,"8",เรื่องร้องเรียน!AN:AN,"สำเหร่",เรื่องร้องเรียน!AQ:AQ,"1",เรื่องร้องเรียน!CN:CN,"1")</f>
        <v>0</v>
      </c>
      <c r="L90" s="101">
        <f>COUNTIFS(เรื่องร้องเรียน!E:E,"4",เรื่องร้องเรียน!AO:AO,"8",เรื่องร้องเรียน!AN:AN,"สำเหร่",เรื่องร้องเรียน!AQ:AQ,"1",เรื่องร้องเรียน!CN:CN,"1")</f>
        <v>0</v>
      </c>
      <c r="M90" s="101">
        <f>COUNTIFS(เรื่องร้องเรียน!E:E,"5",เรื่องร้องเรียน!AO:AO,"8",เรื่องร้องเรียน!AN:AN,"สำเหร่",เรื่องร้องเรียน!AQ:AQ,"1",เรื่องร้องเรียน!CN:CN,"1")</f>
        <v>0</v>
      </c>
      <c r="N90" s="241">
        <f t="shared" si="13"/>
        <v>0</v>
      </c>
      <c r="O90" s="183">
        <f t="shared" si="11"/>
        <v>0</v>
      </c>
    </row>
    <row r="91" spans="1:15">
      <c r="A91" s="107"/>
      <c r="B91" s="227" t="s">
        <v>105</v>
      </c>
      <c r="C91" s="104">
        <f>COUNTIFS(เรื่องร้องเรียน!E:E,"1",เรื่องร้องเรียน!AO:AO,"8",เรื่องร้องเรียน!AN:AN,"บางคอแหลม",เรื่องร้องเรียน!CN:CN,"1")</f>
        <v>0</v>
      </c>
      <c r="D91" s="101">
        <f>COUNTIFS(เรื่องร้องเรียน!E:E,"2",เรื่องร้องเรียน!AO:AO,"8",เรื่องร้องเรียน!AN:AN,"บางคอแหลม",เรื่องร้องเรียน!CN:CN,"1")</f>
        <v>0</v>
      </c>
      <c r="E91" s="101">
        <f>COUNTIFS(เรื่องร้องเรียน!E:E,"3",เรื่องร้องเรียน!AO:AO,"8",เรื่องร้องเรียน!AN:AN,"บางคอแหลม",เรื่องร้องเรียน!CN:CN,"1")</f>
        <v>0</v>
      </c>
      <c r="F91" s="101">
        <f>COUNTIFS(เรื่องร้องเรียน!E:E,"4",เรื่องร้องเรียน!AO:AO,"8",เรื่องร้องเรียน!AN:AN,"บางคอแหลม",เรื่องร้องเรียน!CN:CN,"1")</f>
        <v>0</v>
      </c>
      <c r="G91" s="101">
        <f>COUNTIFS(เรื่องร้องเรียน!E:E,"5",เรื่องร้องเรียน!AO:AO,"8",เรื่องร้องเรียน!AN:AN,"บางคอแหลม",เรื่องร้องเรียน!CN:CN,"1")</f>
        <v>0</v>
      </c>
      <c r="H91" s="235">
        <f t="shared" si="12"/>
        <v>0</v>
      </c>
      <c r="I91" s="104">
        <f>COUNTIFS(เรื่องร้องเรียน!E:E,"1",เรื่องร้องเรียน!AO:AO,"8",เรื่องร้องเรียน!AN:AN,"บางคอแหลม",เรื่องร้องเรียน!AQ:AQ,"1",เรื่องร้องเรียน!CN:CN,"1")</f>
        <v>0</v>
      </c>
      <c r="J91" s="101">
        <f>COUNTIFS(เรื่องร้องเรียน!E:E,"2",เรื่องร้องเรียน!AO:AO,"8",เรื่องร้องเรียน!AN:AN,"บางคอแหลม",เรื่องร้องเรียน!AQ:AQ,"1",เรื่องร้องเรียน!CN:CN,"1")</f>
        <v>0</v>
      </c>
      <c r="K91" s="101">
        <f>COUNTIFS(เรื่องร้องเรียน!E:E,"3",เรื่องร้องเรียน!AO:AO,"8",เรื่องร้องเรียน!AN:AN,"บางคอแหลม",เรื่องร้องเรียน!AQ:AQ,"1",เรื่องร้องเรียน!CN:CN,"1")</f>
        <v>0</v>
      </c>
      <c r="L91" s="101">
        <f>COUNTIFS(เรื่องร้องเรียน!E:E,"4",เรื่องร้องเรียน!AO:AO,"8",เรื่องร้องเรียน!AN:AN,"บางคอแหลม",เรื่องร้องเรียน!AQ:AQ,"1",เรื่องร้องเรียน!CN:CN,"1")</f>
        <v>0</v>
      </c>
      <c r="M91" s="101">
        <f>COUNTIFS(เรื่องร้องเรียน!E:E,"5",เรื่องร้องเรียน!AO:AO,"8",เรื่องร้องเรียน!AN:AN,"บางคอแหลม",เรื่องร้องเรียน!AQ:AQ,"1",เรื่องร้องเรียน!CN:CN,"1")</f>
        <v>0</v>
      </c>
      <c r="N91" s="241">
        <f t="shared" si="13"/>
        <v>0</v>
      </c>
      <c r="O91" s="183">
        <f t="shared" si="11"/>
        <v>0</v>
      </c>
    </row>
    <row r="92" spans="1:15" ht="21.6" thickBot="1">
      <c r="A92" s="111"/>
      <c r="B92" s="228" t="s">
        <v>198</v>
      </c>
      <c r="C92" s="123">
        <f>COUNTIFS(เรื่องร้องเรียน!E:E,"1",เรื่องร้องเรียน!AO:AO,"8",เรื่องร้องเรียน!AN:AN,"ปากคลองสาน",เรื่องร้องเรียน!CN:CN,"1")</f>
        <v>0</v>
      </c>
      <c r="D92" s="117">
        <f>COUNTIFS(เรื่องร้องเรียน!E:E,"2",เรื่องร้องเรียน!AO:AO,"8",เรื่องร้องเรียน!AN:AN,"ปากคลองสาน",เรื่องร้องเรียน!CN:CN,"1")</f>
        <v>0</v>
      </c>
      <c r="E92" s="117">
        <f>COUNTIFS(เรื่องร้องเรียน!E:E,"3",เรื่องร้องเรียน!AO:AO,"8",เรื่องร้องเรียน!AN:AN,"ปากคลองสาน",เรื่องร้องเรียน!CN:CN,"1")</f>
        <v>0</v>
      </c>
      <c r="F92" s="117">
        <f>COUNTIFS(เรื่องร้องเรียน!E:E,"4",เรื่องร้องเรียน!AO:AO,"8",เรื่องร้องเรียน!AN:AN,"ปากคลองสาน",เรื่องร้องเรียน!CN:CN,"1")</f>
        <v>0</v>
      </c>
      <c r="G92" s="101">
        <f>COUNTIFS(เรื่องร้องเรียน!E:E,"5",เรื่องร้องเรียน!AO:AO,"8",เรื่องร้องเรียน!AN:AN,"ปากคลองสาน",เรื่องร้องเรียน!CN:CN,"1")</f>
        <v>0</v>
      </c>
      <c r="H92" s="236">
        <f t="shared" si="12"/>
        <v>0</v>
      </c>
      <c r="I92" s="123">
        <f>COUNTIFS(เรื่องร้องเรียน!E:E,"1",เรื่องร้องเรียน!AO:AO,"8",เรื่องร้องเรียน!AN:AN,"ปากคลองสาน",เรื่องร้องเรียน!AQ:AQ,"1",เรื่องร้องเรียน!CN:CN,"1")</f>
        <v>0</v>
      </c>
      <c r="J92" s="117">
        <f>COUNTIFS(เรื่องร้องเรียน!E:E,"2",เรื่องร้องเรียน!AO:AO,"8",เรื่องร้องเรียน!AN:AN,"ปากคลองสาน",เรื่องร้องเรียน!AQ:AQ,"1",เรื่องร้องเรียน!CN:CN,"1")</f>
        <v>0</v>
      </c>
      <c r="K92" s="117">
        <f>COUNTIFS(เรื่องร้องเรียน!E:E,"3",เรื่องร้องเรียน!AO:AO,"8",เรื่องร้องเรียน!AN:AN,"ปากคลองสาน",เรื่องร้องเรียน!AQ:AQ,"1",เรื่องร้องเรียน!CN:CN,"1")</f>
        <v>0</v>
      </c>
      <c r="L92" s="117">
        <f>COUNTIFS(เรื่องร้องเรียน!E:E,"4",เรื่องร้องเรียน!AO:AO,"8",เรื่องร้องเรียน!AN:AN,"ปากคลองสาน",เรื่องร้องเรียน!AQ:AQ,"1",เรื่องร้องเรียน!CN:CN,"1")</f>
        <v>0</v>
      </c>
      <c r="M92" s="101">
        <f>COUNTIFS(เรื่องร้องเรียน!E:E,"5",เรื่องร้องเรียน!AO:AO,"8",เรื่องร้องเรียน!AN:AN,"ปากคลองสาน",เรื่องร้องเรียน!AQ:AQ,"1",เรื่องร้องเรียน!CN:CN,"1")</f>
        <v>0</v>
      </c>
      <c r="N92" s="236">
        <f t="shared" si="13"/>
        <v>0</v>
      </c>
      <c r="O92" s="190">
        <f t="shared" si="11"/>
        <v>0</v>
      </c>
    </row>
    <row r="93" spans="1:15" ht="21.6" thickBot="1">
      <c r="A93" s="264">
        <v>9</v>
      </c>
      <c r="B93" s="276"/>
      <c r="C93" s="266">
        <f>SUM(C94:C103)</f>
        <v>0</v>
      </c>
      <c r="D93" s="267">
        <f t="shared" ref="D93:M93" si="15">SUM(D94:D103)</f>
        <v>0</v>
      </c>
      <c r="E93" s="267">
        <f t="shared" si="15"/>
        <v>0</v>
      </c>
      <c r="F93" s="267">
        <f t="shared" si="15"/>
        <v>0</v>
      </c>
      <c r="G93" s="267">
        <f t="shared" si="15"/>
        <v>0</v>
      </c>
      <c r="H93" s="268">
        <f t="shared" si="12"/>
        <v>0</v>
      </c>
      <c r="I93" s="266">
        <f t="shared" si="15"/>
        <v>0</v>
      </c>
      <c r="J93" s="267">
        <f t="shared" si="15"/>
        <v>0</v>
      </c>
      <c r="K93" s="267">
        <f t="shared" si="15"/>
        <v>0</v>
      </c>
      <c r="L93" s="267">
        <f t="shared" si="15"/>
        <v>0</v>
      </c>
      <c r="M93" s="267">
        <f t="shared" si="15"/>
        <v>0</v>
      </c>
      <c r="N93" s="268">
        <f t="shared" si="13"/>
        <v>0</v>
      </c>
      <c r="O93" s="263">
        <f t="shared" si="11"/>
        <v>0</v>
      </c>
    </row>
    <row r="94" spans="1:15">
      <c r="A94" s="98"/>
      <c r="B94" s="226" t="s">
        <v>112</v>
      </c>
      <c r="C94" s="104">
        <f>COUNTIFS(เรื่องร้องเรียน!E:E,"1",เรื่องร้องเรียน!AO:AO,"9",เรื่องร้องเรียน!AN:AN,"ท่าข้าม",เรื่องร้องเรียน!CN:CN,"1")</f>
        <v>0</v>
      </c>
      <c r="D94" s="101">
        <f>COUNTIFS(เรื่องร้องเรียน!E:E,"2",เรื่องร้องเรียน!AO:AO,"9",เรื่องร้องเรียน!AN:AN,"ท่าข้าม",เรื่องร้องเรียน!CN:CN,"1")</f>
        <v>0</v>
      </c>
      <c r="E94" s="101">
        <f>COUNTIFS(เรื่องร้องเรียน!E:E,"3",เรื่องร้องเรียน!AO:AO,"9",เรื่องร้องเรียน!AN:AN,"ท่าข้าม",เรื่องร้องเรียน!CN:CN,"1")</f>
        <v>0</v>
      </c>
      <c r="F94" s="101">
        <f>COUNTIFS(เรื่องร้องเรียน!E:E,"4",เรื่องร้องเรียน!AO:AO,"9",เรื่องร้องเรียน!AN:AN,"ท่าข้าม",เรื่องร้องเรียน!CN:CN,"1")</f>
        <v>0</v>
      </c>
      <c r="G94" s="101">
        <f>COUNTIFS(เรื่องร้องเรียน!E:E,"5",เรื่องร้องเรียน!AO:AO,"9",เรื่องร้องเรียน!AN:AN,"ท่าข้าม",เรื่องร้องเรียน!CN:CN,"1")</f>
        <v>0</v>
      </c>
      <c r="H94" s="235">
        <f t="shared" si="12"/>
        <v>0</v>
      </c>
      <c r="I94" s="104">
        <f>COUNTIFS(เรื่องร้องเรียน!E:E,"1",เรื่องร้องเรียน!AO:AO,"9",เรื่องร้องเรียน!AN:AN,"ท่าข้าม",เรื่องร้องเรียน!AQ:AQ,"1",เรื่องร้องเรียน!CN:CN,"1")</f>
        <v>0</v>
      </c>
      <c r="J94" s="101">
        <f>COUNTIFS(เรื่องร้องเรียน!E:E,"2",เรื่องร้องเรียน!AO:AO,"9",เรื่องร้องเรียน!AN:AN,"ท่าข้าม",เรื่องร้องเรียน!AQ:AQ,"1",เรื่องร้องเรียน!CN:CN,"1")</f>
        <v>0</v>
      </c>
      <c r="K94" s="101">
        <f>COUNTIFS(เรื่องร้องเรียน!E:E,"3",เรื่องร้องเรียน!AO:AO,"9",เรื่องร้องเรียน!AN:AN,"ท่าข้าม",เรื่องร้องเรียน!AQ:AQ,"1",เรื่องร้องเรียน!CN:CN,"1")</f>
        <v>0</v>
      </c>
      <c r="L94" s="101">
        <f>COUNTIFS(เรื่องร้องเรียน!E:E,"4",เรื่องร้องเรียน!AO:AO,"9",เรื่องร้องเรียน!AN:AN,"ท่าข้าม",เรื่องร้องเรียน!AQ:AQ,"1",เรื่องร้องเรียน!CN:CN,"1")</f>
        <v>0</v>
      </c>
      <c r="M94" s="101">
        <f>COUNTIFS(เรื่องร้องเรียน!E:E,"5",เรื่องร้องเรียน!AO:AO,"9",เรื่องร้องเรียน!AN:AN,"ท่าข้าม",เรื่องร้องเรียน!AQ:AQ,"1",เรื่องร้องเรียน!CN:CN,"1")</f>
        <v>0</v>
      </c>
      <c r="N94" s="235">
        <f t="shared" si="13"/>
        <v>0</v>
      </c>
      <c r="O94" s="238">
        <f t="shared" si="11"/>
        <v>0</v>
      </c>
    </row>
    <row r="95" spans="1:15">
      <c r="A95" s="107"/>
      <c r="B95" s="227" t="s">
        <v>121</v>
      </c>
      <c r="C95" s="104">
        <f>COUNTIFS(เรื่องร้องเรียน!E:E,"1",เรื่องร้องเรียน!AO:AO,"9",เรื่องร้องเรียน!AN:AN,"เทียนทะเล",เรื่องร้องเรียน!CN:CN,"1")</f>
        <v>0</v>
      </c>
      <c r="D95" s="101">
        <f>COUNTIFS(เรื่องร้องเรียน!E:E,"2",เรื่องร้องเรียน!AO:AO,"9",เรื่องร้องเรียน!AN:AN,"เทียนทะเล",เรื่องร้องเรียน!CN:CN,"1")</f>
        <v>0</v>
      </c>
      <c r="E95" s="101">
        <f>COUNTIFS(เรื่องร้องเรียน!E:E,"3",เรื่องร้องเรียน!AO:AO,"9",เรื่องร้องเรียน!AN:AN,"เทียนทะเล",เรื่องร้องเรียน!CN:CN,"1")</f>
        <v>0</v>
      </c>
      <c r="F95" s="101">
        <f>COUNTIFS(เรื่องร้องเรียน!E:E,"4",เรื่องร้องเรียน!AO:AO,"9",เรื่องร้องเรียน!AN:AN,"เทียนทะเล",เรื่องร้องเรียน!CN:CN,"1")</f>
        <v>0</v>
      </c>
      <c r="G95" s="101">
        <f>COUNTIFS(เรื่องร้องเรียน!E:E,"5",เรื่องร้องเรียน!AO:AO,"9",เรื่องร้องเรียน!AN:AN,"เทียนทะเล",เรื่องร้องเรียน!CN:CN,"1")</f>
        <v>0</v>
      </c>
      <c r="H95" s="235">
        <f t="shared" si="12"/>
        <v>0</v>
      </c>
      <c r="I95" s="104">
        <f>COUNTIFS(เรื่องร้องเรียน!E:E,"1",เรื่องร้องเรียน!AO:AO,"9",เรื่องร้องเรียน!AN:AN,"เทียนทะเล",เรื่องร้องเรียน!AQ:AQ,"1",เรื่องร้องเรียน!CN:CN,"1")</f>
        <v>0</v>
      </c>
      <c r="J95" s="101">
        <f>COUNTIFS(เรื่องร้องเรียน!E:E,"2",เรื่องร้องเรียน!AO:AO,"9",เรื่องร้องเรียน!AN:AN,"เทียนทะเล",เรื่องร้องเรียน!AQ:AQ,"1",เรื่องร้องเรียน!CN:CN,"1")</f>
        <v>0</v>
      </c>
      <c r="K95" s="101">
        <f>COUNTIFS(เรื่องร้องเรียน!E:E,"3",เรื่องร้องเรียน!AO:AO,"9",เรื่องร้องเรียน!AN:AN,"เทียนทะเล",เรื่องร้องเรียน!AQ:AQ,"1",เรื่องร้องเรียน!CN:CN,"1")</f>
        <v>0</v>
      </c>
      <c r="L95" s="101">
        <f>COUNTIFS(เรื่องร้องเรียน!E:E,"4",เรื่องร้องเรียน!AO:AO,"9",เรื่องร้องเรียน!AN:AN,"เทียนทะเล",เรื่องร้องเรียน!AQ:AQ,"1",เรื่องร้องเรียน!CN:CN,"1")</f>
        <v>0</v>
      </c>
      <c r="M95" s="101">
        <f>COUNTIFS(เรื่องร้องเรียน!E:E,"5",เรื่องร้องเรียน!AO:AO,"9",เรื่องร้องเรียน!AN:AN,"เทียนทะเล",เรื่องร้องเรียน!AQ:AQ,"1",เรื่องร้องเรียน!CN:CN,"1")</f>
        <v>0</v>
      </c>
      <c r="N95" s="241">
        <f t="shared" si="13"/>
        <v>0</v>
      </c>
      <c r="O95" s="183">
        <f t="shared" si="11"/>
        <v>0</v>
      </c>
    </row>
    <row r="96" spans="1:15">
      <c r="A96" s="107"/>
      <c r="B96" s="227" t="s">
        <v>71</v>
      </c>
      <c r="C96" s="104">
        <f>COUNTIFS(เรื่องร้องเรียน!E:E,"1",เรื่องร้องเรียน!AO:AO,"9",เรื่องร้องเรียน!AN:AN,"บางขุนเทียน",เรื่องร้องเรียน!CN:CN,"1")</f>
        <v>0</v>
      </c>
      <c r="D96" s="101">
        <f>COUNTIFS(เรื่องร้องเรียน!E:E,"2",เรื่องร้องเรียน!AO:AO,"9",เรื่องร้องเรียน!AN:AN,"บางขุนเทียน",เรื่องร้องเรียน!CN:CN,"1")</f>
        <v>0</v>
      </c>
      <c r="E96" s="101">
        <f>COUNTIFS(เรื่องร้องเรียน!E:E,"3",เรื่องร้องเรียน!AO:AO,"9",เรื่องร้องเรียน!AN:AN,"บางขุนเทียน",เรื่องร้องเรียน!CN:CN,"1")</f>
        <v>0</v>
      </c>
      <c r="F96" s="101">
        <f>COUNTIFS(เรื่องร้องเรียน!E:E,"4",เรื่องร้องเรียน!AO:AO,"9",เรื่องร้องเรียน!AN:AN,"บางขุนเทียน",เรื่องร้องเรียน!CN:CN,"1")</f>
        <v>0</v>
      </c>
      <c r="G96" s="101">
        <f>COUNTIFS(เรื่องร้องเรียน!E:E,"5",เรื่องร้องเรียน!AO:AO,"9",เรื่องร้องเรียน!AN:AN,"บางขุนเทียน",เรื่องร้องเรียน!CN:CN,"1")</f>
        <v>0</v>
      </c>
      <c r="H96" s="235">
        <f t="shared" si="12"/>
        <v>0</v>
      </c>
      <c r="I96" s="104">
        <f>COUNTIFS(เรื่องร้องเรียน!E:E,"1",เรื่องร้องเรียน!AO:AO,"9",เรื่องร้องเรียน!AN:AN,"บางขุนเทียน",เรื่องร้องเรียน!AQ:AQ,"1",เรื่องร้องเรียน!CN:CN,"1")</f>
        <v>0</v>
      </c>
      <c r="J96" s="101">
        <f>COUNTIFS(เรื่องร้องเรียน!E:E,"2",เรื่องร้องเรียน!AO:AO,"9",เรื่องร้องเรียน!AN:AN,"บางขุนเทียน",เรื่องร้องเรียน!AQ:AQ,"1",เรื่องร้องเรียน!CN:CN,"1")</f>
        <v>0</v>
      </c>
      <c r="K96" s="101">
        <f>COUNTIFS(เรื่องร้องเรียน!E:E,"3",เรื่องร้องเรียน!AO:AO,"9",เรื่องร้องเรียน!AN:AN,"บางขุนเทียน",เรื่องร้องเรียน!AQ:AQ,"1",เรื่องร้องเรียน!CN:CN,"1")</f>
        <v>0</v>
      </c>
      <c r="L96" s="101">
        <f>COUNTIFS(เรื่องร้องเรียน!E:E,"4",เรื่องร้องเรียน!AO:AO,"9",เรื่องร้องเรียน!AN:AN,"บางขุนเทียน",เรื่องร้องเรียน!AQ:AQ,"1",เรื่องร้องเรียน!CN:CN,"1")</f>
        <v>0</v>
      </c>
      <c r="M96" s="101">
        <f>COUNTIFS(เรื่องร้องเรียน!E:E,"5",เรื่องร้องเรียน!AO:AO,"9",เรื่องร้องเรียน!AN:AN,"บางขุนเทียน",เรื่องร้องเรียน!AQ:AQ,"1",เรื่องร้องเรียน!CN:CN,"1")</f>
        <v>0</v>
      </c>
      <c r="N96" s="241">
        <f t="shared" si="13"/>
        <v>0</v>
      </c>
      <c r="O96" s="183">
        <f t="shared" si="11"/>
        <v>0</v>
      </c>
    </row>
    <row r="97" spans="1:15">
      <c r="A97" s="107"/>
      <c r="B97" s="227" t="s">
        <v>94</v>
      </c>
      <c r="C97" s="104">
        <f>COUNTIFS(เรื่องร้องเรียน!E:E,"1",เรื่องร้องเรียน!AO:AO,"9",เรื่องร้องเรียน!AN:AN,"บางบอน",เรื่องร้องเรียน!CN:CN,"1")</f>
        <v>0</v>
      </c>
      <c r="D97" s="101">
        <f>COUNTIFS(เรื่องร้องเรียน!E:E,"2",เรื่องร้องเรียน!AO:AO,"9",เรื่องร้องเรียน!AN:AN,"บางบอน",เรื่องร้องเรียน!CN:CN,"1")</f>
        <v>0</v>
      </c>
      <c r="E97" s="101">
        <f>COUNTIFS(เรื่องร้องเรียน!E:E,"3",เรื่องร้องเรียน!AO:AO,"9",เรื่องร้องเรียน!AN:AN,"บางบอน",เรื่องร้องเรียน!CN:CN,"1")</f>
        <v>0</v>
      </c>
      <c r="F97" s="101">
        <f>COUNTIFS(เรื่องร้องเรียน!E:E,"4",เรื่องร้องเรียน!AO:AO,"9",เรื่องร้องเรียน!AN:AN,"บางบอน",เรื่องร้องเรียน!CN:CN,"1")</f>
        <v>0</v>
      </c>
      <c r="G97" s="101">
        <f>COUNTIFS(เรื่องร้องเรียน!E:E,"5",เรื่องร้องเรียน!AO:AO,"9",เรื่องร้องเรียน!AN:AN,"บางบอน",เรื่องร้องเรียน!CN:CN,"1")</f>
        <v>0</v>
      </c>
      <c r="H97" s="235">
        <f t="shared" si="12"/>
        <v>0</v>
      </c>
      <c r="I97" s="104">
        <f>COUNTIFS(เรื่องร้องเรียน!E:E,"1",เรื่องร้องเรียน!AO:AO,"9",เรื่องร้องเรียน!AN:AN,"บางบอน",เรื่องร้องเรียน!AQ:AQ,"1",เรื่องร้องเรียน!CN:CN,"1")</f>
        <v>0</v>
      </c>
      <c r="J97" s="101">
        <f>COUNTIFS(เรื่องร้องเรียน!E:E,"2",เรื่องร้องเรียน!AO:AO,"9",เรื่องร้องเรียน!AN:AN,"บางบอน",เรื่องร้องเรียน!AQ:AQ,"1",เรื่องร้องเรียน!CN:CN,"1")</f>
        <v>0</v>
      </c>
      <c r="K97" s="101">
        <f>COUNTIFS(เรื่องร้องเรียน!E:E,"3",เรื่องร้องเรียน!AO:AO,"9",เรื่องร้องเรียน!AN:AN,"บางบอน",เรื่องร้องเรียน!AQ:AQ,"1",เรื่องร้องเรียน!CN:CN,"1")</f>
        <v>0</v>
      </c>
      <c r="L97" s="101">
        <f>COUNTIFS(เรื่องร้องเรียน!E:E,"4",เรื่องร้องเรียน!AO:AO,"9",เรื่องร้องเรียน!AN:AN,"บางบอน",เรื่องร้องเรียน!AQ:AQ,"1",เรื่องร้องเรียน!CN:CN,"1")</f>
        <v>0</v>
      </c>
      <c r="M97" s="101">
        <f>COUNTIFS(เรื่องร้องเรียน!E:E,"5",เรื่องร้องเรียน!AO:AO,"9",เรื่องร้องเรียน!AN:AN,"บางบอน",เรื่องร้องเรียน!AQ:AQ,"1",เรื่องร้องเรียน!CN:CN,"1")</f>
        <v>0</v>
      </c>
      <c r="N97" s="241">
        <f t="shared" si="13"/>
        <v>0</v>
      </c>
      <c r="O97" s="183">
        <f t="shared" si="11"/>
        <v>0</v>
      </c>
    </row>
    <row r="98" spans="1:15">
      <c r="A98" s="107"/>
      <c r="B98" s="227" t="s">
        <v>76</v>
      </c>
      <c r="C98" s="104">
        <f>COUNTIFS(เรื่องร้องเรียน!E:E,"1",เรื่องร้องเรียน!AO:AO,"9",เรื่องร้องเรียน!AN:AN,"เพชรเกษม",เรื่องร้องเรียน!CN:CN,"1")</f>
        <v>0</v>
      </c>
      <c r="D98" s="101">
        <f>COUNTIFS(เรื่องร้องเรียน!E:E,"2",เรื่องร้องเรียน!AO:AO,"9",เรื่องร้องเรียน!AN:AN,"เพชรเกษม",เรื่องร้องเรียน!CN:CN,"1")</f>
        <v>0</v>
      </c>
      <c r="E98" s="101">
        <f>COUNTIFS(เรื่องร้องเรียน!E:E,"3",เรื่องร้องเรียน!AO:AO,"9",เรื่องร้องเรียน!AN:AN,"เพชรเกษม",เรื่องร้องเรียน!CN:CN,"1")</f>
        <v>0</v>
      </c>
      <c r="F98" s="101">
        <f>COUNTIFS(เรื่องร้องเรียน!E:E,"4",เรื่องร้องเรียน!AO:AO,"9",เรื่องร้องเรียน!AN:AN,"เพชรเกษม",เรื่องร้องเรียน!CN:CN,"1")</f>
        <v>0</v>
      </c>
      <c r="G98" s="101">
        <f>COUNTIFS(เรื่องร้องเรียน!E:E,"5",เรื่องร้องเรียน!AO:AO,"9",เรื่องร้องเรียน!AN:AN,"เพชรเกษม",เรื่องร้องเรียน!CN:CN,"1")</f>
        <v>0</v>
      </c>
      <c r="H98" s="235">
        <f t="shared" si="12"/>
        <v>0</v>
      </c>
      <c r="I98" s="104">
        <f>COUNTIFS(เรื่องร้องเรียน!E:E,"1",เรื่องร้องเรียน!AO:AO,"9",เรื่องร้องเรียน!AN:AN,"เพชรเกษม",เรื่องร้องเรียน!AQ:AQ,"1",เรื่องร้องเรียน!CN:CN,"1")</f>
        <v>0</v>
      </c>
      <c r="J98" s="101">
        <f>COUNTIFS(เรื่องร้องเรียน!E:E,"2",เรื่องร้องเรียน!AO:AO,"9",เรื่องร้องเรียน!AN:AN,"เพชรเกษม",เรื่องร้องเรียน!AQ:AQ,"1",เรื่องร้องเรียน!CN:CN,"1")</f>
        <v>0</v>
      </c>
      <c r="K98" s="101">
        <f>COUNTIFS(เรื่องร้องเรียน!E:E,"3",เรื่องร้องเรียน!AO:AO,"9",เรื่องร้องเรียน!AN:AN,"เพชรเกษม",เรื่องร้องเรียน!AQ:AQ,"1",เรื่องร้องเรียน!CN:CN,"1")</f>
        <v>0</v>
      </c>
      <c r="L98" s="101">
        <f>COUNTIFS(เรื่องร้องเรียน!E:E,"4",เรื่องร้องเรียน!AO:AO,"9",เรื่องร้องเรียน!AN:AN,"เพชรเกษม",เรื่องร้องเรียน!AQ:AQ,"1",เรื่องร้องเรียน!CN:CN,"1")</f>
        <v>0</v>
      </c>
      <c r="M98" s="101">
        <f>COUNTIFS(เรื่องร้องเรียน!E:E,"5",เรื่องร้องเรียน!AO:AO,"9",เรื่องร้องเรียน!AN:AN,"เพชรเกษม",เรื่องร้องเรียน!AQ:AQ,"1",เรื่องร้องเรียน!CN:CN,"1")</f>
        <v>0</v>
      </c>
      <c r="N98" s="241">
        <f t="shared" si="13"/>
        <v>0</v>
      </c>
      <c r="O98" s="183">
        <f t="shared" si="11"/>
        <v>0</v>
      </c>
    </row>
    <row r="99" spans="1:15">
      <c r="A99" s="107"/>
      <c r="B99" s="227" t="s">
        <v>199</v>
      </c>
      <c r="C99" s="104">
        <f>COUNTIFS(เรื่องร้องเรียน!E:E,"1",เรื่องร้องเรียน!AO:AO,"9",เรื่องร้องเรียน!AN:AN,"ภาษีเจริญ",เรื่องร้องเรียน!CN:CN,"1")</f>
        <v>0</v>
      </c>
      <c r="D99" s="101">
        <f>COUNTIFS(เรื่องร้องเรียน!E:E,"2",เรื่องร้องเรียน!AO:AO,"9",เรื่องร้องเรียน!AN:AN,"ภาษีเจริญ",เรื่องร้องเรียน!CN:CN,"1")</f>
        <v>0</v>
      </c>
      <c r="E99" s="101">
        <f>COUNTIFS(เรื่องร้องเรียน!E:E,"3",เรื่องร้องเรียน!AO:AO,"9",เรื่องร้องเรียน!AN:AN,"ภาษีเจริญ",เรื่องร้องเรียน!CN:CN,"1")</f>
        <v>0</v>
      </c>
      <c r="F99" s="101">
        <f>COUNTIFS(เรื่องร้องเรียน!E:E,"4",เรื่องร้องเรียน!AO:AO,"9",เรื่องร้องเรียน!AN:AN,"ภาษีเจริญ",เรื่องร้องเรียน!CN:CN,"1")</f>
        <v>0</v>
      </c>
      <c r="G99" s="101">
        <f>COUNTIFS(เรื่องร้องเรียน!E:E,"5",เรื่องร้องเรียน!AO:AO,"9",เรื่องร้องเรียน!AN:AN,"ภาษีเจริญ",เรื่องร้องเรียน!CN:CN,"1")</f>
        <v>0</v>
      </c>
      <c r="H99" s="235">
        <f t="shared" si="12"/>
        <v>0</v>
      </c>
      <c r="I99" s="104">
        <f>COUNTIFS(เรื่องร้องเรียน!E:E,"1",เรื่องร้องเรียน!AO:AO,"9",เรื่องร้องเรียน!AN:AN,"ภาษีเจริญ",เรื่องร้องเรียน!AQ:AQ,"1",เรื่องร้องเรียน!CN:CN,"1")</f>
        <v>0</v>
      </c>
      <c r="J99" s="101">
        <f>COUNTIFS(เรื่องร้องเรียน!E:E,"2",เรื่องร้องเรียน!AO:AO,"9",เรื่องร้องเรียน!AN:AN,"ภาษีเจริญ",เรื่องร้องเรียน!AQ:AQ,"1",เรื่องร้องเรียน!CN:CN,"1")</f>
        <v>0</v>
      </c>
      <c r="K99" s="101">
        <f>COUNTIFS(เรื่องร้องเรียน!E:E,"3",เรื่องร้องเรียน!AO:AO,"9",เรื่องร้องเรียน!AN:AN,"ภาษีเจริญ",เรื่องร้องเรียน!AQ:AQ,"1",เรื่องร้องเรียน!CN:CN,"1")</f>
        <v>0</v>
      </c>
      <c r="L99" s="101">
        <f>COUNTIFS(เรื่องร้องเรียน!E:E,"4",เรื่องร้องเรียน!AO:AO,"9",เรื่องร้องเรียน!AN:AN,"ภาษีเจริญ",เรื่องร้องเรียน!AQ:AQ,"1",เรื่องร้องเรียน!CN:CN,"1")</f>
        <v>0</v>
      </c>
      <c r="M99" s="101">
        <f>COUNTIFS(เรื่องร้องเรียน!E:E,"5",เรื่องร้องเรียน!AO:AO,"9",เรื่องร้องเรียน!AN:AN,"ภาษีเจริญ",เรื่องร้องเรียน!AQ:AQ,"1",เรื่องร้องเรียน!CN:CN,"1")</f>
        <v>0</v>
      </c>
      <c r="N99" s="241">
        <f t="shared" si="13"/>
        <v>0</v>
      </c>
      <c r="O99" s="183">
        <f t="shared" si="11"/>
        <v>0</v>
      </c>
    </row>
    <row r="100" spans="1:15">
      <c r="A100" s="107"/>
      <c r="B100" s="227" t="s">
        <v>70</v>
      </c>
      <c r="C100" s="104">
        <f>COUNTIFS(เรื่องร้องเรียน!E:E,"1",เรื่องร้องเรียน!AO:AO,"9",เรื่องร้องเรียน!AN:AN,"แสมดำ",เรื่องร้องเรียน!CN:CN,"1")</f>
        <v>0</v>
      </c>
      <c r="D100" s="101">
        <f>COUNTIFS(เรื่องร้องเรียน!E:E,"2",เรื่องร้องเรียน!AO:AO,"9",เรื่องร้องเรียน!AN:AN,"แสมดำ",เรื่องร้องเรียน!CN:CN,"1")</f>
        <v>0</v>
      </c>
      <c r="E100" s="101">
        <f>COUNTIFS(เรื่องร้องเรียน!E:E,"3",เรื่องร้องเรียน!AO:AO,"9",เรื่องร้องเรียน!AN:AN,"แสมดำ",เรื่องร้องเรียน!CN:CN,"1")</f>
        <v>0</v>
      </c>
      <c r="F100" s="101">
        <f>COUNTIFS(เรื่องร้องเรียน!E:E,"4",เรื่องร้องเรียน!AO:AO,"9",เรื่องร้องเรียน!AN:AN,"แสมดำ",เรื่องร้องเรียน!CN:CN,"1")</f>
        <v>0</v>
      </c>
      <c r="G100" s="101">
        <f>COUNTIFS(เรื่องร้องเรียน!E:E,"5",เรื่องร้องเรียน!AO:AO,"9",เรื่องร้องเรียน!AN:AN,"แสมดำ",เรื่องร้องเรียน!CN:CN,"1")</f>
        <v>0</v>
      </c>
      <c r="H100" s="235">
        <f t="shared" si="12"/>
        <v>0</v>
      </c>
      <c r="I100" s="104">
        <f>COUNTIFS(เรื่องร้องเรียน!E:E,"1",เรื่องร้องเรียน!AO:AO,"9",เรื่องร้องเรียน!AN:AN,"แสมดำ",เรื่องร้องเรียน!AQ:AQ,"1",เรื่องร้องเรียน!CN:CN,"1")</f>
        <v>0</v>
      </c>
      <c r="J100" s="101">
        <f>COUNTIFS(เรื่องร้องเรียน!E:E,"2",เรื่องร้องเรียน!AO:AO,"9",เรื่องร้องเรียน!AN:AN,"แสมดำ",เรื่องร้องเรียน!AQ:AQ,"1",เรื่องร้องเรียน!CN:CN,"1")</f>
        <v>0</v>
      </c>
      <c r="K100" s="101">
        <f>COUNTIFS(เรื่องร้องเรียน!E:E,"3",เรื่องร้องเรียน!AO:AO,"9",เรื่องร้องเรียน!AN:AN,"แสมดำ",เรื่องร้องเรียน!AQ:AQ,"1",เรื่องร้องเรียน!CN:CN,"1")</f>
        <v>0</v>
      </c>
      <c r="L100" s="101">
        <f>COUNTIFS(เรื่องร้องเรียน!E:E,"4",เรื่องร้องเรียน!AO:AO,"9",เรื่องร้องเรียน!AN:AN,"แสมดำ",เรื่องร้องเรียน!AQ:AQ,"1",เรื่องร้องเรียน!CN:CN,"1")</f>
        <v>0</v>
      </c>
      <c r="M100" s="101">
        <f>COUNTIFS(เรื่องร้องเรียน!E:E,"5",เรื่องร้องเรียน!AO:AO,"9",เรื่องร้องเรียน!AN:AN,"แสมดำ",เรื่องร้องเรียน!AQ:AQ,"1",เรื่องร้องเรียน!CN:CN,"1")</f>
        <v>0</v>
      </c>
      <c r="N100" s="241">
        <f t="shared" si="13"/>
        <v>0</v>
      </c>
      <c r="O100" s="183">
        <f t="shared" si="11"/>
        <v>0</v>
      </c>
    </row>
    <row r="101" spans="1:15">
      <c r="A101" s="107"/>
      <c r="B101" s="227" t="s">
        <v>93</v>
      </c>
      <c r="C101" s="104">
        <f>COUNTIFS(เรื่องร้องเรียน!E:E,"1",เรื่องร้องเรียน!AO:AO,"9",เรื่องร้องเรียน!AN:AN,"หนองแขม",เรื่องร้องเรียน!CN:CN,"1")</f>
        <v>0</v>
      </c>
      <c r="D101" s="101">
        <f>COUNTIFS(เรื่องร้องเรียน!E:E,"2",เรื่องร้องเรียน!AO:AO,"9",เรื่องร้องเรียน!AN:AN,"หนองแขม",เรื่องร้องเรียน!CN:CN,"1")</f>
        <v>0</v>
      </c>
      <c r="E101" s="101">
        <f>COUNTIFS(เรื่องร้องเรียน!E:E,"3",เรื่องร้องเรียน!AO:AO,"9",เรื่องร้องเรียน!AN:AN,"หนองแขม",เรื่องร้องเรียน!CN:CN,"1")</f>
        <v>0</v>
      </c>
      <c r="F101" s="101">
        <f>COUNTIFS(เรื่องร้องเรียน!E:E,"4",เรื่องร้องเรียน!AO:AO,"9",เรื่องร้องเรียน!AN:AN,"หนองแขม",เรื่องร้องเรียน!CN:CN,"1")</f>
        <v>0</v>
      </c>
      <c r="G101" s="101">
        <f>COUNTIFS(เรื่องร้องเรียน!E:E,"5",เรื่องร้องเรียน!AO:AO,"9",เรื่องร้องเรียน!AN:AN,"หนองแขม",เรื่องร้องเรียน!CN:CN,"1")</f>
        <v>0</v>
      </c>
      <c r="H101" s="235">
        <f t="shared" si="12"/>
        <v>0</v>
      </c>
      <c r="I101" s="104">
        <f>COUNTIFS(เรื่องร้องเรียน!E:E,"1",เรื่องร้องเรียน!AO:AO,"9",เรื่องร้องเรียน!AN:AN,"หนองแขม",เรื่องร้องเรียน!AQ:AQ,"1",เรื่องร้องเรียน!CN:CN,"1")</f>
        <v>0</v>
      </c>
      <c r="J101" s="101">
        <f>COUNTIFS(เรื่องร้องเรียน!E:E,"2",เรื่องร้องเรียน!AO:AO,"9",เรื่องร้องเรียน!AN:AN,"หนองแขม",เรื่องร้องเรียน!AQ:AQ,"1",เรื่องร้องเรียน!CN:CN,"1")</f>
        <v>0</v>
      </c>
      <c r="K101" s="101">
        <f>COUNTIFS(เรื่องร้องเรียน!E:E,"3",เรื่องร้องเรียน!AO:AO,"9",เรื่องร้องเรียน!AN:AN,"หนองแขม",เรื่องร้องเรียน!AQ:AQ,"1",เรื่องร้องเรียน!CN:CN,"1")</f>
        <v>0</v>
      </c>
      <c r="L101" s="101">
        <f>COUNTIFS(เรื่องร้องเรียน!E:E,"4",เรื่องร้องเรียน!AO:AO,"9",เรื่องร้องเรียน!AN:AN,"หนองแขม",เรื่องร้องเรียน!AQ:AQ,"1",เรื่องร้องเรียน!CN:CN,"1")</f>
        <v>0</v>
      </c>
      <c r="M101" s="101">
        <f>COUNTIFS(เรื่องร้องเรียน!E:E,"5",เรื่องร้องเรียน!AO:AO,"9",เรื่องร้องเรียน!AN:AN,"หนองแขม",เรื่องร้องเรียน!AQ:AQ,"1",เรื่องร้องเรียน!CN:CN,"1")</f>
        <v>0</v>
      </c>
      <c r="N101" s="241">
        <f t="shared" si="13"/>
        <v>0</v>
      </c>
      <c r="O101" s="183">
        <f t="shared" si="11"/>
        <v>0</v>
      </c>
    </row>
    <row r="102" spans="1:15">
      <c r="A102" s="107"/>
      <c r="B102" s="227" t="s">
        <v>135</v>
      </c>
      <c r="C102" s="104">
        <f>COUNTIFS(เรื่องร้องเรียน!E:E,"1",เรื่องร้องเรียน!AO:AO,"9",เรื่องร้องเรียน!AN:AN,"หนองค้างพลู",เรื่องร้องเรียน!CN:CN,"1")</f>
        <v>0</v>
      </c>
      <c r="D102" s="101">
        <f>COUNTIFS(เรื่องร้องเรียน!E:E,"2",เรื่องร้องเรียน!AO:AO,"9",เรื่องร้องเรียน!AN:AN,"หนองค้างพลู",เรื่องร้องเรียน!CN:CN,"1")</f>
        <v>0</v>
      </c>
      <c r="E102" s="101">
        <f>COUNTIFS(เรื่องร้องเรียน!E:E,"3",เรื่องร้องเรียน!AO:AO,"9",เรื่องร้องเรียน!AN:AN,"หนองค้างพลู",เรื่องร้องเรียน!CN:CN,"1")</f>
        <v>0</v>
      </c>
      <c r="F102" s="101">
        <f>COUNTIFS(เรื่องร้องเรียน!E:E,"4",เรื่องร้องเรียน!AO:AO,"9",เรื่องร้องเรียน!AN:AN,"หนองค้างพลู",เรื่องร้องเรียน!CN:CN,"1")</f>
        <v>0</v>
      </c>
      <c r="G102" s="101">
        <f>COUNTIFS(เรื่องร้องเรียน!E:E,"5",เรื่องร้องเรียน!AO:AO,"9",เรื่องร้องเรียน!AN:AN,"หนองค้างพลู",เรื่องร้องเรียน!CN:CN,"1")</f>
        <v>0</v>
      </c>
      <c r="H102" s="235">
        <f t="shared" si="12"/>
        <v>0</v>
      </c>
      <c r="I102" s="104">
        <f>COUNTIFS(เรื่องร้องเรียน!E:E,"1",เรื่องร้องเรียน!AO:AO,"9",เรื่องร้องเรียน!AN:AN,"หนองค้างพลู",เรื่องร้องเรียน!AQ:AQ,"1",เรื่องร้องเรียน!CN:CN,"1")</f>
        <v>0</v>
      </c>
      <c r="J102" s="101">
        <f>COUNTIFS(เรื่องร้องเรียน!E:E,"2",เรื่องร้องเรียน!AO:AO,"9",เรื่องร้องเรียน!AN:AN,"หนองค้างพลู",เรื่องร้องเรียน!AQ:AQ,"1",เรื่องร้องเรียน!CN:CN,"1")</f>
        <v>0</v>
      </c>
      <c r="K102" s="101">
        <f>COUNTIFS(เรื่องร้องเรียน!E:E,"3",เรื่องร้องเรียน!AO:AO,"9",เรื่องร้องเรียน!AN:AN,"หนองค้างพลู",เรื่องร้องเรียน!AQ:AQ,"1",เรื่องร้องเรียน!CN:CN,"1")</f>
        <v>0</v>
      </c>
      <c r="L102" s="101">
        <f>COUNTIFS(เรื่องร้องเรียน!E:E,"4",เรื่องร้องเรียน!AO:AO,"9",เรื่องร้องเรียน!AN:AN,"หนองค้างพลู",เรื่องร้องเรียน!AQ:AQ,"1",เรื่องร้องเรียน!CN:CN,"1")</f>
        <v>0</v>
      </c>
      <c r="M102" s="101">
        <f>COUNTIFS(เรื่องร้องเรียน!E:E,"5",เรื่องร้องเรียน!AO:AO,"9",เรื่องร้องเรียน!AN:AN,"หนองค้างพลู",เรื่องร้องเรียน!AQ:AQ,"1",เรื่องร้องเรียน!CN:CN,"1")</f>
        <v>0</v>
      </c>
      <c r="N102" s="241">
        <f t="shared" si="13"/>
        <v>0</v>
      </c>
      <c r="O102" s="183">
        <f t="shared" si="11"/>
        <v>0</v>
      </c>
    </row>
    <row r="103" spans="1:15" ht="21.6" thickBot="1">
      <c r="A103" s="230"/>
      <c r="B103" s="229" t="s">
        <v>92</v>
      </c>
      <c r="C103" s="231">
        <f>COUNTIFS(เรื่องร้องเรียน!E:E,"1",เรื่องร้องเรียน!AO:AO,"9",เรื่องร้องเรียน!AN:AN,"หลักสอง",เรื่องร้องเรียน!CN:CN,"1")</f>
        <v>0</v>
      </c>
      <c r="D103" s="124">
        <f>COUNTIFS(เรื่องร้องเรียน!E:E,"2",เรื่องร้องเรียน!AO:AO,"9",เรื่องร้องเรียน!AN:AN,"หลักสอง",เรื่องร้องเรียน!CN:CN,"1")</f>
        <v>0</v>
      </c>
      <c r="E103" s="124">
        <f>COUNTIFS(เรื่องร้องเรียน!E:E,"3",เรื่องร้องเรียน!AO:AO,"9",เรื่องร้องเรียน!AN:AN,"หลักสอง",เรื่องร้องเรียน!CN:CN,"1")</f>
        <v>0</v>
      </c>
      <c r="F103" s="124">
        <f>COUNTIFS(เรื่องร้องเรียน!E:E,"4",เรื่องร้องเรียน!AO:AO,"9",เรื่องร้องเรียน!AN:AN,"หลักสอง",เรื่องร้องเรียน!CN:CN,"1")</f>
        <v>0</v>
      </c>
      <c r="G103" s="124">
        <f>COUNTIFS(เรื่องร้องเรียน!E:E,"5",เรื่องร้องเรียน!AO:AO,"9",เรื่องร้องเรียน!AN:AN,"หลักสอง",เรื่องร้องเรียน!CN:CN,"1")</f>
        <v>0</v>
      </c>
      <c r="H103" s="237">
        <f t="shared" si="12"/>
        <v>0</v>
      </c>
      <c r="I103" s="231">
        <f>COUNTIFS(เรื่องร้องเรียน!E:E,"1",เรื่องร้องเรียน!AO:AO,"9",เรื่องร้องเรียน!AN:AN,"หลักสอง",เรื่องร้องเรียน!AQ:AQ,"1",เรื่องร้องเรียน!CN:CN,"1")</f>
        <v>0</v>
      </c>
      <c r="J103" s="124">
        <f>COUNTIFS(เรื่องร้องเรียน!E:E,"2",เรื่องร้องเรียน!AO:AO,"9",เรื่องร้องเรียน!AN:AN,"หลักสอง",เรื่องร้องเรียน!AQ:AQ,"1",เรื่องร้องเรียน!CN:CN,"1")</f>
        <v>0</v>
      </c>
      <c r="K103" s="124">
        <f>COUNTIFS(เรื่องร้องเรียน!E:E,"3",เรื่องร้องเรียน!AO:AO,"9",เรื่องร้องเรียน!AN:AN,"หลักสอง",เรื่องร้องเรียน!AQ:AQ,"1",เรื่องร้องเรียน!CN:CN,"1")</f>
        <v>0</v>
      </c>
      <c r="L103" s="124">
        <f>COUNTIFS(เรื่องร้องเรียน!E:E,"4",เรื่องร้องเรียน!AO:AO,"9",เรื่องร้องเรียน!AN:AN,"หลักสอง",เรื่องร้องเรียน!AQ:AQ,"1",เรื่องร้องเรียน!CN:CN,"1")</f>
        <v>0</v>
      </c>
      <c r="M103" s="124">
        <f>COUNTIFS(เรื่องร้องเรียน!E:E,"5",เรื่องร้องเรียน!AO:AO,"9",เรื่องร้องเรียน!AN:AN,"หลักสอง",เรื่องร้องเรียน!AQ:AQ,"1",เรื่องร้องเรียน!CN:CN,"1")</f>
        <v>0</v>
      </c>
      <c r="N103" s="237">
        <f t="shared" si="13"/>
        <v>0</v>
      </c>
      <c r="O103" s="184">
        <f t="shared" si="11"/>
        <v>0</v>
      </c>
    </row>
    <row r="1429" spans="21:21">
      <c r="U1429" s="41" t="s">
        <v>102</v>
      </c>
    </row>
  </sheetData>
  <mergeCells count="7">
    <mergeCell ref="A1:O1"/>
    <mergeCell ref="A2:O2"/>
    <mergeCell ref="A3:A4"/>
    <mergeCell ref="B3:B4"/>
    <mergeCell ref="C3:H3"/>
    <mergeCell ref="I3:N3"/>
    <mergeCell ref="O3:O4"/>
  </mergeCells>
  <pageMargins left="0.39370078740157483" right="0.15748031496062992" top="0.86614173228346458" bottom="1.3779527559055118" header="0.31496062992125984" footer="0.94488188976377963"/>
  <pageSetup paperSize="9" scale="75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  <ignoredErrors>
    <ignoredError sqref="G95 M19 M31 M95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5DFFF"/>
  </sheetPr>
  <dimension ref="A1:AI1429"/>
  <sheetViews>
    <sheetView zoomScale="90" zoomScaleNormal="90" workbookViewId="0">
      <selection activeCell="W11" sqref="W11"/>
    </sheetView>
  </sheetViews>
  <sheetFormatPr defaultColWidth="9" defaultRowHeight="21"/>
  <cols>
    <col min="1" max="1" width="11.6640625" style="10" customWidth="1"/>
    <col min="2" max="2" width="6.88671875" style="10" customWidth="1"/>
    <col min="3" max="3" width="6.33203125" style="10" customWidth="1"/>
    <col min="4" max="4" width="12.6640625" style="10" hidden="1" customWidth="1"/>
    <col min="5" max="5" width="7.33203125" style="10" customWidth="1"/>
    <col min="6" max="7" width="10.77734375" style="10" customWidth="1"/>
    <col min="8" max="8" width="11.33203125" style="10" customWidth="1"/>
    <col min="9" max="10" width="10.77734375" style="10" customWidth="1"/>
    <col min="11" max="23" width="8.33203125" style="10" customWidth="1"/>
    <col min="24" max="16384" width="9" style="10"/>
  </cols>
  <sheetData>
    <row r="1" spans="1:25" ht="25.8">
      <c r="A1" s="691" t="s">
        <v>229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</row>
    <row r="2" spans="1:25" ht="26.4" thickBot="1">
      <c r="A2" s="692" t="s">
        <v>227</v>
      </c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</row>
    <row r="3" spans="1:25" ht="23.4">
      <c r="A3" s="824" t="s">
        <v>222</v>
      </c>
      <c r="B3" s="827" t="s">
        <v>145</v>
      </c>
      <c r="C3" s="828"/>
      <c r="D3" s="828"/>
      <c r="E3" s="829"/>
      <c r="F3" s="830" t="s">
        <v>146</v>
      </c>
      <c r="G3" s="831"/>
      <c r="H3" s="831"/>
      <c r="I3" s="831"/>
      <c r="J3" s="831"/>
      <c r="K3" s="831"/>
      <c r="L3" s="831"/>
      <c r="M3" s="831"/>
      <c r="N3" s="831"/>
      <c r="O3" s="832"/>
      <c r="P3" s="832"/>
      <c r="Q3" s="832"/>
      <c r="R3" s="832"/>
      <c r="S3" s="832"/>
      <c r="T3" s="832"/>
      <c r="U3" s="832"/>
      <c r="V3" s="832"/>
      <c r="W3" s="832"/>
    </row>
    <row r="4" spans="1:25" ht="23.25" customHeight="1">
      <c r="A4" s="825"/>
      <c r="B4" s="833" t="s">
        <v>147</v>
      </c>
      <c r="C4" s="836" t="s">
        <v>219</v>
      </c>
      <c r="D4" s="250" t="s">
        <v>148</v>
      </c>
      <c r="E4" s="839" t="s">
        <v>13</v>
      </c>
      <c r="F4" s="842" t="s">
        <v>149</v>
      </c>
      <c r="G4" s="843"/>
      <c r="H4" s="843"/>
      <c r="I4" s="843"/>
      <c r="J4" s="843"/>
      <c r="K4" s="844" t="s">
        <v>150</v>
      </c>
      <c r="L4" s="845"/>
      <c r="M4" s="845"/>
      <c r="N4" s="845"/>
      <c r="O4" s="846"/>
      <c r="P4" s="847" t="s">
        <v>223</v>
      </c>
      <c r="Q4" s="848"/>
      <c r="R4" s="848"/>
      <c r="S4" s="848"/>
      <c r="T4" s="848"/>
      <c r="U4" s="848"/>
      <c r="V4" s="849"/>
      <c r="W4" s="860" t="s">
        <v>154</v>
      </c>
    </row>
    <row r="5" spans="1:25" ht="46.5" customHeight="1">
      <c r="A5" s="825"/>
      <c r="B5" s="834"/>
      <c r="C5" s="837"/>
      <c r="D5" s="251"/>
      <c r="E5" s="840"/>
      <c r="F5" s="854" t="s">
        <v>53</v>
      </c>
      <c r="G5" s="856" t="s">
        <v>54</v>
      </c>
      <c r="H5" s="856" t="s">
        <v>151</v>
      </c>
      <c r="I5" s="843" t="s">
        <v>152</v>
      </c>
      <c r="J5" s="843"/>
      <c r="K5" s="858" t="s">
        <v>56</v>
      </c>
      <c r="L5" s="858" t="s">
        <v>57</v>
      </c>
      <c r="M5" s="858" t="s">
        <v>58</v>
      </c>
      <c r="N5" s="863" t="s">
        <v>153</v>
      </c>
      <c r="O5" s="863" t="s">
        <v>60</v>
      </c>
      <c r="P5" s="850" t="s">
        <v>61</v>
      </c>
      <c r="Q5" s="852" t="s">
        <v>206</v>
      </c>
      <c r="R5" s="852" t="s">
        <v>224</v>
      </c>
      <c r="S5" s="852" t="s">
        <v>63</v>
      </c>
      <c r="T5" s="850" t="s">
        <v>37</v>
      </c>
      <c r="U5" s="850" t="s">
        <v>40</v>
      </c>
      <c r="V5" s="850" t="s">
        <v>64</v>
      </c>
      <c r="W5" s="861"/>
    </row>
    <row r="6" spans="1:25" ht="24" thickBot="1">
      <c r="A6" s="826"/>
      <c r="B6" s="835"/>
      <c r="C6" s="838"/>
      <c r="D6" s="252"/>
      <c r="E6" s="841"/>
      <c r="F6" s="855"/>
      <c r="G6" s="857"/>
      <c r="H6" s="857"/>
      <c r="I6" s="253" t="s">
        <v>4</v>
      </c>
      <c r="J6" s="253" t="s">
        <v>155</v>
      </c>
      <c r="K6" s="859"/>
      <c r="L6" s="859"/>
      <c r="M6" s="859"/>
      <c r="N6" s="864"/>
      <c r="O6" s="864"/>
      <c r="P6" s="851"/>
      <c r="Q6" s="853"/>
      <c r="R6" s="853"/>
      <c r="S6" s="853"/>
      <c r="T6" s="851"/>
      <c r="U6" s="851"/>
      <c r="V6" s="851"/>
      <c r="W6" s="862"/>
    </row>
    <row r="7" spans="1:25" ht="24" thickBot="1">
      <c r="A7" s="11" t="s">
        <v>152</v>
      </c>
      <c r="B7" s="12">
        <f t="shared" ref="B7:I7" si="0">SUM(B8:B11)</f>
        <v>0</v>
      </c>
      <c r="C7" s="13">
        <f t="shared" si="0"/>
        <v>0</v>
      </c>
      <c r="D7" s="13">
        <f t="shared" si="0"/>
        <v>0</v>
      </c>
      <c r="E7" s="14">
        <f t="shared" si="0"/>
        <v>0</v>
      </c>
      <c r="F7" s="15">
        <f t="shared" si="0"/>
        <v>0</v>
      </c>
      <c r="G7" s="16">
        <f t="shared" si="0"/>
        <v>0</v>
      </c>
      <c r="H7" s="16">
        <f t="shared" si="0"/>
        <v>0</v>
      </c>
      <c r="I7" s="16">
        <f t="shared" si="0"/>
        <v>0</v>
      </c>
      <c r="J7" s="17" t="e">
        <f>I7*100/E7</f>
        <v>#DIV/0!</v>
      </c>
      <c r="K7" s="15">
        <f>SUM(K8:K11)</f>
        <v>0</v>
      </c>
      <c r="L7" s="16">
        <f>SUM(L8:L11)</f>
        <v>0</v>
      </c>
      <c r="M7" s="16">
        <f>SUM(M8:M11)</f>
        <v>0</v>
      </c>
      <c r="N7" s="13">
        <f>SUM(N8:N11)</f>
        <v>0</v>
      </c>
      <c r="O7" s="13">
        <f>SUM(O8:O11)</f>
        <v>0</v>
      </c>
      <c r="P7" s="212">
        <f t="shared" ref="P7:V7" si="1">SUM(P8:P11)</f>
        <v>0</v>
      </c>
      <c r="Q7" s="212">
        <f t="shared" si="1"/>
        <v>0</v>
      </c>
      <c r="R7" s="212">
        <f t="shared" si="1"/>
        <v>0</v>
      </c>
      <c r="S7" s="212">
        <f t="shared" si="1"/>
        <v>0</v>
      </c>
      <c r="T7" s="212">
        <f t="shared" si="1"/>
        <v>0</v>
      </c>
      <c r="U7" s="212">
        <f t="shared" si="1"/>
        <v>0</v>
      </c>
      <c r="V7" s="212">
        <f t="shared" si="1"/>
        <v>0</v>
      </c>
      <c r="W7" s="201">
        <f>SUM(E7-I7)</f>
        <v>0</v>
      </c>
      <c r="Y7" s="19"/>
    </row>
    <row r="8" spans="1:25" ht="23.4">
      <c r="A8" s="202" t="s">
        <v>37</v>
      </c>
      <c r="B8" s="21">
        <f>COUNTIF(เรื่องร้องเรียน!T:T,"1")</f>
        <v>0</v>
      </c>
      <c r="C8" s="22">
        <f>COUNTIFS(เรื่องร้องเรียน!T:T,"1",เรื่องร้องเรียน!CL:CL,"1")</f>
        <v>0</v>
      </c>
      <c r="D8" s="22">
        <f>COUNTIFS(เรื่องร้องเรียน!E:E,"1",เรื่องร้องเรียน!AN:AN,"")</f>
        <v>0</v>
      </c>
      <c r="E8" s="23">
        <f>B8-C8-D8</f>
        <v>0</v>
      </c>
      <c r="F8" s="21">
        <f>COUNTIFS(เรื่องร้องเรียน!T:T,"1",เรื่องร้องเรียน!AQ:AQ,"1",เรื่องร้องเรียน!AR:AR,"1",เรื่องร้องเรียน!CL:CL,"")</f>
        <v>0</v>
      </c>
      <c r="G8" s="22">
        <f>COUNTIFS(เรื่องร้องเรียน!T:T,"1",เรื่องร้องเรียน!AQ:AQ,"1",เรื่องร้องเรียน!AS:AS,"1",เรื่องร้องเรียน!CL:CL,"")</f>
        <v>0</v>
      </c>
      <c r="H8" s="22">
        <f>COUNTIFS(เรื่องร้องเรียน!T:T,"1",เรื่องร้องเรียน!AQ:AQ,"1",เรื่องร้องเรียน!AT:AT,"1",เรื่องร้องเรียน!CL:CL,"")</f>
        <v>0</v>
      </c>
      <c r="I8" s="22">
        <f>SUM(F8:H8)</f>
        <v>0</v>
      </c>
      <c r="J8" s="24" t="e">
        <f>I8*100/E8</f>
        <v>#DIV/0!</v>
      </c>
      <c r="K8" s="21">
        <f>COUNTIFS(เรื่องร้องเรียน!T:T,"1",เรื่องร้องเรียน!AQ:AQ,"1",เรื่องร้องเรียน!AR:AR,"1",เรื่องร้องเรียน!AV:AV,"1",เรื่องร้องเรียน!CL:CL,"")</f>
        <v>0</v>
      </c>
      <c r="L8" s="22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CL:CL,"")</f>
        <v>0</v>
      </c>
      <c r="M8" s="22">
        <f>COUNTIFS(เรื่องร้องเรียน!T:T,"1",เรื่องร้องเรียน!AQ:AQ,"1",เรื่องร้องเรียน!AR:AR,"1",เรื่องร้องเรียน!AX:AX,"1",เรื่องร้องเรียน!CL:CL,"")</f>
        <v>0</v>
      </c>
      <c r="N8" s="22">
        <f>COUNTIFS(เรื่องร้องเรียน!T:T,"1",เรื่องร้องเรียน!AQ:AQ,"1",เรื่องร้องเรียน!AR:AR,"1",เรื่องร้องเรียน!AY:AY,"1",เรื่องร้องเรียน!CL:CL,"")</f>
        <v>0</v>
      </c>
      <c r="O8" s="22">
        <f>COUNTIFS(เรื่องร้องเรียน!T:T,"1",เรื่องร้องเรียน!AQ:AQ,"1",เรื่องร้องเรียน!AR:AR,"1",เรื่องร้องเรียน!AZ:AZ,"1",เรื่องร้องเรียน!CL:CL,"")</f>
        <v>0</v>
      </c>
      <c r="P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B:BB,"1",เรื่องร้องเรียน!CL:CL,"")</f>
        <v>0</v>
      </c>
      <c r="Q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C:BC,"1",เรื่องร้องเรียน!CL:CL,"")</f>
        <v>0</v>
      </c>
      <c r="R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D:BD,"1",เรื่องร้องเรียน!CL:CL,"")</f>
        <v>0</v>
      </c>
      <c r="S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F:BF,"1",เรื่องร้องเรียน!CL:CL,"")</f>
        <v>0</v>
      </c>
      <c r="T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G:BG,"1",เรื่องร้องเรียน!CL:CL,"")</f>
        <v>0</v>
      </c>
      <c r="U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H:BH,"1",เรื่องร้องเรียน!CL:CL,"")</f>
        <v>0</v>
      </c>
      <c r="V8" s="213">
        <f>COUNTIFS(เรื่องร้องเรียน!T:T,"1",เรื่องร้องเรียน!AQ:AQ,"1",เรื่องร้องเรียน!AR:AR,"1",เรื่องร้องเรียน!AW:AW,"1",เรื่องร้องเรียน!BI:BI,"1",เรื่องร้องเรียน!CL:CL,"")</f>
        <v>0</v>
      </c>
      <c r="W8" s="209">
        <f>SUM(E8-I8)</f>
        <v>0</v>
      </c>
      <c r="Y8" s="19"/>
    </row>
    <row r="9" spans="1:25" ht="23.4">
      <c r="A9" s="203" t="s">
        <v>38</v>
      </c>
      <c r="B9" s="27">
        <f>COUNTIF(เรื่องร้องเรียน!U:U,"1")</f>
        <v>0</v>
      </c>
      <c r="C9" s="28">
        <f>COUNTIFS(เรื่องร้องเรียน!U:U,"1",เรื่องร้องเรียน!CL:CL,"1")</f>
        <v>0</v>
      </c>
      <c r="D9" s="28">
        <f>COUNTIFS(เรื่องร้องเรียน!E:E,"2",เรื่องร้องเรียน!AN:AN,"")</f>
        <v>0</v>
      </c>
      <c r="E9" s="29">
        <f>B9-C9-D9</f>
        <v>0</v>
      </c>
      <c r="F9" s="27">
        <f>COUNTIFS(เรื่องร้องเรียน!U:U,"1",เรื่องร้องเรียน!AQ:AQ,"1",เรื่องร้องเรียน!AR:AR,"1",เรื่องร้องเรียน!CL:CL,"")</f>
        <v>0</v>
      </c>
      <c r="G9" s="28">
        <f>COUNTIFS(เรื่องร้องเรียน!U:U,"1",เรื่องร้องเรียน!AQ:AQ,"1",เรื่องร้องเรียน!AS:AS,"1",เรื่องร้องเรียน!CL:CL,"")</f>
        <v>0</v>
      </c>
      <c r="H9" s="28">
        <f>COUNTIFS(เรื่องร้องเรียน!U:U,"1",เรื่องร้องเรียน!AQ:AQ,"1",เรื่องร้องเรียน!AT:AT,"1",เรื่องร้องเรียน!CL:CL,"")</f>
        <v>0</v>
      </c>
      <c r="I9" s="28">
        <f>SUM(F9:H9)</f>
        <v>0</v>
      </c>
      <c r="J9" s="30" t="e">
        <f>I9*100/E9</f>
        <v>#DIV/0!</v>
      </c>
      <c r="K9" s="27">
        <f>COUNTIFS(เรื่องร้องเรียน!U:U,"1",เรื่องร้องเรียน!AQ:AQ,"1",เรื่องร้องเรียน!AR:AR,"1",เรื่องร้องเรียน!AV:AV,"1",เรื่องร้องเรียน!CL:CL,"")</f>
        <v>0</v>
      </c>
      <c r="L9" s="28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CL:CL,"")</f>
        <v>0</v>
      </c>
      <c r="M9" s="28">
        <f>COUNTIFS(เรื่องร้องเรียน!U:U,"1",เรื่องร้องเรียน!AQ:AQ,"1",เรื่องร้องเรียน!AR:AR,"1",เรื่องร้องเรียน!AX:AX,"1",เรื่องร้องเรียน!CL:CL,"")</f>
        <v>0</v>
      </c>
      <c r="N9" s="28">
        <f>COUNTIFS(เรื่องร้องเรียน!U:U,"1",เรื่องร้องเรียน!AQ:AQ,"1",เรื่องร้องเรียน!AR:AR,"1",เรื่องร้องเรียน!AY:AY,"1",เรื่องร้องเรียน!CL:CL,"")</f>
        <v>0</v>
      </c>
      <c r="O9" s="22">
        <f>COUNTIFS(เรื่องร้องเรียน!U:U,"1",เรื่องร้องเรียน!AQ:AQ,"1",เรื่องร้องเรียน!AR:AR,"1",เรื่องร้องเรียน!AZ:AZ,"1",เรื่องร้องเรียน!CL:CL,"")</f>
        <v>0</v>
      </c>
      <c r="P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B:BB,"1",เรื่องร้องเรียน!CL:CL,"")</f>
        <v>0</v>
      </c>
      <c r="Q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C:BC,"1",เรื่องร้องเรียน!CL:CL,"")</f>
        <v>0</v>
      </c>
      <c r="R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D:BD,"1",เรื่องร้องเรียน!CL:CL,"")</f>
        <v>0</v>
      </c>
      <c r="S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F:BF,"1",เรื่องร้องเรียน!CL:CL,"")</f>
        <v>0</v>
      </c>
      <c r="T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G:BG,"1",เรื่องร้องเรียน!CL:CL,"")</f>
        <v>0</v>
      </c>
      <c r="U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H:BH,"1",เรื่องร้องเรียน!CL:CL,"")</f>
        <v>0</v>
      </c>
      <c r="V9" s="213">
        <f>COUNTIFS(เรื่องร้องเรียน!U:U,"1",เรื่องร้องเรียน!AQ:AQ,"1",เรื่องร้องเรียน!AR:AR,"1",เรื่องร้องเรียน!AW:AW,"1",เรื่องร้องเรียน!BI:BI,"1",เรื่องร้องเรียน!CL:CL,"")</f>
        <v>0</v>
      </c>
      <c r="W9" s="210">
        <f>SUM(E9-I9)</f>
        <v>0</v>
      </c>
      <c r="Y9" s="19"/>
    </row>
    <row r="10" spans="1:25" ht="23.4">
      <c r="A10" s="203" t="s">
        <v>39</v>
      </c>
      <c r="B10" s="27">
        <f>COUNTIF(เรื่องร้องเรียน!V:V,"1")</f>
        <v>0</v>
      </c>
      <c r="C10" s="28">
        <f>COUNTIFS(เรื่องร้องเรียน!V:V,"1",เรื่องร้องเรียน!CL:CL,"1")</f>
        <v>0</v>
      </c>
      <c r="D10" s="28">
        <f>COUNTIFS(เรื่องร้องเรียน!E:E,"3",เรื่องร้องเรียน!AN:AN,"")</f>
        <v>0</v>
      </c>
      <c r="E10" s="29">
        <f>B10-C10-D10</f>
        <v>0</v>
      </c>
      <c r="F10" s="27">
        <f>COUNTIFS(เรื่องร้องเรียน!V:V,"1",เรื่องร้องเรียน!AQ:AQ,"1",เรื่องร้องเรียน!AR:AR,"1",เรื่องร้องเรียน!CL:CL,"")</f>
        <v>0</v>
      </c>
      <c r="G10" s="28">
        <f>COUNTIFS(เรื่องร้องเรียน!V:V,"1",เรื่องร้องเรียน!AQ:AQ,"1",เรื่องร้องเรียน!AS:AS,"1",เรื่องร้องเรียน!CL:CL,"")</f>
        <v>0</v>
      </c>
      <c r="H10" s="28">
        <f>COUNTIFS(เรื่องร้องเรียน!V:V,"1",เรื่องร้องเรียน!AQ:AQ,"1",เรื่องร้องเรียน!AT:AT,"1",เรื่องร้องเรียน!CL:CL,"")</f>
        <v>0</v>
      </c>
      <c r="I10" s="28">
        <f>SUM(F10:H10)</f>
        <v>0</v>
      </c>
      <c r="J10" s="30" t="e">
        <f>I10*100/E10</f>
        <v>#DIV/0!</v>
      </c>
      <c r="K10" s="27">
        <f>COUNTIFS(เรื่องร้องเรียน!V:V,"1",เรื่องร้องเรียน!AQ:AQ,"1",เรื่องร้องเรียน!AR:AR,"1",เรื่องร้องเรียน!AV:AV,"1",เรื่องร้องเรียน!CL:CL,"")</f>
        <v>0</v>
      </c>
      <c r="L10" s="28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CL:CL,"")</f>
        <v>0</v>
      </c>
      <c r="M10" s="28">
        <f>COUNTIFS(เรื่องร้องเรียน!V:V,"1",เรื่องร้องเรียน!AQ:AQ,"1",เรื่องร้องเรียน!AR:AR,"1",เรื่องร้องเรียน!AX:AX,"1",เรื่องร้องเรียน!CL:CL,"")</f>
        <v>0</v>
      </c>
      <c r="N10" s="28">
        <f>COUNTIFS(เรื่องร้องเรียน!V:V,"1",เรื่องร้องเรียน!AQ:AQ,"1",เรื่องร้องเรียน!AR:AR,"1",เรื่องร้องเรียน!AY:AY,"1",เรื่องร้องเรียน!CL:CL,"")</f>
        <v>0</v>
      </c>
      <c r="O10" s="22">
        <f>COUNTIFS(เรื่องร้องเรียน!V:V,"1",เรื่องร้องเรียน!AQ:AQ,"1",เรื่องร้องเรียน!AR:AR,"1",เรื่องร้องเรียน!AZ:AZ,"1",เรื่องร้องเรียน!CL:CL,"")</f>
        <v>0</v>
      </c>
      <c r="P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B:BB,"1",เรื่องร้องเรียน!CL:CL,"")</f>
        <v>0</v>
      </c>
      <c r="Q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C:BC,"1",เรื่องร้องเรียน!CL:CL,"")</f>
        <v>0</v>
      </c>
      <c r="R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D:BD,"1",เรื่องร้องเรียน!CL:CL,"")</f>
        <v>0</v>
      </c>
      <c r="S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F:BF,"1",เรื่องร้องเรียน!CL:CL,"")</f>
        <v>0</v>
      </c>
      <c r="T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G:BG,"1",เรื่องร้องเรียน!CL:CL,"")</f>
        <v>0</v>
      </c>
      <c r="U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H:BH,"1",เรื่องร้องเรียน!CL:CL,"")</f>
        <v>0</v>
      </c>
      <c r="V10" s="213">
        <f>COUNTIFS(เรื่องร้องเรียน!V:V,"1",เรื่องร้องเรียน!AQ:AQ,"1",เรื่องร้องเรียน!AR:AR,"1",เรื่องร้องเรียน!AW:AW,"1",เรื่องร้องเรียน!BI:BI,"1",เรื่องร้องเรียน!CL:CL,"")</f>
        <v>0</v>
      </c>
      <c r="W10" s="210">
        <f>SUM(E10-I10)</f>
        <v>0</v>
      </c>
      <c r="Y10" s="19"/>
    </row>
    <row r="11" spans="1:25" ht="23.4">
      <c r="A11" s="204" t="s">
        <v>40</v>
      </c>
      <c r="B11" s="205">
        <f>COUNTIF(เรื่องร้องเรียน!W:W,"1")</f>
        <v>0</v>
      </c>
      <c r="C11" s="38">
        <f>COUNTIFS(เรื่องร้องเรียน!W:W,"1",เรื่องร้องเรียน!CL:CL,"1")</f>
        <v>0</v>
      </c>
      <c r="D11" s="38">
        <f>COUNTIFS(เรื่องร้องเรียน!E:E,"4",เรื่องร้องเรียน!AN:AN,"")</f>
        <v>0</v>
      </c>
      <c r="E11" s="206">
        <f>B11-C11-D11</f>
        <v>0</v>
      </c>
      <c r="F11" s="205">
        <f>COUNTIFS(เรื่องร้องเรียน!W:W,"1",เรื่องร้องเรียน!AQ:AQ,"1",เรื่องร้องเรียน!AR:AR,"1",เรื่องร้องเรียน!CL:CL,"")</f>
        <v>0</v>
      </c>
      <c r="G11" s="38">
        <f>COUNTIFS(เรื่องร้องเรียน!W:W,"1",เรื่องร้องเรียน!AQ:AQ,"1",เรื่องร้องเรียน!AS:AS,"1",เรื่องร้องเรียน!CL:CL,"")</f>
        <v>0</v>
      </c>
      <c r="H11" s="38">
        <f>COUNTIFS(เรื่องร้องเรียน!W:W,"1",เรื่องร้องเรียน!AQ:AQ,"1",เรื่องร้องเรียน!AT:AT,"1",เรื่องร้องเรียน!CL:CL,"")</f>
        <v>0</v>
      </c>
      <c r="I11" s="38">
        <f>SUM(F11:H11)</f>
        <v>0</v>
      </c>
      <c r="J11" s="207" t="e">
        <f>I11*100/E11</f>
        <v>#DIV/0!</v>
      </c>
      <c r="K11" s="205">
        <f>COUNTIFS(เรื่องร้องเรียน!W:W,"1",เรื่องร้องเรียน!AQ:AQ,"1",เรื่องร้องเรียน!AR:AR,"1",เรื่องร้องเรียน!AV:AV,"1",เรื่องร้องเรียน!CL:CL,"")</f>
        <v>0</v>
      </c>
      <c r="L11" s="38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CL:CL,"")</f>
        <v>0</v>
      </c>
      <c r="M11" s="208">
        <f>COUNTIFS(เรื่องร้องเรียน!W:W,"1",เรื่องร้องเรียน!AQ:AQ,"1",เรื่องร้องเรียน!AR:AR,"1",เรื่องร้องเรียน!AX:AX,"1",เรื่องร้องเรียน!CL:CL,"")</f>
        <v>0</v>
      </c>
      <c r="N11" s="38">
        <f>COUNTIFS(เรื่องร้องเรียน!W:W,"1",เรื่องร้องเรียน!AQ:AQ,"1",เรื่องร้องเรียน!AR:AR,"1",เรื่องร้องเรียน!AY:AY,"1",เรื่องร้องเรียน!CL:CL,"")</f>
        <v>0</v>
      </c>
      <c r="O11" s="38">
        <f>COUNTIFS(เรื่องร้องเรียน!W:W,"1",เรื่องร้องเรียน!AQ:AQ,"1",เรื่องร้องเรียน!AR:AR,"1",เรื่องร้องเรียน!AZ:AZ,"1",เรื่องร้องเรียน!CL:CL,"")</f>
        <v>0</v>
      </c>
      <c r="P11" s="214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B:BB,"1",เรื่องร้องเรียน!CL:CL,"")</f>
        <v>0</v>
      </c>
      <c r="Q11" s="215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C:BC,"1",เรื่องร้องเรียน!CL:CL,"")</f>
        <v>0</v>
      </c>
      <c r="R11" s="215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D:BD,"1",เรื่องร้องเรียน!CL:CL,"")</f>
        <v>0</v>
      </c>
      <c r="S11" s="215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F:BF,"1",เรื่องร้องเรียน!CL:CL,"")</f>
        <v>0</v>
      </c>
      <c r="T11" s="215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G:BG,"1",เรื่องร้องเรียน!CL:CL,"")</f>
        <v>0</v>
      </c>
      <c r="U11" s="215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H:BH,"1",เรื่องร้องเรียน!CL:CL,"")</f>
        <v>0</v>
      </c>
      <c r="V11" s="215">
        <f>COUNTIFS(เรื่องร้องเรียน!W:W,"1",เรื่องร้องเรียน!AQ:AQ,"1",เรื่องร้องเรียน!AR:AR,"1",เรื่องร้องเรียน!AW:AW,"1",เรื่องร้องเรียน!BI:BI,"1",เรื่องร้องเรียน!CL:CL,"")</f>
        <v>0</v>
      </c>
      <c r="W11" s="211">
        <f>SUM(E11-I11)</f>
        <v>0</v>
      </c>
      <c r="Y11" s="19"/>
    </row>
    <row r="13" spans="1:25" ht="23.4"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 spans="1:25" ht="23.4"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</row>
    <row r="1429" spans="35:35">
      <c r="AI1429" s="41" t="s">
        <v>102</v>
      </c>
    </row>
  </sheetData>
  <mergeCells count="28">
    <mergeCell ref="W4:W6"/>
    <mergeCell ref="M5:M6"/>
    <mergeCell ref="N5:N6"/>
    <mergeCell ref="O5:O6"/>
    <mergeCell ref="T5:T6"/>
    <mergeCell ref="U5:U6"/>
    <mergeCell ref="V5:V6"/>
    <mergeCell ref="G5:G6"/>
    <mergeCell ref="H5:H6"/>
    <mergeCell ref="I5:J5"/>
    <mergeCell ref="K5:K6"/>
    <mergeCell ref="L5:L6"/>
    <mergeCell ref="A1:W1"/>
    <mergeCell ref="A2:W2"/>
    <mergeCell ref="A3:A6"/>
    <mergeCell ref="B3:E3"/>
    <mergeCell ref="F3:W3"/>
    <mergeCell ref="B4:B6"/>
    <mergeCell ref="C4:C6"/>
    <mergeCell ref="E4:E6"/>
    <mergeCell ref="F4:J4"/>
    <mergeCell ref="K4:O4"/>
    <mergeCell ref="P4:V4"/>
    <mergeCell ref="P5:P6"/>
    <mergeCell ref="Q5:Q6"/>
    <mergeCell ref="R5:R6"/>
    <mergeCell ref="S5:S6"/>
    <mergeCell ref="F5:F6"/>
  </mergeCells>
  <pageMargins left="0.21" right="0.15748031496063" top="1.02362204724409" bottom="1.58" header="0.31496062992126" footer="1.25"/>
  <pageSetup paperSize="9" scale="70" orientation="landscape" r:id="rId1"/>
  <headerFooter>
    <oddFooter>&amp;L&amp;"TH SarabunPSK,Regular"&amp;10ที่มา : สำนักงาน ปปส.กทม.&amp;R&amp;"TH SarabunPSK,Regular"&amp;10ข้อมูล ณ วันที่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206A-2EE3-4B5B-9CFB-3266623DDB17}">
  <sheetPr>
    <tabColor rgb="FF75FF75"/>
  </sheetPr>
  <dimension ref="A1:AA1478"/>
  <sheetViews>
    <sheetView zoomScale="90" zoomScaleNormal="90" workbookViewId="0">
      <pane ySplit="5" topLeftCell="A6" activePane="bottomLeft" state="frozen"/>
      <selection pane="bottomLeft" activeCell="M6" sqref="M6"/>
    </sheetView>
  </sheetViews>
  <sheetFormatPr defaultColWidth="9" defaultRowHeight="21"/>
  <cols>
    <col min="1" max="1" width="15.21875" style="10" customWidth="1"/>
    <col min="2" max="2" width="14.33203125" style="10" customWidth="1"/>
    <col min="3" max="6" width="4.77734375" style="10" customWidth="1"/>
    <col min="7" max="7" width="6" style="10" customWidth="1"/>
    <col min="8" max="12" width="4.77734375" style="10" customWidth="1"/>
    <col min="13" max="13" width="6.33203125" style="10" customWidth="1"/>
    <col min="14" max="14" width="4.77734375" style="10" customWidth="1"/>
    <col min="15" max="20" width="6.6640625" style="10" customWidth="1"/>
    <col min="21" max="21" width="9" style="10" customWidth="1"/>
    <col min="22" max="22" width="11.33203125" style="10" customWidth="1"/>
    <col min="23" max="23" width="10.6640625" style="10" customWidth="1"/>
    <col min="24" max="16384" width="9" style="10"/>
  </cols>
  <sheetData>
    <row r="1" spans="1:25">
      <c r="A1" s="729" t="s">
        <v>264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</row>
    <row r="2" spans="1:25" ht="21.6" thickBot="1">
      <c r="A2" s="729" t="s">
        <v>200</v>
      </c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</row>
    <row r="3" spans="1:25">
      <c r="A3" s="730" t="s">
        <v>35</v>
      </c>
      <c r="B3" s="733" t="s">
        <v>5</v>
      </c>
      <c r="C3" s="736" t="s">
        <v>145</v>
      </c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737"/>
      <c r="O3" s="738" t="s">
        <v>201</v>
      </c>
      <c r="P3" s="739"/>
      <c r="Q3" s="739"/>
      <c r="R3" s="739"/>
      <c r="S3" s="740"/>
      <c r="T3" s="740"/>
      <c r="U3" s="717" t="s">
        <v>161</v>
      </c>
      <c r="W3" s="720" t="s">
        <v>202</v>
      </c>
    </row>
    <row r="4" spans="1:25">
      <c r="A4" s="731"/>
      <c r="B4" s="734"/>
      <c r="C4" s="721" t="s">
        <v>162</v>
      </c>
      <c r="D4" s="721"/>
      <c r="E4" s="722" t="s">
        <v>163</v>
      </c>
      <c r="F4" s="721"/>
      <c r="G4" s="722" t="s">
        <v>164</v>
      </c>
      <c r="H4" s="721"/>
      <c r="I4" s="722" t="s">
        <v>165</v>
      </c>
      <c r="J4" s="721"/>
      <c r="K4" s="722" t="s">
        <v>166</v>
      </c>
      <c r="L4" s="723"/>
      <c r="M4" s="722" t="s">
        <v>152</v>
      </c>
      <c r="N4" s="724"/>
      <c r="O4" s="725" t="s">
        <v>162</v>
      </c>
      <c r="P4" s="727" t="s">
        <v>163</v>
      </c>
      <c r="Q4" s="727" t="s">
        <v>164</v>
      </c>
      <c r="R4" s="727" t="s">
        <v>165</v>
      </c>
      <c r="S4" s="727" t="s">
        <v>166</v>
      </c>
      <c r="T4" s="727" t="s">
        <v>152</v>
      </c>
      <c r="U4" s="718"/>
      <c r="W4" s="720"/>
    </row>
    <row r="5" spans="1:25" ht="21.6" thickBot="1">
      <c r="A5" s="732"/>
      <c r="B5" s="735"/>
      <c r="C5" s="380" t="s">
        <v>147</v>
      </c>
      <c r="D5" s="381" t="s">
        <v>11</v>
      </c>
      <c r="E5" s="381" t="s">
        <v>147</v>
      </c>
      <c r="F5" s="381" t="s">
        <v>11</v>
      </c>
      <c r="G5" s="381" t="s">
        <v>147</v>
      </c>
      <c r="H5" s="381" t="s">
        <v>11</v>
      </c>
      <c r="I5" s="381" t="s">
        <v>147</v>
      </c>
      <c r="J5" s="381" t="s">
        <v>11</v>
      </c>
      <c r="K5" s="381" t="s">
        <v>147</v>
      </c>
      <c r="L5" s="381" t="s">
        <v>11</v>
      </c>
      <c r="M5" s="381" t="s">
        <v>147</v>
      </c>
      <c r="N5" s="379" t="s">
        <v>11</v>
      </c>
      <c r="O5" s="726"/>
      <c r="P5" s="728"/>
      <c r="Q5" s="728"/>
      <c r="R5" s="728"/>
      <c r="S5" s="728"/>
      <c r="T5" s="728"/>
      <c r="U5" s="719"/>
      <c r="W5" s="720"/>
    </row>
    <row r="6" spans="1:25" s="71" customFormat="1" ht="21.6" thickBot="1">
      <c r="A6" s="72" t="s">
        <v>152</v>
      </c>
      <c r="B6" s="127"/>
      <c r="C6" s="77">
        <f t="shared" ref="C6:T6" si="0">SUM(C7,C15,C21,C27,C33,C42,C48,C51,C56,C64,C70,C76,C81,C88,C95,C99,C107,C115,C121,C125,C132,C137,C140,C147,C153,C158,C164,C168,C174,C181,C187,C191,C197,C203,C208,C213,C219,C225,C232,C237,C242,C248,C255,C259,C265,C270,C276,C280,C288,C293)</f>
        <v>0</v>
      </c>
      <c r="D6" s="75">
        <f t="shared" si="0"/>
        <v>0</v>
      </c>
      <c r="E6" s="75">
        <f t="shared" si="0"/>
        <v>0</v>
      </c>
      <c r="F6" s="75">
        <f t="shared" si="0"/>
        <v>0</v>
      </c>
      <c r="G6" s="75">
        <f t="shared" si="0"/>
        <v>0</v>
      </c>
      <c r="H6" s="75">
        <f t="shared" si="0"/>
        <v>0</v>
      </c>
      <c r="I6" s="75">
        <f t="shared" si="0"/>
        <v>0</v>
      </c>
      <c r="J6" s="75">
        <f t="shared" si="0"/>
        <v>0</v>
      </c>
      <c r="K6" s="75">
        <f t="shared" si="0"/>
        <v>0</v>
      </c>
      <c r="L6" s="75">
        <f t="shared" si="0"/>
        <v>0</v>
      </c>
      <c r="M6" s="75">
        <f t="shared" si="0"/>
        <v>0</v>
      </c>
      <c r="N6" s="85">
        <f t="shared" si="0"/>
        <v>0</v>
      </c>
      <c r="O6" s="77">
        <f t="shared" si="0"/>
        <v>0</v>
      </c>
      <c r="P6" s="75">
        <f t="shared" si="0"/>
        <v>0</v>
      </c>
      <c r="Q6" s="75">
        <f t="shared" si="0"/>
        <v>0</v>
      </c>
      <c r="R6" s="75">
        <f t="shared" si="0"/>
        <v>0</v>
      </c>
      <c r="S6" s="75">
        <f t="shared" si="0"/>
        <v>0</v>
      </c>
      <c r="T6" s="78">
        <f t="shared" si="0"/>
        <v>0</v>
      </c>
      <c r="U6" s="128">
        <f t="shared" ref="U6:U78" si="1">M6-N6-T6</f>
        <v>0</v>
      </c>
      <c r="W6" s="129">
        <f>SUM(M6-N6)</f>
        <v>0</v>
      </c>
    </row>
    <row r="7" spans="1:25" ht="21.6" thickBot="1">
      <c r="A7" s="130" t="s">
        <v>97</v>
      </c>
      <c r="B7" s="169" t="s">
        <v>152</v>
      </c>
      <c r="C7" s="132">
        <f>SUM(C8:C14)</f>
        <v>0</v>
      </c>
      <c r="D7" s="131">
        <f t="shared" ref="D7:T7" si="2">SUM(D8:D14)</f>
        <v>0</v>
      </c>
      <c r="E7" s="131">
        <f t="shared" si="2"/>
        <v>0</v>
      </c>
      <c r="F7" s="131">
        <f t="shared" si="2"/>
        <v>0</v>
      </c>
      <c r="G7" s="131">
        <f t="shared" si="2"/>
        <v>0</v>
      </c>
      <c r="H7" s="131">
        <f t="shared" si="2"/>
        <v>0</v>
      </c>
      <c r="I7" s="131">
        <f t="shared" si="2"/>
        <v>0</v>
      </c>
      <c r="J7" s="131">
        <f t="shared" si="2"/>
        <v>0</v>
      </c>
      <c r="K7" s="131">
        <f t="shared" si="2"/>
        <v>0</v>
      </c>
      <c r="L7" s="131">
        <f t="shared" si="2"/>
        <v>0</v>
      </c>
      <c r="M7" s="131">
        <f t="shared" si="2"/>
        <v>0</v>
      </c>
      <c r="N7" s="163">
        <f t="shared" si="2"/>
        <v>0</v>
      </c>
      <c r="O7" s="132">
        <f t="shared" si="2"/>
        <v>0</v>
      </c>
      <c r="P7" s="132">
        <f t="shared" si="2"/>
        <v>0</v>
      </c>
      <c r="Q7" s="132">
        <f t="shared" si="2"/>
        <v>0</v>
      </c>
      <c r="R7" s="132">
        <f t="shared" si="2"/>
        <v>0</v>
      </c>
      <c r="S7" s="132">
        <f t="shared" si="2"/>
        <v>0</v>
      </c>
      <c r="T7" s="133">
        <f t="shared" si="2"/>
        <v>0</v>
      </c>
      <c r="U7" s="134">
        <f t="shared" si="1"/>
        <v>0</v>
      </c>
      <c r="W7" s="135">
        <f t="shared" ref="W7:W72" si="3">SUM(M7-N7)</f>
        <v>0</v>
      </c>
    </row>
    <row r="8" spans="1:25">
      <c r="A8" s="136"/>
      <c r="B8" s="137" t="s">
        <v>20</v>
      </c>
      <c r="C8" s="140"/>
      <c r="D8" s="138"/>
      <c r="E8" s="138"/>
      <c r="F8" s="138"/>
      <c r="G8" s="138"/>
      <c r="H8" s="138"/>
      <c r="I8" s="138"/>
      <c r="J8" s="138"/>
      <c r="K8" s="138">
        <f>COUNTIFS(เรื่องร้องเรียน!E:E,"5",เรื่องร้องเรียน!N:N,"คลองเตย")</f>
        <v>0</v>
      </c>
      <c r="L8" s="138">
        <f>COUNTIFS(เรื่องร้องเรียน!E:E,"5",เรื่องร้องเรียน!N:N,"คลองเตย",เรื่องร้องเรียน!CL:CL,"1")</f>
        <v>0</v>
      </c>
      <c r="M8" s="138">
        <f t="shared" ref="M8:N13" si="4">SUM(C8,E8,G8,I8,K8)</f>
        <v>0</v>
      </c>
      <c r="N8" s="139">
        <f t="shared" si="4"/>
        <v>0</v>
      </c>
      <c r="O8" s="140"/>
      <c r="P8" s="138"/>
      <c r="Q8" s="138"/>
      <c r="R8" s="138"/>
      <c r="S8" s="138">
        <f>COUNTIFS(เรื่องร้องเรียน!E:E,"5",เรื่องร้องเรียน!N:N,"คลองเตย",เรื่องร้องเรียน!AQ:AQ,"1",เรื่องร้องเรียน!CL:CL,"")</f>
        <v>0</v>
      </c>
      <c r="T8" s="141">
        <f>SUM(O8:S8)</f>
        <v>0</v>
      </c>
      <c r="U8" s="129">
        <f t="shared" si="1"/>
        <v>0</v>
      </c>
      <c r="V8" s="10" t="s">
        <v>98</v>
      </c>
      <c r="W8" s="129">
        <f t="shared" si="3"/>
        <v>0</v>
      </c>
    </row>
    <row r="9" spans="1:25">
      <c r="A9" s="142"/>
      <c r="B9" s="143" t="s">
        <v>128</v>
      </c>
      <c r="C9" s="246">
        <f>COUNTIFS(เรื่องร้องเรียน!E:E,"1",เรื่องร้องเรียน!N:N,"คลองเตย",เรื่องร้องเรียน!AN:AN,"คลองตัน")</f>
        <v>0</v>
      </c>
      <c r="D9" s="109">
        <f>COUNTIFS(เรื่องร้องเรียน!E:E,"1",เรื่องร้องเรียน!N:N,"คลองเตย",เรื่องร้องเรียน!AN:AN,"คลองตัน",เรื่องร้องเรียน!CL:CL,"1")</f>
        <v>0</v>
      </c>
      <c r="E9" s="109">
        <f>COUNTIFS(เรื่องร้องเรียน!E:E,"2",เรื่องร้องเรียน!N:N,"คลองเตย",เรื่องร้องเรียน!AN:AN,"คลองตัน")</f>
        <v>0</v>
      </c>
      <c r="F9" s="109">
        <f>COUNTIFS(เรื่องร้องเรียน!E:E,"2",เรื่องร้องเรียน!N:N,"คลองเตย",เรื่องร้องเรียน!AN:AN,"คลองตัน",เรื่องร้องเรียน!CL:CL,"1")</f>
        <v>0</v>
      </c>
      <c r="G9" s="109">
        <f>COUNTIFS(เรื่องร้องเรียน!E:E,"3",เรื่องร้องเรียน!N:N,"คลองเตย",เรื่องร้องเรียน!AN:AN,"คลองตัน")</f>
        <v>0</v>
      </c>
      <c r="H9" s="109">
        <f>COUNTIFS(เรื่องร้องเรียน!E:E,"3",เรื่องร้องเรียน!N:N,"คลองเตย",เรื่องร้องเรียน!AN:AN,"คลองตัน",เรื่องร้องเรียน!CL:CL,"1")</f>
        <v>0</v>
      </c>
      <c r="I9" s="109">
        <f>COUNTIFS(เรื่องร้องเรียน!E:E,"4",เรื่องร้องเรียน!N:N,"คลองเตย",เรื่องร้องเรียน!AN:AN,"คลองตัน")</f>
        <v>0</v>
      </c>
      <c r="J9" s="144">
        <f>COUNTIFS(เรื่องร้องเรียน!E:E,"4",เรื่องร้องเรียน!N:N,"คลองเตย",เรื่องร้องเรียน!AN:AN,"คลองตัน",เรื่องร้องเรียน!CL:CL,"1")</f>
        <v>0</v>
      </c>
      <c r="K9" s="144"/>
      <c r="L9" s="144"/>
      <c r="M9" s="109">
        <f t="shared" si="4"/>
        <v>0</v>
      </c>
      <c r="N9" s="145">
        <f t="shared" si="4"/>
        <v>0</v>
      </c>
      <c r="O9" s="146">
        <f>COUNTIFS(เรื่องร้องเรียน!E:E,"1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P9" s="144">
        <f>COUNTIFS(เรื่องร้องเรียน!E:E,"2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Q9" s="144">
        <f>COUNTIFS(เรื่องร้องเรียน!E:E,"3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R9" s="144">
        <f>COUNTIFS(เรื่องร้องเรียน!E:E,"4",เรื่องร้องเรียน!N:N,"คลองเตย",เรื่องร้องเรียน!AN:AN,"คลองตัน",เรื่องร้องเรียน!AQ:AQ,"1",เรื่องร้องเรียน!CL:CL,"")</f>
        <v>0</v>
      </c>
      <c r="S9" s="144"/>
      <c r="T9" s="147">
        <f t="shared" ref="T9:T83" si="5">SUM(O9:S9)</f>
        <v>0</v>
      </c>
      <c r="U9" s="129">
        <f t="shared" si="1"/>
        <v>0</v>
      </c>
      <c r="W9" s="129">
        <f t="shared" si="3"/>
        <v>0</v>
      </c>
      <c r="Y9" s="10" t="s">
        <v>98</v>
      </c>
    </row>
    <row r="10" spans="1:25">
      <c r="A10" s="148"/>
      <c r="B10" s="149" t="s">
        <v>137</v>
      </c>
      <c r="C10" s="246">
        <f>COUNTIFS(เรื่องร้องเรียน!E:E,"1",เรื่องร้องเรียน!N:N,"คลองเตย",เรื่องร้องเรียน!AN:AN,"ทองหล่อ")</f>
        <v>0</v>
      </c>
      <c r="D10" s="109">
        <f>COUNTIFS(เรื่องร้องเรียน!E:E,"1",เรื่องร้องเรียน!N:N,"คลองเตย",เรื่องร้องเรียน!AN:AN,"ทองหล่อ",เรื่องร้องเรียน!CL:CL,"1")</f>
        <v>0</v>
      </c>
      <c r="E10" s="109">
        <f>COUNTIFS(เรื่องร้องเรียน!E:E,"2",เรื่องร้องเรียน!N:N,"คลองเตย",เรื่องร้องเรียน!AN:AN,"ทองหล่อ")</f>
        <v>0</v>
      </c>
      <c r="F10" s="109">
        <f>COUNTIFS(เรื่องร้องเรียน!E:E,"2",เรื่องร้องเรียน!N:N,"คลองเตย",เรื่องร้องเรียน!AN:AN,"ทองหล่อ",เรื่องร้องเรียน!CL:CL,"1")</f>
        <v>0</v>
      </c>
      <c r="G10" s="109">
        <f>COUNTIFS(เรื่องร้องเรียน!E:E,"3",เรื่องร้องเรียน!N:N,"คลองเตย",เรื่องร้องเรียน!AN:AN,"ทองหล่อ")</f>
        <v>0</v>
      </c>
      <c r="H10" s="109">
        <f>COUNTIFS(เรื่องร้องเรียน!E:E,"3",เรื่องร้องเรียน!N:N,"คลองเตย",เรื่องร้องเรียน!AN:AN,"ทองหล่อ",เรื่องร้องเรียน!CL:CL,"1")</f>
        <v>0</v>
      </c>
      <c r="I10" s="109">
        <f>COUNTIFS(เรื่องร้องเรียน!E:E,"4",เรื่องร้องเรียน!N:N,"คลองเตย",เรื่องร้องเรียน!AN:AN,"ทองหล่อ")</f>
        <v>0</v>
      </c>
      <c r="J10" s="144">
        <f>COUNTIFS(เรื่องร้องเรียน!E:E,"4",เรื่องร้องเรียน!N:N,"คลองเตย",เรื่องร้องเรียน!AN:AN,"ทองหล่อ",เรื่องร้องเรียน!CL:CL,"1")</f>
        <v>0</v>
      </c>
      <c r="K10" s="144"/>
      <c r="L10" s="144"/>
      <c r="M10" s="109">
        <f t="shared" si="4"/>
        <v>0</v>
      </c>
      <c r="N10" s="145">
        <f t="shared" si="4"/>
        <v>0</v>
      </c>
      <c r="O10" s="146">
        <f>COUNTIFS(เรื่องร้องเรียน!E:E,"1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P10" s="144">
        <f>COUNTIFS(เรื่องร้องเรียน!E:E,"2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Q10" s="144">
        <f>COUNTIFS(เรื่องร้องเรียน!E:E,"3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R10" s="144">
        <f>COUNTIFS(เรื่องร้องเรียน!E:E,"4",เรื่องร้องเรียน!N:N,"คลองเตย",เรื่องร้องเรียน!AN:AN,"ทองหล่อ",เรื่องร้องเรียน!AQ:AQ,"1",เรื่องร้องเรียน!CL:CL,"")</f>
        <v>0</v>
      </c>
      <c r="S10" s="144"/>
      <c r="T10" s="147">
        <f t="shared" si="5"/>
        <v>0</v>
      </c>
      <c r="U10" s="129">
        <f t="shared" si="1"/>
        <v>0</v>
      </c>
      <c r="W10" s="129">
        <f t="shared" si="3"/>
        <v>0</v>
      </c>
    </row>
    <row r="11" spans="1:25">
      <c r="A11" s="148"/>
      <c r="B11" s="149" t="s">
        <v>103</v>
      </c>
      <c r="C11" s="246">
        <f>COUNTIFS(เรื่องร้องเรียน!E:E,"1",เรื่องร้องเรียน!N:N,"คลองเตย",เรื่องร้องเรียน!AN:AN,"ท่าเรือ")</f>
        <v>0</v>
      </c>
      <c r="D11" s="109">
        <f>COUNTIFS(เรื่องร้องเรียน!E:E,"1",เรื่องร้องเรียน!N:N,"คลองเตย",เรื่องร้องเรียน!AN:AN,"ท่าเรือ",เรื่องร้องเรียน!CL:CL,"1")</f>
        <v>0</v>
      </c>
      <c r="E11" s="109">
        <f>COUNTIFS(เรื่องร้องเรียน!E:E,"2",เรื่องร้องเรียน!N:N,"คลองเตย",เรื่องร้องเรียน!AN:AN,"ท่าเรือ")</f>
        <v>0</v>
      </c>
      <c r="F11" s="109">
        <f>COUNTIFS(เรื่องร้องเรียน!E:E,"2",เรื่องร้องเรียน!N:N,"คลองเตย",เรื่องร้องเรียน!AN:AN,"ท่าเรือ",เรื่องร้องเรียน!CL:CL,"1")</f>
        <v>0</v>
      </c>
      <c r="G11" s="109">
        <f>COUNTIFS(เรื่องร้องเรียน!E:E,"3",เรื่องร้องเรียน!N:N,"คลองเตย",เรื่องร้องเรียน!AN:AN,"ท่าเรือ")</f>
        <v>0</v>
      </c>
      <c r="H11" s="109">
        <f>COUNTIFS(เรื่องร้องเรียน!E:E,"3",เรื่องร้องเรียน!N:N,"คลองเตย",เรื่องร้องเรียน!AN:AN,"ท่าเรือ",เรื่องร้องเรียน!CL:CL,"1")</f>
        <v>0</v>
      </c>
      <c r="I11" s="109">
        <f>COUNTIFS(เรื่องร้องเรียน!E:E,"4",เรื่องร้องเรียน!N:N,"คลองเตย",เรื่องร้องเรียน!AN:AN,"ท่าเรือ")</f>
        <v>0</v>
      </c>
      <c r="J11" s="144">
        <f>COUNTIFS(เรื่องร้องเรียน!E:E,"4",เรื่องร้องเรียน!N:N,"คลองเตย",เรื่องร้องเรียน!AN:AN,"ท่าเรือ",เรื่องร้องเรียน!CL:CL,"1")</f>
        <v>0</v>
      </c>
      <c r="K11" s="144"/>
      <c r="L11" s="144"/>
      <c r="M11" s="109">
        <f t="shared" si="4"/>
        <v>0</v>
      </c>
      <c r="N11" s="145">
        <f t="shared" si="4"/>
        <v>0</v>
      </c>
      <c r="O11" s="146">
        <f>COUNTIFS(เรื่องร้องเรียน!E:E,"1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P11" s="144">
        <f>COUNTIFS(เรื่องร้องเรียน!E:E,"2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Q11" s="144">
        <f>COUNTIFS(เรื่องร้องเรียน!E:E,"3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R11" s="144">
        <f>COUNTIFS(เรื่องร้องเรียน!E:E,"4",เรื่องร้องเรียน!N:N,"คลองเตย",เรื่องร้องเรียน!AN:AN,"ท่าเรือ",เรื่องร้องเรียน!AQ:AQ,"1",เรื่องร้องเรียน!CL:CL,"")</f>
        <v>0</v>
      </c>
      <c r="S11" s="144"/>
      <c r="T11" s="147">
        <f t="shared" si="5"/>
        <v>0</v>
      </c>
      <c r="U11" s="129">
        <f t="shared" si="1"/>
        <v>0</v>
      </c>
      <c r="W11" s="129">
        <f t="shared" si="3"/>
        <v>0</v>
      </c>
    </row>
    <row r="12" spans="1:25">
      <c r="A12" s="148"/>
      <c r="B12" s="149" t="s">
        <v>142</v>
      </c>
      <c r="C12" s="246">
        <f>COUNTIFS(เรื่องร้องเรียน!E:E,"1",เรื่องร้องเรียน!N:N,"คลองเตย",เรื่องร้องเรียน!AN:AN,"ทุ่งมหาเมฆ")</f>
        <v>0</v>
      </c>
      <c r="D12" s="109">
        <f>COUNTIFS(เรื่องร้องเรียน!E:E,"1",เรื่องร้องเรียน!N:N,"คลองเตย",เรื่องร้องเรียน!AN:AN,"ทุ่งมหาเมฆ",เรื่องร้องเรียน!CL:CL,"1")</f>
        <v>0</v>
      </c>
      <c r="E12" s="109">
        <f>COUNTIFS(เรื่องร้องเรียน!E:E,"2",เรื่องร้องเรียน!N:N,"คลองเตย",เรื่องร้องเรียน!AN:AN,"ทุ่งมหาเมฆ")</f>
        <v>0</v>
      </c>
      <c r="F12" s="109">
        <f>COUNTIFS(เรื่องร้องเรียน!E:E,"2",เรื่องร้องเรียน!N:N,"คลองเตย",เรื่องร้องเรียน!AN:AN,"ทุ่งมหาเมฆ",เรื่องร้องเรียน!CL:CL,"1")</f>
        <v>0</v>
      </c>
      <c r="G12" s="109">
        <f>COUNTIFS(เรื่องร้องเรียน!E:E,"3",เรื่องร้องเรียน!N:N,"คลองเตย",เรื่องร้องเรียน!AN:AN,"ทุ่งมหาเมฆ")</f>
        <v>0</v>
      </c>
      <c r="H12" s="109">
        <f>COUNTIFS(เรื่องร้องเรียน!E:E,"3",เรื่องร้องเรียน!N:N,"คลองเตย",เรื่องร้องเรียน!AN:AN,"ทุ่งมหาเมฆ",เรื่องร้องเรียน!CL:CL,"1")</f>
        <v>0</v>
      </c>
      <c r="I12" s="109">
        <f>COUNTIFS(เรื่องร้องเรียน!E:E,"4",เรื่องร้องเรียน!N:N,"คลองเตย",เรื่องร้องเรียน!AN:AN,"ทุ่งมหาเมฆ")</f>
        <v>0</v>
      </c>
      <c r="J12" s="144">
        <f>COUNTIFS(เรื่องร้องเรียน!E:E,"4",เรื่องร้องเรียน!N:N,"คลองเตย",เรื่องร้องเรียน!AN:AN,"ทุ่งมหาเมฆ",เรื่องร้องเรียน!CL:CL,"1")</f>
        <v>0</v>
      </c>
      <c r="K12" s="144"/>
      <c r="L12" s="144"/>
      <c r="M12" s="109">
        <f t="shared" si="4"/>
        <v>0</v>
      </c>
      <c r="N12" s="145">
        <f t="shared" si="4"/>
        <v>0</v>
      </c>
      <c r="O12" s="146">
        <f>COUNTIFS(เรื่องร้องเรียน!E:E,"1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P12" s="144">
        <f>COUNTIFS(เรื่องร้องเรียน!E:E,"2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Q12" s="144">
        <f>COUNTIFS(เรื่องร้องเรียน!E:E,"3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R12" s="144">
        <f>COUNTIFS(เรื่องร้องเรียน!E:E,"4",เรื่องร้องเรียน!N:N,"คลองเตย",เรื่องร้องเรียน!AN:AN,"ทุ่งมหาเมฆ",เรื่องร้องเรียน!AQ:AQ,"1",เรื่องร้องเรียน!CL:CL,"")</f>
        <v>0</v>
      </c>
      <c r="S12" s="144"/>
      <c r="T12" s="147">
        <f t="shared" si="5"/>
        <v>0</v>
      </c>
      <c r="U12" s="129">
        <f t="shared" si="1"/>
        <v>0</v>
      </c>
      <c r="W12" s="129">
        <f t="shared" si="3"/>
        <v>0</v>
      </c>
    </row>
    <row r="13" spans="1:25">
      <c r="A13" s="150"/>
      <c r="B13" s="151" t="s">
        <v>115</v>
      </c>
      <c r="C13" s="123">
        <f>COUNTIFS(เรื่องร้องเรียน!E:E,"1",เรื่องร้องเรียน!N:N,"คลองเตย",เรื่องร้องเรียน!AN:AN,"พระโขนง")</f>
        <v>0</v>
      </c>
      <c r="D13" s="117">
        <f>COUNTIFS(เรื่องร้องเรียน!E:E,"1",เรื่องร้องเรียน!N:N,"คลองเตย",เรื่องร้องเรียน!AN:AN,"พระโขนง",เรื่องร้องเรียน!CL:CL,"1")</f>
        <v>0</v>
      </c>
      <c r="E13" s="117">
        <f>COUNTIFS(เรื่องร้องเรียน!E:E,"2",เรื่องร้องเรียน!N:N,"คลองเตย",เรื่องร้องเรียน!AN:AN,"พระโขนง")</f>
        <v>0</v>
      </c>
      <c r="F13" s="117">
        <f>COUNTIFS(เรื่องร้องเรียน!E:E,"2",เรื่องร้องเรียน!N:N,"คลองเตย",เรื่องร้องเรียน!AN:AN,"พระโขนง",เรื่องร้องเรียน!CL:CL,"1")</f>
        <v>0</v>
      </c>
      <c r="G13" s="117">
        <f>COUNTIFS(เรื่องร้องเรียน!E:E,"3",เรื่องร้องเรียน!N:N,"คลองเตย",เรื่องร้องเรียน!AN:AN,"พระโขนง")</f>
        <v>0</v>
      </c>
      <c r="H13" s="117">
        <f>COUNTIFS(เรื่องร้องเรียน!E:E,"3",เรื่องร้องเรียน!N:N,"คลองเตย",เรื่องร้องเรียน!AN:AN,"พระโขนง",เรื่องร้องเรียน!CL:CL,"1")</f>
        <v>0</v>
      </c>
      <c r="I13" s="117">
        <f>COUNTIFS(เรื่องร้องเรียน!E:E,"4",เรื่องร้องเรียน!N:N,"คลองเตย",เรื่องร้องเรียน!AN:AN,"พระโขนง")</f>
        <v>0</v>
      </c>
      <c r="J13" s="152">
        <f>COUNTIFS(เรื่องร้องเรียน!E:E,"4",เรื่องร้องเรียน!N:N,"คลองเตย",เรื่องร้องเรียน!AN:AN,"พระโขนง",เรื่องร้องเรียน!CL:CL,"1")</f>
        <v>0</v>
      </c>
      <c r="K13" s="152"/>
      <c r="L13" s="152"/>
      <c r="M13" s="117">
        <f t="shared" si="4"/>
        <v>0</v>
      </c>
      <c r="N13" s="122">
        <f t="shared" si="4"/>
        <v>0</v>
      </c>
      <c r="O13" s="153">
        <f>COUNTIFS(เรื่องร้องเรียน!E:E,"1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P13" s="152">
        <f>COUNTIFS(เรื่องร้องเรียน!E:E,"2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Q13" s="152">
        <f>COUNTIFS(เรื่องร้องเรียน!E:E,"3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R13" s="152">
        <f>COUNTIFS(เรื่องร้องเรียน!E:E,"4",เรื่องร้องเรียน!N:N,"คลองเตย",เรื่องร้องเรียน!AN:AN,"พระโขนง",เรื่องร้องเรียน!AQ:AQ,"1",เรื่องร้องเรียน!CL:CL,"")</f>
        <v>0</v>
      </c>
      <c r="S13" s="152"/>
      <c r="T13" s="154">
        <f t="shared" si="5"/>
        <v>0</v>
      </c>
      <c r="U13" s="129">
        <f t="shared" si="1"/>
        <v>0</v>
      </c>
      <c r="W13" s="129">
        <f t="shared" si="3"/>
        <v>0</v>
      </c>
    </row>
    <row r="14" spans="1:25" ht="21.6" thickBot="1">
      <c r="A14" s="155"/>
      <c r="B14" s="156" t="s">
        <v>98</v>
      </c>
      <c r="C14" s="231">
        <f>COUNTIFS(เรื่องร้องเรียน!E:E,"1",เรื่องร้องเรียน!N:N,"คลองเตย",เรื่องร้องเรียน!AN:AN,"ลุมพินี")</f>
        <v>0</v>
      </c>
      <c r="D14" s="124">
        <f>COUNTIFS(เรื่องร้องเรียน!E:E,"1",เรื่องร้องเรียน!N:N,"คลองเตย",เรื่องร้องเรียน!AN:AN,"ลุมพินี",เรื่องร้องเรียน!CL:CL,"1")</f>
        <v>0</v>
      </c>
      <c r="E14" s="124">
        <f>COUNTIFS(เรื่องร้องเรียน!E:E,"2",เรื่องร้องเรียน!N:N,"คลองเตย",เรื่องร้องเรียน!AN:AN,"ลุมพินี")</f>
        <v>0</v>
      </c>
      <c r="F14" s="124">
        <f>COUNTIFS(เรื่องร้องเรียน!E:E,"2",เรื่องร้องเรียน!N:N,"คลองเตย",เรื่องร้องเรียน!AN:AN,"ลุมพินี",เรื่องร้องเรียน!CL:CL,"1")</f>
        <v>0</v>
      </c>
      <c r="G14" s="124">
        <f>COUNTIFS(เรื่องร้องเรียน!E:E,"3",เรื่องร้องเรียน!N:N,"คลองเตย",เรื่องร้องเรียน!AN:AN,"ลุมพินี")</f>
        <v>0</v>
      </c>
      <c r="H14" s="124">
        <f>COUNTIFS(เรื่องร้องเรียน!E:E,"3",เรื่องร้องเรียน!N:N,"คลองเตย",เรื่องร้องเรียน!AN:AN,"ลุมพินี",เรื่องร้องเรียน!CL:CL,"1")</f>
        <v>0</v>
      </c>
      <c r="I14" s="124">
        <f>COUNTIFS(เรื่องร้องเรียน!E:E,"4",เรื่องร้องเรียน!N:N,"คลองเตย",เรื่องร้องเรียน!AN:AN,"ลุมพินี")</f>
        <v>0</v>
      </c>
      <c r="J14" s="157">
        <f>COUNTIFS(เรื่องร้องเรียน!E:E,"4",เรื่องร้องเรียน!N:N,"คลองเตย",เรื่องร้องเรียน!AN:AN,"ลุมพินี",เรื่องร้องเรียน!CL:CL,"1")</f>
        <v>0</v>
      </c>
      <c r="K14" s="157"/>
      <c r="L14" s="157"/>
      <c r="M14" s="124">
        <f>SUM(C14,E14,G14,I14,K14)</f>
        <v>0</v>
      </c>
      <c r="N14" s="158">
        <f>SUM(D14,F14,H14,J14,L14)</f>
        <v>0</v>
      </c>
      <c r="O14" s="159">
        <f>COUNTIFS(เรื่องร้องเรียน!E:E,"1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P14" s="157">
        <f>COUNTIFS(เรื่องร้องเรียน!E:E,"2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Q14" s="157">
        <f>COUNTIFS(เรื่องร้องเรียน!E:E,"3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R14" s="157">
        <f>COUNTIFS(เรื่องร้องเรียน!E:E,"4",เรื่องร้องเรียน!N:N,"คลองเตย",เรื่องร้องเรียน!AN:AN,"ลุมพินี",เรื่องร้องเรียน!AQ:AQ,"1",เรื่องร้องเรียน!CL:CL,"")</f>
        <v>0</v>
      </c>
      <c r="S14" s="157"/>
      <c r="T14" s="160">
        <f>SUM(O14:S14)</f>
        <v>0</v>
      </c>
      <c r="U14" s="128">
        <f>M14-N14-T14</f>
        <v>0</v>
      </c>
      <c r="W14" s="129">
        <f t="shared" si="3"/>
        <v>0</v>
      </c>
    </row>
    <row r="15" spans="1:25" ht="21.6" thickBot="1">
      <c r="A15" s="161" t="s">
        <v>81</v>
      </c>
      <c r="B15" s="162" t="s">
        <v>152</v>
      </c>
      <c r="C15" s="132">
        <f>SUM(C16:C20)</f>
        <v>0</v>
      </c>
      <c r="D15" s="131">
        <f t="shared" ref="D15:T15" si="6">SUM(D16:D20)</f>
        <v>0</v>
      </c>
      <c r="E15" s="131">
        <f t="shared" si="6"/>
        <v>0</v>
      </c>
      <c r="F15" s="131">
        <f t="shared" si="6"/>
        <v>0</v>
      </c>
      <c r="G15" s="131">
        <f t="shared" si="6"/>
        <v>0</v>
      </c>
      <c r="H15" s="131">
        <f t="shared" si="6"/>
        <v>0</v>
      </c>
      <c r="I15" s="131">
        <f t="shared" si="6"/>
        <v>0</v>
      </c>
      <c r="J15" s="131">
        <f t="shared" si="6"/>
        <v>0</v>
      </c>
      <c r="K15" s="131">
        <f t="shared" si="6"/>
        <v>0</v>
      </c>
      <c r="L15" s="131">
        <f t="shared" si="6"/>
        <v>0</v>
      </c>
      <c r="M15" s="131">
        <f t="shared" si="6"/>
        <v>0</v>
      </c>
      <c r="N15" s="163">
        <f t="shared" si="6"/>
        <v>0</v>
      </c>
      <c r="O15" s="164">
        <f t="shared" si="6"/>
        <v>0</v>
      </c>
      <c r="P15" s="164">
        <f t="shared" si="6"/>
        <v>0</v>
      </c>
      <c r="Q15" s="164">
        <f t="shared" si="6"/>
        <v>0</v>
      </c>
      <c r="R15" s="164">
        <f t="shared" si="6"/>
        <v>0</v>
      </c>
      <c r="S15" s="164">
        <f t="shared" si="6"/>
        <v>0</v>
      </c>
      <c r="T15" s="133">
        <f t="shared" si="6"/>
        <v>0</v>
      </c>
      <c r="U15" s="134">
        <f t="shared" si="1"/>
        <v>0</v>
      </c>
      <c r="W15" s="135">
        <f t="shared" si="3"/>
        <v>0</v>
      </c>
    </row>
    <row r="16" spans="1:25">
      <c r="A16" s="165"/>
      <c r="B16" s="166" t="s">
        <v>20</v>
      </c>
      <c r="C16" s="140"/>
      <c r="D16" s="138"/>
      <c r="E16" s="138"/>
      <c r="F16" s="138"/>
      <c r="G16" s="138"/>
      <c r="H16" s="138"/>
      <c r="I16" s="138"/>
      <c r="J16" s="138"/>
      <c r="K16" s="138">
        <f>COUNTIFS(เรื่องร้องเรียน!E:E,"5",เรื่องร้องเรียน!N:N,"คลองสาน")</f>
        <v>0</v>
      </c>
      <c r="L16" s="138">
        <f>COUNTIFS(เรื่องร้องเรียน!E:E,"5",เรื่องร้องเรียน!N:N,"คลองสาน",เรื่องร้องเรียน!CL:CL,"1")</f>
        <v>0</v>
      </c>
      <c r="M16" s="138">
        <f t="shared" ref="M16:N19" si="7">SUM(C16,E16,G16,I16,K16)</f>
        <v>0</v>
      </c>
      <c r="N16" s="139">
        <f t="shared" si="7"/>
        <v>0</v>
      </c>
      <c r="O16" s="140"/>
      <c r="P16" s="138"/>
      <c r="Q16" s="138"/>
      <c r="R16" s="138"/>
      <c r="S16" s="138">
        <f>COUNTIFS(เรื่องร้องเรียน!E:E,"5",เรื่องร้องเรียน!N:N,"คลองสาน",เรื่องร้องเรียน!AQ:AQ,"1",เรื่องร้องเรียน!CL:CL,"")</f>
        <v>0</v>
      </c>
      <c r="T16" s="141">
        <f t="shared" si="5"/>
        <v>0</v>
      </c>
      <c r="U16" s="129">
        <f t="shared" si="1"/>
        <v>0</v>
      </c>
      <c r="W16" s="129">
        <f t="shared" si="3"/>
        <v>0</v>
      </c>
    </row>
    <row r="17" spans="1:23">
      <c r="A17" s="142"/>
      <c r="B17" s="167" t="s">
        <v>123</v>
      </c>
      <c r="C17" s="246">
        <f>COUNTIFS(เรื่องร้องเรียน!E:E,"1",เรื่องร้องเรียน!N:N,"คลองสาน",เรื่องร้องเรียน!AN:AN,"บุปผาราม")</f>
        <v>0</v>
      </c>
      <c r="D17" s="109">
        <f>COUNTIFS(เรื่องร้องเรียน!E:E,"1",เรื่องร้องเรียน!N:N,"คลองสาน",เรื่องร้องเรียน!AN:AN,"บุปผาราม",เรื่องร้องเรียน!CL:CL,"1")</f>
        <v>0</v>
      </c>
      <c r="E17" s="109">
        <f>COUNTIFS(เรื่องร้องเรียน!E:E,"2",เรื่องร้องเรียน!N:N,"คลองสาน",เรื่องร้องเรียน!AN:AN,"บุปผาราม")</f>
        <v>0</v>
      </c>
      <c r="F17" s="109">
        <f>COUNTIFS(เรื่องร้องเรียน!E:E,"2",เรื่องร้องเรียน!N:N,"คลองสาน",เรื่องร้องเรียน!AN:AN,"บุปผาราม",เรื่องร้องเรียน!CL:CL,"1")</f>
        <v>0</v>
      </c>
      <c r="G17" s="109">
        <f>COUNTIFS(เรื่องร้องเรียน!E:E,"3",เรื่องร้องเรียน!N:N,"คลองสาน",เรื่องร้องเรียน!AN:AN,"บุปผาราม")</f>
        <v>0</v>
      </c>
      <c r="H17" s="109">
        <f>COUNTIFS(เรื่องร้องเรียน!E:E,"3",เรื่องร้องเรียน!N:N,"คลองสาน",เรื่องร้องเรียน!AN:AN,"บุปผาราม",เรื่องร้องเรียน!CL:CL,"1")</f>
        <v>0</v>
      </c>
      <c r="I17" s="109">
        <f>COUNTIFS(เรื่องร้องเรียน!E:E,"4",เรื่องร้องเรียน!N:N,"คลองสาน",เรื่องร้องเรียน!AN:AN,"บุปผาราม")</f>
        <v>0</v>
      </c>
      <c r="J17" s="144">
        <f>COUNTIFS(เรื่องร้องเรียน!E:E,"4",เรื่องร้องเรียน!N:N,"คลองสาน",เรื่องร้องเรียน!AN:AN,"บุปผาราม",เรื่องร้องเรียน!CL:CL,"1")</f>
        <v>0</v>
      </c>
      <c r="K17" s="144"/>
      <c r="L17" s="144"/>
      <c r="M17" s="109">
        <f t="shared" si="7"/>
        <v>0</v>
      </c>
      <c r="N17" s="145">
        <f t="shared" si="7"/>
        <v>0</v>
      </c>
      <c r="O17" s="146">
        <f>COUNTIFS(เรื่องร้องเรียน!E:E,"1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P17" s="144">
        <f>COUNTIFS(เรื่องร้องเรียน!E:E,"2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Q17" s="144">
        <f>COUNTIFS(เรื่องร้องเรียน!E:E,"3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R17" s="144">
        <f>COUNTIFS(เรื่องร้องเรียน!E:E,"4",เรื่องร้องเรียน!N:N,"คลองสาน",เรื่องร้องเรียน!AN:AN,"บุปผาราม",เรื่องร้องเรียน!AQ:AQ,"1",เรื่องร้องเรียน!CL:CL,"")</f>
        <v>0</v>
      </c>
      <c r="S17" s="144"/>
      <c r="T17" s="147">
        <f t="shared" si="5"/>
        <v>0</v>
      </c>
      <c r="U17" s="129">
        <f t="shared" si="1"/>
        <v>0</v>
      </c>
      <c r="V17" s="10" t="s">
        <v>198</v>
      </c>
      <c r="W17" s="129">
        <f t="shared" si="3"/>
        <v>0</v>
      </c>
    </row>
    <row r="18" spans="1:23">
      <c r="A18" s="148"/>
      <c r="B18" s="149" t="s">
        <v>83</v>
      </c>
      <c r="C18" s="246">
        <f>COUNTIFS(เรื่องร้องเรียน!E:E,"1",เรื่องร้องเรียน!N:N,"คลองสาน",เรื่องร้องเรียน!AN:AN,"สมเด็จเจ้าพระยา")</f>
        <v>0</v>
      </c>
      <c r="D18" s="109">
        <f>COUNTIFS(เรื่องร้องเรียน!E:E,"1",เรื่องร้องเรียน!N:N,"คลองสาน",เรื่องร้องเรียน!AN:AN,"สมเด็จเจ้าพระยา",เรื่องร้องเรียน!CL:CL,"1")</f>
        <v>0</v>
      </c>
      <c r="E18" s="109">
        <f>COUNTIFS(เรื่องร้องเรียน!E:E,"2",เรื่องร้องเรียน!N:N,"คลองสาน",เรื่องร้องเรียน!AN:AN,"สมเด็จเจ้าพระยา")</f>
        <v>0</v>
      </c>
      <c r="F18" s="109">
        <f>COUNTIFS(เรื่องร้องเรียน!E:E,"2",เรื่องร้องเรียน!N:N,"คลองสาน",เรื่องร้องเรียน!AN:AN,"สมเด็จเจ้าพระยา",เรื่องร้องเรียน!CL:CL,"1")</f>
        <v>0</v>
      </c>
      <c r="G18" s="109">
        <f>COUNTIFS(เรื่องร้องเรียน!E:E,"3",เรื่องร้องเรียน!N:N,"คลองสาน",เรื่องร้องเรียน!AN:AN,"สมเด็จเจ้าพระยา")</f>
        <v>0</v>
      </c>
      <c r="H18" s="109">
        <f>COUNTIFS(เรื่องร้องเรียน!E:E,"3",เรื่องร้องเรียน!N:N,"คลองสาน",เรื่องร้องเรียน!AN:AN,"สมเด็จเจ้าพระยา",เรื่องร้องเรียน!CL:CL,"1")</f>
        <v>0</v>
      </c>
      <c r="I18" s="109">
        <f>COUNTIFS(เรื่องร้องเรียน!E:E,"4",เรื่องร้องเรียน!N:N,"คลองสาน",เรื่องร้องเรียน!AN:AN,"สมเด็จเจ้าพระยา")</f>
        <v>0</v>
      </c>
      <c r="J18" s="144">
        <f>COUNTIFS(เรื่องร้องเรียน!E:E,"4",เรื่องร้องเรียน!N:N,"คลองสาน",เรื่องร้องเรียน!AN:AN,"สมเด็จเจ้าพระยา",เรื่องร้องเรียน!CL:CL,"1")</f>
        <v>0</v>
      </c>
      <c r="K18" s="144"/>
      <c r="L18" s="144"/>
      <c r="M18" s="109">
        <f t="shared" si="7"/>
        <v>0</v>
      </c>
      <c r="N18" s="145">
        <f t="shared" si="7"/>
        <v>0</v>
      </c>
      <c r="O18" s="146">
        <f>COUNTIFS(เรื่องร้องเรียน!E:E,"1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P18" s="144">
        <f>COUNTIFS(เรื่องร้องเรียน!E:E,"2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Q18" s="144">
        <f>COUNTIFS(เรื่องร้องเรียน!E:E,"3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R18" s="144">
        <f>COUNTIFS(เรื่องร้องเรียน!E:E,"4",เรื่องร้องเรียน!N:N,"คลองสาน",เรื่องร้องเรียน!AN:AN,"สมเด็จเจ้าพระยา",เรื่องร้องเรียน!AQ:AQ,"1",เรื่องร้องเรียน!CL:CL,"")</f>
        <v>0</v>
      </c>
      <c r="S18" s="144"/>
      <c r="T18" s="147">
        <f t="shared" si="5"/>
        <v>0</v>
      </c>
      <c r="U18" s="129">
        <f t="shared" si="1"/>
        <v>0</v>
      </c>
      <c r="W18" s="129">
        <f t="shared" si="3"/>
        <v>0</v>
      </c>
    </row>
    <row r="19" spans="1:23">
      <c r="A19" s="150"/>
      <c r="B19" s="151" t="s">
        <v>197</v>
      </c>
      <c r="C19" s="123">
        <f>COUNTIFS(เรื่องร้องเรียน!E:E,"1",เรื่องร้องเรียน!N:N,"คลองสาน",เรื่องร้องเรียน!AN:AN,"สำเหร่")</f>
        <v>0</v>
      </c>
      <c r="D19" s="117">
        <f>COUNTIFS(เรื่องร้องเรียน!E:E,"1",เรื่องร้องเรียน!N:N,"คลองสาน",เรื่องร้องเรียน!AN:AN,"สำเหร่",เรื่องร้องเรียน!CL:CL,"1")</f>
        <v>0</v>
      </c>
      <c r="E19" s="117">
        <f>COUNTIFS(เรื่องร้องเรียน!E:E,"2",เรื่องร้องเรียน!N:N,"คลองสาน",เรื่องร้องเรียน!AN:AN,"สำเหร่")</f>
        <v>0</v>
      </c>
      <c r="F19" s="117">
        <f>COUNTIFS(เรื่องร้องเรียน!E:E,"2",เรื่องร้องเรียน!N:N,"คลองสาน",เรื่องร้องเรียน!AN:AN,"สำเหร่",เรื่องร้องเรียน!CL:CL,"1")</f>
        <v>0</v>
      </c>
      <c r="G19" s="117">
        <f>COUNTIFS(เรื่องร้องเรียน!E:E,"3",เรื่องร้องเรียน!N:N,"คลองสาน",เรื่องร้องเรียน!AN:AN,"สำเหร่")</f>
        <v>0</v>
      </c>
      <c r="H19" s="117">
        <f>COUNTIFS(เรื่องร้องเรียน!E:E,"3",เรื่องร้องเรียน!N:N,"คลองสาน",เรื่องร้องเรียน!AN:AN,"สำเหร่",เรื่องร้องเรียน!CL:CL,"1")</f>
        <v>0</v>
      </c>
      <c r="I19" s="117">
        <f>COUNTIFS(เรื่องร้องเรียน!E:E,"4",เรื่องร้องเรียน!N:N,"คลองสาน",เรื่องร้องเรียน!AN:AN,"สำเหร่")</f>
        <v>0</v>
      </c>
      <c r="J19" s="152">
        <f>COUNTIFS(เรื่องร้องเรียน!E:E,"4",เรื่องร้องเรียน!N:N,"คลองสาน",เรื่องร้องเรียน!AN:AN,"สำเหร่",เรื่องร้องเรียน!CL:CL,"1")</f>
        <v>0</v>
      </c>
      <c r="K19" s="152"/>
      <c r="L19" s="152"/>
      <c r="M19" s="117">
        <f t="shared" si="7"/>
        <v>0</v>
      </c>
      <c r="N19" s="122">
        <f t="shared" si="7"/>
        <v>0</v>
      </c>
      <c r="O19" s="153">
        <f>COUNTIFS(เรื่องร้องเรียน!E:E,"1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P19" s="152">
        <f>COUNTIFS(เรื่องร้องเรียน!E:E,"2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Q19" s="152">
        <f>COUNTIFS(เรื่องร้องเรียน!E:E,"3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R19" s="152">
        <f>COUNTIFS(เรื่องร้องเรียน!E:E,"4",เรื่องร้องเรียน!N:N,"คลองสาน",เรื่องร้องเรียน!AN:AN,"สำเหร่",เรื่องร้องเรียน!AQ:AQ,"1",เรื่องร้องเรียน!CL:CL,"")</f>
        <v>0</v>
      </c>
      <c r="S19" s="152"/>
      <c r="T19" s="154">
        <f t="shared" si="5"/>
        <v>0</v>
      </c>
      <c r="U19" s="129">
        <f t="shared" si="1"/>
        <v>0</v>
      </c>
      <c r="W19" s="129">
        <f t="shared" si="3"/>
        <v>0</v>
      </c>
    </row>
    <row r="20" spans="1:23" ht="21.6" thickBot="1">
      <c r="A20" s="168"/>
      <c r="B20" s="143" t="s">
        <v>198</v>
      </c>
      <c r="C20" s="123">
        <f>COUNTIFS(เรื่องร้องเรียน!E:E,"1",เรื่องร้องเรียน!N:N,"คลองสาน",เรื่องร้องเรียน!AN:AN,"ปากคลองสาน")</f>
        <v>0</v>
      </c>
      <c r="D20" s="117">
        <f>COUNTIFS(เรื่องร้องเรียน!E:E,"1",เรื่องร้องเรียน!N:N,"คลองสาน",เรื่องร้องเรียน!AN:AN,"ปากคลองสาน",เรื่องร้องเรียน!CL:CL,"1")</f>
        <v>0</v>
      </c>
      <c r="E20" s="117">
        <f>COUNTIFS(เรื่องร้องเรียน!E:E,"2",เรื่องร้องเรียน!N:N,"คลองสาน",เรื่องร้องเรียน!AN:AN,"ปากคลองสาน")</f>
        <v>0</v>
      </c>
      <c r="F20" s="117">
        <f>COUNTIFS(เรื่องร้องเรียน!E:E,"2",เรื่องร้องเรียน!N:N,"คลองสาน",เรื่องร้องเรียน!AN:AN,"ปากคลองสาน",เรื่องร้องเรียน!CL:CL,"1")</f>
        <v>0</v>
      </c>
      <c r="G20" s="117">
        <f>COUNTIFS(เรื่องร้องเรียน!E:E,"3",เรื่องร้องเรียน!N:N,"คลองสาน",เรื่องร้องเรียน!AN:AN,"ปากคลองสาน")</f>
        <v>0</v>
      </c>
      <c r="H20" s="117">
        <f>COUNTIFS(เรื่องร้องเรียน!E:E,"3",เรื่องร้องเรียน!N:N,"คลองสาน",เรื่องร้องเรียน!AN:AN,"ปากคลองสาน",เรื่องร้องเรียน!CL:CL,"1")</f>
        <v>0</v>
      </c>
      <c r="I20" s="117">
        <f>COUNTIFS(เรื่องร้องเรียน!E:E,"4",เรื่องร้องเรียน!N:N,"คลองสาน",เรื่องร้องเรียน!AN:AN,"ปากคลองสาน")</f>
        <v>0</v>
      </c>
      <c r="J20" s="152">
        <f>COUNTIFS(เรื่องร้องเรียน!E:E,"4",เรื่องร้องเรียน!N:N,"คลองสาน",เรื่องร้องเรียน!AN:AN,"ปากคลองสาน",เรื่องร้องเรียน!CL:CL,"1")</f>
        <v>0</v>
      </c>
      <c r="K20" s="152"/>
      <c r="L20" s="152"/>
      <c r="M20" s="117">
        <f>SUM(C20,E20,G20,I20,K20)</f>
        <v>0</v>
      </c>
      <c r="N20" s="122">
        <f>SUM(D20,F20,H20,J20,L20)</f>
        <v>0</v>
      </c>
      <c r="O20" s="153">
        <f>COUNTIFS(เรื่องร้องเรียน!E:E,"1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P20" s="152">
        <f>COUNTIFS(เรื่องร้องเรียน!E:E,"2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Q20" s="152">
        <f>COUNTIFS(เรื่องร้องเรียน!E:E,"3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R20" s="152">
        <f>COUNTIFS(เรื่องร้องเรียน!E:E,"4",เรื่องร้องเรียน!N:N,"คลองสาน",เรื่องร้องเรียน!AN:AN,"ปากคลองสาน",เรื่องร้องเรียน!AQ:AQ,"1",เรื่องร้องเรียน!CL:CL,"")</f>
        <v>0</v>
      </c>
      <c r="S20" s="152"/>
      <c r="T20" s="154">
        <f>SUM(O20:S20)</f>
        <v>0</v>
      </c>
      <c r="U20" s="128">
        <f>M20-N20-T20</f>
        <v>0</v>
      </c>
      <c r="W20" s="129">
        <f t="shared" si="3"/>
        <v>0</v>
      </c>
    </row>
    <row r="21" spans="1:23" ht="21.6" thickBot="1">
      <c r="A21" s="130" t="s">
        <v>109</v>
      </c>
      <c r="B21" s="169" t="s">
        <v>152</v>
      </c>
      <c r="C21" s="132">
        <f>SUM(C22:C26 )</f>
        <v>0</v>
      </c>
      <c r="D21" s="131">
        <f t="shared" ref="D21:T21" si="8">SUM(D22:D26 )</f>
        <v>0</v>
      </c>
      <c r="E21" s="131">
        <f t="shared" si="8"/>
        <v>0</v>
      </c>
      <c r="F21" s="131">
        <f t="shared" si="8"/>
        <v>0</v>
      </c>
      <c r="G21" s="131">
        <f t="shared" si="8"/>
        <v>0</v>
      </c>
      <c r="H21" s="131">
        <f t="shared" si="8"/>
        <v>0</v>
      </c>
      <c r="I21" s="131">
        <f t="shared" si="8"/>
        <v>0</v>
      </c>
      <c r="J21" s="131">
        <f t="shared" si="8"/>
        <v>0</v>
      </c>
      <c r="K21" s="131">
        <f t="shared" si="8"/>
        <v>0</v>
      </c>
      <c r="L21" s="131">
        <f t="shared" si="8"/>
        <v>0</v>
      </c>
      <c r="M21" s="131">
        <f t="shared" si="8"/>
        <v>0</v>
      </c>
      <c r="N21" s="163">
        <f t="shared" si="8"/>
        <v>0</v>
      </c>
      <c r="O21" s="132">
        <f t="shared" si="8"/>
        <v>0</v>
      </c>
      <c r="P21" s="131">
        <f t="shared" si="8"/>
        <v>0</v>
      </c>
      <c r="Q21" s="131">
        <f t="shared" si="8"/>
        <v>0</v>
      </c>
      <c r="R21" s="131">
        <f t="shared" si="8"/>
        <v>0</v>
      </c>
      <c r="S21" s="131">
        <f t="shared" si="8"/>
        <v>0</v>
      </c>
      <c r="T21" s="133">
        <f t="shared" si="8"/>
        <v>0</v>
      </c>
      <c r="U21" s="134">
        <f t="shared" si="1"/>
        <v>0</v>
      </c>
      <c r="W21" s="135">
        <f t="shared" si="3"/>
        <v>0</v>
      </c>
    </row>
    <row r="22" spans="1:23">
      <c r="A22" s="165"/>
      <c r="B22" s="166" t="s">
        <v>20</v>
      </c>
      <c r="C22" s="140"/>
      <c r="D22" s="138"/>
      <c r="E22" s="138"/>
      <c r="F22" s="138"/>
      <c r="G22" s="138"/>
      <c r="H22" s="138"/>
      <c r="I22" s="138"/>
      <c r="J22" s="138"/>
      <c r="K22" s="138">
        <f>COUNTIFS(เรื่องร้องเรียน!E:E,"5",เรื่องร้องเรียน!N:N,"คลองสามวา")</f>
        <v>0</v>
      </c>
      <c r="L22" s="138">
        <f>COUNTIFS(เรื่องร้องเรียน!E:E,"5",เรื่องร้องเรียน!N:N,"คลองสามวา",เรื่องร้องเรียน!CL:CL,"1")</f>
        <v>0</v>
      </c>
      <c r="M22" s="138">
        <f t="shared" ref="M22:N26" si="9">SUM(C22,E22,G22,I22,K22)</f>
        <v>0</v>
      </c>
      <c r="N22" s="139">
        <f t="shared" si="9"/>
        <v>0</v>
      </c>
      <c r="O22" s="140"/>
      <c r="P22" s="138"/>
      <c r="Q22" s="138"/>
      <c r="R22" s="138"/>
      <c r="S22" s="138">
        <f>COUNTIFS(เรื่องร้องเรียน!E:E,"5",เรื่องร้องเรียน!N:N,"คลองสามวา",เรื่องร้องเรียน!AQ:AQ,"1",เรื่องร้องเรียน!CL:CL,"")</f>
        <v>0</v>
      </c>
      <c r="T22" s="141">
        <f t="shared" si="5"/>
        <v>0</v>
      </c>
      <c r="U22" s="129">
        <f t="shared" si="1"/>
        <v>0</v>
      </c>
      <c r="W22" s="129">
        <f t="shared" si="3"/>
        <v>0</v>
      </c>
    </row>
    <row r="23" spans="1:23">
      <c r="A23" s="148"/>
      <c r="B23" s="149" t="s">
        <v>77</v>
      </c>
      <c r="C23" s="246">
        <f>COUNTIFS(เรื่องร้องเรียน!E:E,"1",เรื่องร้องเรียน!N:N,"คลองสามวา",เรื่องร้องเรียน!AN:AN,"คันนายาว")</f>
        <v>0</v>
      </c>
      <c r="D23" s="109">
        <f>COUNTIFS(เรื่องร้องเรียน!E:E,"1",เรื่องร้องเรียน!N:N,"คลองสามวา",เรื่องร้องเรียน!AN:AN,"คันนายาว",เรื่องร้องเรียน!CL:CL,"1")</f>
        <v>0</v>
      </c>
      <c r="E23" s="109">
        <f>COUNTIFS(เรื่องร้องเรียน!E:E,"2",เรื่องร้องเรียน!N:N,"คลองสามวา",เรื่องร้องเรียน!AN:AN,"คันนายาว")</f>
        <v>0</v>
      </c>
      <c r="F23" s="109">
        <f>COUNTIFS(เรื่องร้องเรียน!E:E,"2",เรื่องร้องเรียน!N:N,"คลองสามวา",เรื่องร้องเรียน!AN:AN,"คันนายาว",เรื่องร้องเรียน!CL:CL,"1")</f>
        <v>0</v>
      </c>
      <c r="G23" s="109">
        <f>COUNTIFS(เรื่องร้องเรียน!E:E,"3",เรื่องร้องเรียน!N:N,"คลองสามวา",เรื่องร้องเรียน!AN:AN,"คันนายาว")</f>
        <v>0</v>
      </c>
      <c r="H23" s="109">
        <f>COUNTIFS(เรื่องร้องเรียน!E:E,"3",เรื่องร้องเรียน!N:N,"คลองสามวา",เรื่องร้องเรียน!AN:AN,"คันนายาว",เรื่องร้องเรียน!CL:CL,"1")</f>
        <v>0</v>
      </c>
      <c r="I23" s="109">
        <f>COUNTIFS(เรื่องร้องเรียน!E:E,"4",เรื่องร้องเรียน!N:N,"คลองสามวา",เรื่องร้องเรียน!AN:AN,"คันนายาว")</f>
        <v>0</v>
      </c>
      <c r="J23" s="144">
        <f>COUNTIFS(เรื่องร้องเรียน!E:E,"4",เรื่องร้องเรียน!N:N,"คลองสามวา",เรื่องร้องเรียน!AN:AN,"คันนายาว",เรื่องร้องเรียน!CL:CL,"1")</f>
        <v>0</v>
      </c>
      <c r="K23" s="144"/>
      <c r="L23" s="144"/>
      <c r="M23" s="109">
        <f t="shared" si="9"/>
        <v>0</v>
      </c>
      <c r="N23" s="145">
        <f t="shared" si="9"/>
        <v>0</v>
      </c>
      <c r="O23" s="146">
        <f>COUNTIFS(เรื่องร้องเรียน!E:E,"1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P23" s="144">
        <f>COUNTIFS(เรื่องร้องเรียน!E:E,"2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Q23" s="144">
        <f>COUNTIFS(เรื่องร้องเรียน!E:E,"3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R23" s="144">
        <f>COUNTIFS(เรื่องร้องเรียน!E:E,"4",เรื่องร้องเรียน!N:N,"คลองสามวา",เรื่องร้องเรียน!AN:AN,"คันนายาว",เรื่องร้องเรียน!AQ:AQ,"1",เรื่องร้องเรียน!CL:CL,"")</f>
        <v>0</v>
      </c>
      <c r="S23" s="144"/>
      <c r="T23" s="147">
        <f t="shared" si="5"/>
        <v>0</v>
      </c>
      <c r="U23" s="129">
        <f t="shared" si="1"/>
        <v>0</v>
      </c>
      <c r="W23" s="129">
        <f t="shared" si="3"/>
        <v>0</v>
      </c>
    </row>
    <row r="24" spans="1:23">
      <c r="A24" s="148"/>
      <c r="B24" s="149" t="s">
        <v>131</v>
      </c>
      <c r="C24" s="246">
        <f>COUNTIFS(เรื่องร้องเรียน!E:E,"1",เรื่องร้องเรียน!N:N,"คลองสามวา",เรื่องร้องเรียน!AN:AN,"นิมิตรใหม่")</f>
        <v>0</v>
      </c>
      <c r="D24" s="109">
        <f>COUNTIFS(เรื่องร้องเรียน!E:E,"1",เรื่องร้องเรียน!N:N,"คลองสามวา",เรื่องร้องเรียน!AN:AN,"นิมิตรใหม่",เรื่องร้องเรียน!CL:CL,"1")</f>
        <v>0</v>
      </c>
      <c r="E24" s="109">
        <f>COUNTIFS(เรื่องร้องเรียน!E:E,"2",เรื่องร้องเรียน!N:N,"คลองสามวา",เรื่องร้องเรียน!AN:AN,"นิมิตรใหม่")</f>
        <v>0</v>
      </c>
      <c r="F24" s="109">
        <f>COUNTIFS(เรื่องร้องเรียน!E:E,"2",เรื่องร้องเรียน!N:N,"คลองสามวา",เรื่องร้องเรียน!AN:AN,"นิมิตรใหม่",เรื่องร้องเรียน!CL:CL,"1")</f>
        <v>0</v>
      </c>
      <c r="G24" s="109">
        <f>COUNTIFS(เรื่องร้องเรียน!E:E,"3",เรื่องร้องเรียน!N:N,"คลองสามวา",เรื่องร้องเรียน!AN:AN,"นิมิตรใหม่")</f>
        <v>0</v>
      </c>
      <c r="H24" s="109">
        <f>COUNTIFS(เรื่องร้องเรียน!E:E,"3",เรื่องร้องเรียน!N:N,"คลองสามวา",เรื่องร้องเรียน!AN:AN,"นิมิตรใหม่",เรื่องร้องเรียน!CL:CL,"1")</f>
        <v>0</v>
      </c>
      <c r="I24" s="109">
        <f>COUNTIFS(เรื่องร้องเรียน!E:E,"4",เรื่องร้องเรียน!N:N,"คลองสามวา",เรื่องร้องเรียน!AN:AN,"นิมิตรใหม่")</f>
        <v>0</v>
      </c>
      <c r="J24" s="144">
        <f>COUNTIFS(เรื่องร้องเรียน!E:E,"4",เรื่องร้องเรียน!N:N,"คลองสามวา",เรื่องร้องเรียน!AN:AN,"นิมิตรใหม่",เรื่องร้องเรียน!CL:CL,"1")</f>
        <v>0</v>
      </c>
      <c r="K24" s="144"/>
      <c r="L24" s="144"/>
      <c r="M24" s="109">
        <f t="shared" si="9"/>
        <v>0</v>
      </c>
      <c r="N24" s="145">
        <f t="shared" si="9"/>
        <v>0</v>
      </c>
      <c r="O24" s="146">
        <f>COUNTIFS(เรื่องร้องเรียน!E:E,"1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P24" s="144">
        <f>COUNTIFS(เรื่องร้องเรียน!E:E,"2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Q24" s="144">
        <f>COUNTIFS(เรื่องร้องเรียน!E:E,"3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R24" s="144">
        <f>COUNTIFS(เรื่องร้องเรียน!E:E,"4",เรื่องร้องเรียน!N:N,"คลองสามวา",เรื่องร้องเรียน!AN:AN,"นิมิตรใหม่",เรื่องร้องเรียน!AQ:AQ,"1",เรื่องร้องเรียน!CL:CL,"")</f>
        <v>0</v>
      </c>
      <c r="S24" s="144"/>
      <c r="T24" s="147">
        <f t="shared" si="5"/>
        <v>0</v>
      </c>
      <c r="U24" s="129">
        <f t="shared" si="1"/>
        <v>0</v>
      </c>
      <c r="W24" s="129">
        <f t="shared" si="3"/>
        <v>0</v>
      </c>
    </row>
    <row r="25" spans="1:23">
      <c r="A25" s="148"/>
      <c r="B25" s="149" t="s">
        <v>102</v>
      </c>
      <c r="C25" s="246">
        <f>COUNTIFS(เรื่องร้องเรียน!E:E,"1",เรื่องร้องเรียน!N:N,"คลองสามวา",เรื่องร้องเรียน!AN:AN,"บางชัน")</f>
        <v>0</v>
      </c>
      <c r="D25" s="109">
        <f>COUNTIFS(เรื่องร้องเรียน!E:E,"1",เรื่องร้องเรียน!N:N,"คลองสามวา",เรื่องร้องเรียน!AN:AN,"บางชัน",เรื่องร้องเรียน!CL:CL,"1")</f>
        <v>0</v>
      </c>
      <c r="E25" s="109">
        <f>COUNTIFS(เรื่องร้องเรียน!E:E,"2",เรื่องร้องเรียน!N:N,"คลองสามวา",เรื่องร้องเรียน!AN:AN,"บางชัน")</f>
        <v>0</v>
      </c>
      <c r="F25" s="109">
        <f>COUNTIFS(เรื่องร้องเรียน!E:E,"2",เรื่องร้องเรียน!N:N,"คลองสามวา",เรื่องร้องเรียน!AN:AN,"บางชัน",เรื่องร้องเรียน!CL:CL,"1")</f>
        <v>0</v>
      </c>
      <c r="G25" s="109">
        <f>COUNTIFS(เรื่องร้องเรียน!E:E,"3",เรื่องร้องเรียน!N:N,"คลองสามวา",เรื่องร้องเรียน!AN:AN,"บางชัน")</f>
        <v>0</v>
      </c>
      <c r="H25" s="109">
        <f>COUNTIFS(เรื่องร้องเรียน!E:E,"3",เรื่องร้องเรียน!N:N,"คลองสามวา",เรื่องร้องเรียน!AN:AN,"บางชัน",เรื่องร้องเรียน!CL:CL,"1")</f>
        <v>0</v>
      </c>
      <c r="I25" s="109">
        <f>COUNTIFS(เรื่องร้องเรียน!E:E,"4",เรื่องร้องเรียน!N:N,"คลองสามวา",เรื่องร้องเรียน!AN:AN,"บางชัน")</f>
        <v>0</v>
      </c>
      <c r="J25" s="144">
        <f>COUNTIFS(เรื่องร้องเรียน!E:E,"4",เรื่องร้องเรียน!N:N,"คลองสามวา",เรื่องร้องเรียน!AN:AN,"บางชัน",เรื่องร้องเรียน!CL:CL,"1")</f>
        <v>0</v>
      </c>
      <c r="K25" s="144"/>
      <c r="L25" s="144"/>
      <c r="M25" s="109">
        <f t="shared" si="9"/>
        <v>0</v>
      </c>
      <c r="N25" s="145">
        <f t="shared" si="9"/>
        <v>0</v>
      </c>
      <c r="O25" s="146">
        <f>COUNTIFS(เรื่องร้องเรียน!E:E,"1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P25" s="144">
        <f>COUNTIFS(เรื่องร้องเรียน!E:E,"2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Q25" s="144">
        <f>COUNTIFS(เรื่องร้องเรียน!E:E,"3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R25" s="144">
        <f>COUNTIFS(เรื่องร้องเรียน!E:E,"4",เรื่องร้องเรียน!N:N,"คลองสามวา",เรื่องร้องเรียน!AN:AN,"บางชัน",เรื่องร้องเรียน!AQ:AQ,"1",เรื่องร้องเรียน!CL:CL,"")</f>
        <v>0</v>
      </c>
      <c r="S25" s="144"/>
      <c r="T25" s="147">
        <f t="shared" si="5"/>
        <v>0</v>
      </c>
      <c r="U25" s="129">
        <f t="shared" si="1"/>
        <v>0</v>
      </c>
      <c r="W25" s="129">
        <f t="shared" si="3"/>
        <v>0</v>
      </c>
    </row>
    <row r="26" spans="1:23" ht="21.6" thickBot="1">
      <c r="A26" s="150"/>
      <c r="B26" s="151" t="s">
        <v>116</v>
      </c>
      <c r="C26" s="123">
        <f>COUNTIFS(เรื่องร้องเรียน!E:E,"1",เรื่องร้องเรียน!N:N,"คลองสามวา",เรื่องร้องเรียน!AN:AN,"มีนบุรี")</f>
        <v>0</v>
      </c>
      <c r="D26" s="117">
        <f>COUNTIFS(เรื่องร้องเรียน!E:E,"1",เรื่องร้องเรียน!N:N,"คลองสามวา",เรื่องร้องเรียน!AN:AN,"มีนบุรี",เรื่องร้องเรียน!CL:CL,"1")</f>
        <v>0</v>
      </c>
      <c r="E26" s="117">
        <f>COUNTIFS(เรื่องร้องเรียน!E:E,"2",เรื่องร้องเรียน!N:N,"คลองสามวา",เรื่องร้องเรียน!AN:AN,"มีนบุรี")</f>
        <v>0</v>
      </c>
      <c r="F26" s="117">
        <f>COUNTIFS(เรื่องร้องเรียน!E:E,"2",เรื่องร้องเรียน!N:N,"คลองสามวา",เรื่องร้องเรียน!AN:AN,"มีนบุรี",เรื่องร้องเรียน!CL:CL,"1")</f>
        <v>0</v>
      </c>
      <c r="G26" s="117">
        <f>COUNTIFS(เรื่องร้องเรียน!E:E,"3",เรื่องร้องเรียน!N:N,"คลองสามวา",เรื่องร้องเรียน!AN:AN,"มีนบุรี")</f>
        <v>0</v>
      </c>
      <c r="H26" s="117">
        <f>COUNTIFS(เรื่องร้องเรียน!E:E,"3",เรื่องร้องเรียน!N:N,"คลองสามวา",เรื่องร้องเรียน!AN:AN,"มีนบุรี",เรื่องร้องเรียน!CL:CL,"1")</f>
        <v>0</v>
      </c>
      <c r="I26" s="117">
        <f>COUNTIFS(เรื่องร้องเรียน!E:E,"4",เรื่องร้องเรียน!N:N,"คลองสามวา",เรื่องร้องเรียน!AN:AN,"มีนบุรี")</f>
        <v>0</v>
      </c>
      <c r="J26" s="152">
        <f>COUNTIFS(เรื่องร้องเรียน!E:E,"4",เรื่องร้องเรียน!N:N,"คลองสามวา",เรื่องร้องเรียน!AN:AN,"มีนบุรี",เรื่องร้องเรียน!CL:CL,"1")</f>
        <v>0</v>
      </c>
      <c r="K26" s="152"/>
      <c r="L26" s="152"/>
      <c r="M26" s="117">
        <f t="shared" si="9"/>
        <v>0</v>
      </c>
      <c r="N26" s="122">
        <f t="shared" si="9"/>
        <v>0</v>
      </c>
      <c r="O26" s="153">
        <f>COUNTIFS(เรื่องร้องเรียน!E:E,"1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P26" s="152">
        <f>COUNTIFS(เรื่องร้องเรียน!E:E,"2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Q26" s="152">
        <f>COUNTIFS(เรื่องร้องเรียน!E:E,"3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R26" s="152">
        <f>COUNTIFS(เรื่องร้องเรียน!E:E,"4",เรื่องร้องเรียน!N:N,"คลองสามวา",เรื่องร้องเรียน!AN:AN,"มีนบุรี",เรื่องร้องเรียน!AQ:AQ,"1",เรื่องร้องเรียน!CL:CL,"")</f>
        <v>0</v>
      </c>
      <c r="S26" s="152"/>
      <c r="T26" s="154">
        <f t="shared" si="5"/>
        <v>0</v>
      </c>
      <c r="U26" s="129">
        <f t="shared" si="1"/>
        <v>0</v>
      </c>
      <c r="W26" s="129">
        <f t="shared" si="3"/>
        <v>0</v>
      </c>
    </row>
    <row r="27" spans="1:23" ht="21.6" thickBot="1">
      <c r="A27" s="130" t="s">
        <v>77</v>
      </c>
      <c r="B27" s="169" t="s">
        <v>152</v>
      </c>
      <c r="C27" s="132">
        <f>SUM(C28:C32 )</f>
        <v>0</v>
      </c>
      <c r="D27" s="131">
        <f t="shared" ref="D27:T27" si="10">SUM(D28:D32 )</f>
        <v>0</v>
      </c>
      <c r="E27" s="131">
        <f t="shared" si="10"/>
        <v>0</v>
      </c>
      <c r="F27" s="131">
        <f t="shared" si="10"/>
        <v>0</v>
      </c>
      <c r="G27" s="131">
        <f t="shared" si="10"/>
        <v>0</v>
      </c>
      <c r="H27" s="131">
        <f t="shared" si="10"/>
        <v>0</v>
      </c>
      <c r="I27" s="131">
        <f t="shared" si="10"/>
        <v>0</v>
      </c>
      <c r="J27" s="131">
        <f t="shared" si="10"/>
        <v>0</v>
      </c>
      <c r="K27" s="131">
        <f t="shared" si="10"/>
        <v>0</v>
      </c>
      <c r="L27" s="131">
        <f t="shared" si="10"/>
        <v>0</v>
      </c>
      <c r="M27" s="131">
        <f t="shared" si="10"/>
        <v>0</v>
      </c>
      <c r="N27" s="163">
        <f t="shared" si="10"/>
        <v>0</v>
      </c>
      <c r="O27" s="132">
        <f t="shared" si="10"/>
        <v>0</v>
      </c>
      <c r="P27" s="131">
        <f t="shared" si="10"/>
        <v>0</v>
      </c>
      <c r="Q27" s="131">
        <f t="shared" si="10"/>
        <v>0</v>
      </c>
      <c r="R27" s="131">
        <f t="shared" si="10"/>
        <v>0</v>
      </c>
      <c r="S27" s="131">
        <f t="shared" si="10"/>
        <v>0</v>
      </c>
      <c r="T27" s="133">
        <f t="shared" si="10"/>
        <v>0</v>
      </c>
      <c r="U27" s="134">
        <f t="shared" si="1"/>
        <v>0</v>
      </c>
      <c r="W27" s="135">
        <f t="shared" si="3"/>
        <v>0</v>
      </c>
    </row>
    <row r="28" spans="1:23">
      <c r="A28" s="165"/>
      <c r="B28" s="170" t="s">
        <v>20</v>
      </c>
      <c r="C28" s="140"/>
      <c r="D28" s="138"/>
      <c r="E28" s="138"/>
      <c r="F28" s="138"/>
      <c r="G28" s="138"/>
      <c r="H28" s="138"/>
      <c r="I28" s="138"/>
      <c r="J28" s="138"/>
      <c r="K28" s="138">
        <f>COUNTIFS(เรื่องร้องเรียน!E:E,"5",เรื่องร้องเรียน!N:N,"คันนายาว")</f>
        <v>0</v>
      </c>
      <c r="L28" s="138">
        <f>COUNTIFS(เรื่องร้องเรียน!E:E,"5",เรื่องร้องเรียน!N:N,"คันนายาว",เรื่องร้องเรียน!CL:CL,"1")</f>
        <v>0</v>
      </c>
      <c r="M28" s="138">
        <f t="shared" ref="M28:N32" si="11">SUM(C28,E28,G28,I28,K28)</f>
        <v>0</v>
      </c>
      <c r="N28" s="139">
        <f t="shared" si="11"/>
        <v>0</v>
      </c>
      <c r="O28" s="140"/>
      <c r="P28" s="138"/>
      <c r="Q28" s="138"/>
      <c r="R28" s="138"/>
      <c r="S28" s="138">
        <f>COUNTIFS(เรื่องร้องเรียน!E:E,"5",เรื่องร้องเรียน!N:N,"คันนายาว",เรื่องร้องเรียน!AQ:AQ,"1",เรื่องร้องเรียน!CL:CL,"")</f>
        <v>0</v>
      </c>
      <c r="T28" s="141">
        <f t="shared" si="5"/>
        <v>0</v>
      </c>
      <c r="U28" s="129">
        <f t="shared" si="1"/>
        <v>0</v>
      </c>
      <c r="W28" s="129">
        <f t="shared" si="3"/>
        <v>0</v>
      </c>
    </row>
    <row r="29" spans="1:23">
      <c r="A29" s="148"/>
      <c r="B29" s="171" t="s">
        <v>77</v>
      </c>
      <c r="C29" s="246">
        <f>COUNTIFS(เรื่องร้องเรียน!E:E,"1",เรื่องร้องเรียน!N:N,"คันนายาว",เรื่องร้องเรียน!AN:AN,"คันนายาว")</f>
        <v>0</v>
      </c>
      <c r="D29" s="109">
        <f>COUNTIFS(เรื่องร้องเรียน!E:E,"1",เรื่องร้องเรียน!N:N,"คันนายาว",เรื่องร้องเรียน!AN:AN,"คันนายาว",เรื่องร้องเรียน!CL:CL,"1")</f>
        <v>0</v>
      </c>
      <c r="E29" s="109">
        <f>COUNTIFS(เรื่องร้องเรียน!E:E,"2",เรื่องร้องเรียน!N:N,"คันนายาว",เรื่องร้องเรียน!AN:AN,"คันนายาว")</f>
        <v>0</v>
      </c>
      <c r="F29" s="109">
        <f>COUNTIFS(เรื่องร้องเรียน!E:E,"2",เรื่องร้องเรียน!N:N,"คันนายาว",เรื่องร้องเรียน!AN:AN,"คันนายาว",เรื่องร้องเรียน!CL:CL,"1")</f>
        <v>0</v>
      </c>
      <c r="G29" s="109">
        <f>COUNTIFS(เรื่องร้องเรียน!E:E,"3",เรื่องร้องเรียน!N:N,"คันนายาว",เรื่องร้องเรียน!AN:AN,"คันนายาว")</f>
        <v>0</v>
      </c>
      <c r="H29" s="109">
        <f>COUNTIFS(เรื่องร้องเรียน!E:E,"3",เรื่องร้องเรียน!N:N,"คันนายาว",เรื่องร้องเรียน!AN:AN,"คันนายาว",เรื่องร้องเรียน!CL:CL,"1")</f>
        <v>0</v>
      </c>
      <c r="I29" s="109">
        <f>COUNTIFS(เรื่องร้องเรียน!E:E,"4",เรื่องร้องเรียน!N:N,"คันนายาว",เรื่องร้องเรียน!AN:AN,"คันนายาว")</f>
        <v>0</v>
      </c>
      <c r="J29" s="144">
        <f>COUNTIFS(เรื่องร้องเรียน!E:E,"4",เรื่องร้องเรียน!N:N,"คันนายาว",เรื่องร้องเรียน!AN:AN,"คันนายาว",เรื่องร้องเรียน!CL:CL,"1")</f>
        <v>0</v>
      </c>
      <c r="K29" s="144"/>
      <c r="L29" s="144"/>
      <c r="M29" s="109">
        <f t="shared" si="11"/>
        <v>0</v>
      </c>
      <c r="N29" s="145">
        <f t="shared" si="11"/>
        <v>0</v>
      </c>
      <c r="O29" s="146">
        <f>COUNTIFS(เรื่องร้องเรียน!E:E,"1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P29" s="144">
        <f>COUNTIFS(เรื่องร้องเรียน!E:E,"2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Q29" s="144">
        <f>COUNTIFS(เรื่องร้องเรียน!E:E,"3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R29" s="144">
        <f>COUNTIFS(เรื่องร้องเรียน!E:E,"4",เรื่องร้องเรียน!N:N,"คันนายาว",เรื่องร้องเรียน!AN:AN,"คันนายาว",เรื่องร้องเรียน!AQ:AQ,"1",เรื่องร้องเรียน!CL:CL,"")</f>
        <v>0</v>
      </c>
      <c r="S29" s="144"/>
      <c r="T29" s="147">
        <f t="shared" si="5"/>
        <v>0</v>
      </c>
      <c r="U29" s="129">
        <f t="shared" si="1"/>
        <v>0</v>
      </c>
      <c r="W29" s="129">
        <f t="shared" si="3"/>
        <v>0</v>
      </c>
    </row>
    <row r="30" spans="1:23">
      <c r="A30" s="148"/>
      <c r="B30" s="171" t="s">
        <v>69</v>
      </c>
      <c r="C30" s="246">
        <f>COUNTIFS(เรื่องร้องเรียน!E:E,"1",เรื่องร้องเรียน!N:N,"คันนายาว",เรื่องร้องเรียน!AN:AN,"โคกคราม")</f>
        <v>0</v>
      </c>
      <c r="D30" s="109">
        <f>COUNTIFS(เรื่องร้องเรียน!E:E,"1",เรื่องร้องเรียน!N:N,"คันนายาว",เรื่องร้องเรียน!AN:AN,"โคกคราม",เรื่องร้องเรียน!CL:CL,"1")</f>
        <v>0</v>
      </c>
      <c r="E30" s="109">
        <f>COUNTIFS(เรื่องร้องเรียน!E:E,"2",เรื่องร้องเรียน!N:N,"คันนายาว",เรื่องร้องเรียน!AN:AN,"โคกคราม")</f>
        <v>0</v>
      </c>
      <c r="F30" s="109">
        <f>COUNTIFS(เรื่องร้องเรียน!E:E,"2",เรื่องร้องเรียน!N:N,"คันนายาว",เรื่องร้องเรียน!AN:AN,"โคกคราม",เรื่องร้องเรียน!CL:CL,"1")</f>
        <v>0</v>
      </c>
      <c r="G30" s="109">
        <f>COUNTIFS(เรื่องร้องเรียน!E:E,"3",เรื่องร้องเรียน!N:N,"คันนายาว",เรื่องร้องเรียน!AN:AN,"โคกคราม")</f>
        <v>0</v>
      </c>
      <c r="H30" s="109">
        <f>COUNTIFS(เรื่องร้องเรียน!E:E,"3",เรื่องร้องเรียน!N:N,"คันนายาว",เรื่องร้องเรียน!AN:AN,"โคกคราม",เรื่องร้องเรียน!CL:CL,"1")</f>
        <v>0</v>
      </c>
      <c r="I30" s="109">
        <f>COUNTIFS(เรื่องร้องเรียน!E:E,"4",เรื่องร้องเรียน!N:N,"คันนายาว",เรื่องร้องเรียน!AN:AN,"โคกคราม")</f>
        <v>0</v>
      </c>
      <c r="J30" s="144">
        <f>COUNTIFS(เรื่องร้องเรียน!E:E,"4",เรื่องร้องเรียน!N:N,"คันนายาว",เรื่องร้องเรียน!AN:AN,"โคกคราม",เรื่องร้องเรียน!CL:CL,"1")</f>
        <v>0</v>
      </c>
      <c r="K30" s="144"/>
      <c r="L30" s="144"/>
      <c r="M30" s="109">
        <f t="shared" si="11"/>
        <v>0</v>
      </c>
      <c r="N30" s="145">
        <f t="shared" si="11"/>
        <v>0</v>
      </c>
      <c r="O30" s="146">
        <f>COUNTIFS(เรื่องร้องเรียน!E:E,"1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P30" s="144">
        <f>COUNTIFS(เรื่องร้องเรียน!E:E,"2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Q30" s="144">
        <f>COUNTIFS(เรื่องร้องเรียน!E:E,"3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R30" s="144">
        <f>COUNTIFS(เรื่องร้องเรียน!E:E,"4",เรื่องร้องเรียน!N:N,"คันนายาว",เรื่องร้องเรียน!AN:AN,"โคกคราม",เรื่องร้องเรียน!AQ:AQ,"1",เรื่องร้องเรียน!CL:CL,"")</f>
        <v>0</v>
      </c>
      <c r="S30" s="144"/>
      <c r="T30" s="147">
        <f t="shared" si="5"/>
        <v>0</v>
      </c>
      <c r="U30" s="129">
        <f t="shared" si="1"/>
        <v>0</v>
      </c>
      <c r="W30" s="129">
        <f t="shared" si="3"/>
        <v>0</v>
      </c>
    </row>
    <row r="31" spans="1:23">
      <c r="A31" s="148"/>
      <c r="B31" s="171" t="s">
        <v>102</v>
      </c>
      <c r="C31" s="246">
        <f>COUNTIFS(เรื่องร้องเรียน!E:E,"1",เรื่องร้องเรียน!N:N,"คันนายาว",เรื่องร้องเรียน!AN:AN,"บางชัน")</f>
        <v>0</v>
      </c>
      <c r="D31" s="109">
        <f>COUNTIFS(เรื่องร้องเรียน!E:E,"1",เรื่องร้องเรียน!N:N,"คันนายาว",เรื่องร้องเรียน!AN:AN,"บางชัน",เรื่องร้องเรียน!CL:CL,"1")</f>
        <v>0</v>
      </c>
      <c r="E31" s="109">
        <f>COUNTIFS(เรื่องร้องเรียน!E:E,"2",เรื่องร้องเรียน!N:N,"คันนายาว",เรื่องร้องเรียน!AN:AN,"บางชัน")</f>
        <v>0</v>
      </c>
      <c r="F31" s="109">
        <f>COUNTIFS(เรื่องร้องเรียน!E:E,"2",เรื่องร้องเรียน!N:N,"คันนายาว",เรื่องร้องเรียน!AN:AN,"บางชัน",เรื่องร้องเรียน!CL:CL,"1")</f>
        <v>0</v>
      </c>
      <c r="G31" s="109">
        <f>COUNTIFS(เรื่องร้องเรียน!E:E,"3",เรื่องร้องเรียน!N:N,"คันนายาว",เรื่องร้องเรียน!AN:AN,"บางชัน")</f>
        <v>0</v>
      </c>
      <c r="H31" s="109">
        <f>COUNTIFS(เรื่องร้องเรียน!E:E,"3",เรื่องร้องเรียน!N:N,"คันนายาว",เรื่องร้องเรียน!AN:AN,"บางชัน",เรื่องร้องเรียน!CL:CL,"1")</f>
        <v>0</v>
      </c>
      <c r="I31" s="109">
        <f>COUNTIFS(เรื่องร้องเรียน!E:E,"4",เรื่องร้องเรียน!N:N,"คันนายาว",เรื่องร้องเรียน!AN:AN,"บางชัน")</f>
        <v>0</v>
      </c>
      <c r="J31" s="144">
        <f>COUNTIFS(เรื่องร้องเรียน!E:E,"4",เรื่องร้องเรียน!N:N,"คันนายาว",เรื่องร้องเรียน!AN:AN,"บางชัน",เรื่องร้องเรียน!CL:CL,"1")</f>
        <v>0</v>
      </c>
      <c r="K31" s="144"/>
      <c r="L31" s="144"/>
      <c r="M31" s="109">
        <f t="shared" si="11"/>
        <v>0</v>
      </c>
      <c r="N31" s="145">
        <f t="shared" si="11"/>
        <v>0</v>
      </c>
      <c r="O31" s="146">
        <f>COUNTIFS(เรื่องร้องเรียน!E:E,"1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P31" s="144">
        <f>COUNTIFS(เรื่องร้องเรียน!E:E,"2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Q31" s="144">
        <f>COUNTIFS(เรื่องร้องเรียน!E:E,"3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R31" s="144">
        <f>COUNTIFS(เรื่องร้องเรียน!E:E,"4",เรื่องร้องเรียน!N:N,"คันนายาว",เรื่องร้องเรียน!AN:AN,"บางชัน",เรื่องร้องเรียน!AQ:AQ,"1",เรื่องร้องเรียน!CL:CL,"")</f>
        <v>0</v>
      </c>
      <c r="S31" s="144"/>
      <c r="T31" s="147">
        <f t="shared" si="5"/>
        <v>0</v>
      </c>
      <c r="U31" s="129">
        <f t="shared" si="1"/>
        <v>0</v>
      </c>
      <c r="W31" s="129">
        <f t="shared" si="3"/>
        <v>0</v>
      </c>
    </row>
    <row r="32" spans="1:23" ht="21.6" thickBot="1">
      <c r="A32" s="150"/>
      <c r="B32" s="172" t="s">
        <v>67</v>
      </c>
      <c r="C32" s="123">
        <f>COUNTIFS(เรื่องร้องเรียน!E:E,"1",เรื่องร้องเรียน!N:N,"คันนายาว",เรื่องร้องเรียน!AN:AN,"บึงกุ่ม")</f>
        <v>0</v>
      </c>
      <c r="D32" s="117">
        <f>COUNTIFS(เรื่องร้องเรียน!E:E,"1",เรื่องร้องเรียน!N:N,"คันนายาว",เรื่องร้องเรียน!AN:AN,"บึงกุ่ม",เรื่องร้องเรียน!CL:CL,"1")</f>
        <v>0</v>
      </c>
      <c r="E32" s="117">
        <f>COUNTIFS(เรื่องร้องเรียน!E:E,"2",เรื่องร้องเรียน!N:N,"คันนายาว",เรื่องร้องเรียน!AN:AN,"บึงกุ่ม")</f>
        <v>0</v>
      </c>
      <c r="F32" s="117">
        <f>COUNTIFS(เรื่องร้องเรียน!E:E,"2",เรื่องร้องเรียน!N:N,"คันนายาว",เรื่องร้องเรียน!AN:AN,"บึงกุ่ม",เรื่องร้องเรียน!CL:CL,"1")</f>
        <v>0</v>
      </c>
      <c r="G32" s="117">
        <f>COUNTIFS(เรื่องร้องเรียน!E:E,"3",เรื่องร้องเรียน!N:N,"คันนายาว",เรื่องร้องเรียน!AN:AN,"บึงกุ่ม")</f>
        <v>0</v>
      </c>
      <c r="H32" s="117">
        <f>COUNTIFS(เรื่องร้องเรียน!E:E,"3",เรื่องร้องเรียน!N:N,"คันนายาว",เรื่องร้องเรียน!AN:AN,"บึงกุ่ม",เรื่องร้องเรียน!CL:CL,"1")</f>
        <v>0</v>
      </c>
      <c r="I32" s="117">
        <f>COUNTIFS(เรื่องร้องเรียน!E:E,"4",เรื่องร้องเรียน!N:N,"คันนายาว",เรื่องร้องเรียน!AN:AN,"บึงกุ่ม")</f>
        <v>0</v>
      </c>
      <c r="J32" s="152">
        <f>COUNTIFS(เรื่องร้องเรียน!E:E,"4",เรื่องร้องเรียน!N:N,"คันนายาว",เรื่องร้องเรียน!AN:AN,"บึงกุ่ม",เรื่องร้องเรียน!CL:CL,"1")</f>
        <v>0</v>
      </c>
      <c r="K32" s="152"/>
      <c r="L32" s="152"/>
      <c r="M32" s="117">
        <f t="shared" si="11"/>
        <v>0</v>
      </c>
      <c r="N32" s="122">
        <f t="shared" si="11"/>
        <v>0</v>
      </c>
      <c r="O32" s="153">
        <f>COUNTIFS(เรื่องร้องเรียน!E:E,"1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P32" s="152">
        <f>COUNTIFS(เรื่องร้องเรียน!E:E,"2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Q32" s="152">
        <f>COUNTIFS(เรื่องร้องเรียน!E:E,"3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R32" s="152">
        <f>COUNTIFS(เรื่องร้องเรียน!E:E,"4",เรื่องร้องเรียน!N:N,"คันนายาว",เรื่องร้องเรียน!AN:AN,"บึงกุ่ม",เรื่องร้องเรียน!AQ:AQ,"1",เรื่องร้องเรียน!CL:CL,"")</f>
        <v>0</v>
      </c>
      <c r="S32" s="152"/>
      <c r="T32" s="154">
        <f t="shared" si="5"/>
        <v>0</v>
      </c>
      <c r="U32" s="129">
        <f t="shared" si="1"/>
        <v>0</v>
      </c>
      <c r="W32" s="129">
        <f t="shared" si="3"/>
        <v>0</v>
      </c>
    </row>
    <row r="33" spans="1:23" ht="21.6" thickBot="1">
      <c r="A33" s="130" t="s">
        <v>99</v>
      </c>
      <c r="B33" s="169" t="s">
        <v>152</v>
      </c>
      <c r="C33" s="132">
        <f>SUM(C34:C41)</f>
        <v>0</v>
      </c>
      <c r="D33" s="131">
        <f t="shared" ref="D33:T33" si="12">SUM(D34:D41)</f>
        <v>0</v>
      </c>
      <c r="E33" s="131">
        <f t="shared" si="12"/>
        <v>0</v>
      </c>
      <c r="F33" s="131">
        <f t="shared" si="12"/>
        <v>0</v>
      </c>
      <c r="G33" s="131">
        <f t="shared" si="12"/>
        <v>0</v>
      </c>
      <c r="H33" s="131">
        <f t="shared" si="12"/>
        <v>0</v>
      </c>
      <c r="I33" s="131">
        <f t="shared" si="12"/>
        <v>0</v>
      </c>
      <c r="J33" s="131">
        <f t="shared" si="12"/>
        <v>0</v>
      </c>
      <c r="K33" s="131">
        <f t="shared" si="12"/>
        <v>0</v>
      </c>
      <c r="L33" s="131">
        <f t="shared" si="12"/>
        <v>0</v>
      </c>
      <c r="M33" s="131">
        <f t="shared" si="12"/>
        <v>0</v>
      </c>
      <c r="N33" s="163">
        <f t="shared" si="12"/>
        <v>0</v>
      </c>
      <c r="O33" s="132">
        <f t="shared" si="12"/>
        <v>0</v>
      </c>
      <c r="P33" s="132">
        <f t="shared" si="12"/>
        <v>0</v>
      </c>
      <c r="Q33" s="132">
        <f t="shared" si="12"/>
        <v>0</v>
      </c>
      <c r="R33" s="132">
        <f t="shared" si="12"/>
        <v>0</v>
      </c>
      <c r="S33" s="131">
        <f t="shared" si="12"/>
        <v>0</v>
      </c>
      <c r="T33" s="133">
        <f t="shared" si="12"/>
        <v>0</v>
      </c>
      <c r="U33" s="134">
        <f t="shared" si="1"/>
        <v>0</v>
      </c>
      <c r="W33" s="135">
        <f t="shared" si="3"/>
        <v>0</v>
      </c>
    </row>
    <row r="34" spans="1:23">
      <c r="A34" s="165"/>
      <c r="B34" s="170" t="s">
        <v>20</v>
      </c>
      <c r="C34" s="140"/>
      <c r="D34" s="138"/>
      <c r="E34" s="138"/>
      <c r="F34" s="138"/>
      <c r="G34" s="138"/>
      <c r="H34" s="138"/>
      <c r="I34" s="138"/>
      <c r="J34" s="138"/>
      <c r="K34" s="138">
        <f>COUNTIFS(เรื่องร้องเรียน!E:E,"5",เรื่องร้องเรียน!N:N,"จตุจักร")</f>
        <v>0</v>
      </c>
      <c r="L34" s="138">
        <f>COUNTIFS(เรื่องร้องเรียน!E:E,"5",เรื่องร้องเรียน!N:N,"จตุจักร",เรื่องร้องเรียน!CL:CL,"1")</f>
        <v>0</v>
      </c>
      <c r="M34" s="138">
        <f t="shared" ref="M34:N41" si="13">SUM(C34,E34,G34,I34,K34)</f>
        <v>0</v>
      </c>
      <c r="N34" s="139">
        <f t="shared" si="13"/>
        <v>0</v>
      </c>
      <c r="O34" s="140"/>
      <c r="P34" s="138"/>
      <c r="Q34" s="138"/>
      <c r="R34" s="138"/>
      <c r="S34" s="138">
        <f>COUNTIFS(เรื่องร้องเรียน!E:E,"5",เรื่องร้องเรียน!N:N,"จตุจักร",เรื่องร้องเรียน!AQ:AQ,"1",เรื่องร้องเรียน!CL:CL,"")</f>
        <v>0</v>
      </c>
      <c r="T34" s="141">
        <f t="shared" si="5"/>
        <v>0</v>
      </c>
      <c r="U34" s="129">
        <f t="shared" si="1"/>
        <v>0</v>
      </c>
      <c r="W34" s="129">
        <f t="shared" si="3"/>
        <v>0</v>
      </c>
    </row>
    <row r="35" spans="1:23">
      <c r="A35" s="165"/>
      <c r="B35" s="171" t="s">
        <v>117</v>
      </c>
      <c r="C35" s="246">
        <f>COUNTIFS(เรื่องร้องเรียน!E:E,"1",เรื่องร้องเรียน!N:N,"จตุจักร",เรื่องร้องเรียน!AN:AN,"ทุ่งสองห้อง")</f>
        <v>0</v>
      </c>
      <c r="D35" s="109">
        <f>COUNTIFS(เรื่องร้องเรียน!E:E,"1",เรื่องร้องเรียน!N:N,"จตุจักร",เรื่องร้องเรียน!AN:AN,"ทุ่งสองห้อง",เรื่องร้องเรียน!CL:CL,"1")</f>
        <v>0</v>
      </c>
      <c r="E35" s="109">
        <f>COUNTIFS(เรื่องร้องเรียน!E:E,"2",เรื่องร้องเรียน!N:N,"จตุจักร",เรื่องร้องเรียน!AN:AN,"ทุ่งสองห้อง")</f>
        <v>0</v>
      </c>
      <c r="F35" s="109">
        <f>COUNTIFS(เรื่องร้องเรียน!E:E,"2",เรื่องร้องเรียน!N:N,"จตุจักร",เรื่องร้องเรียน!AN:AN,"ทุ่งสองห้อง",เรื่องร้องเรียน!CL:CL,"1")</f>
        <v>0</v>
      </c>
      <c r="G35" s="109">
        <f>COUNTIFS(เรื่องร้องเรียน!E:E,"3",เรื่องร้องเรียน!N:N,"จตุจักร",เรื่องร้องเรียน!AN:AN,"ทุ่งสองห้อง")</f>
        <v>0</v>
      </c>
      <c r="H35" s="109">
        <f>COUNTIFS(เรื่องร้องเรียน!E:E,"3",เรื่องร้องเรียน!N:N,"จตุจักร",เรื่องร้องเรียน!AN:AN,"ทุ่งสองห้อง",เรื่องร้องเรียน!CL:CL,"1")</f>
        <v>0</v>
      </c>
      <c r="I35" s="109">
        <f>COUNTIFS(เรื่องร้องเรียน!E:E,"4",เรื่องร้องเรียน!N:N,"จตุจักร",เรื่องร้องเรียน!AN:AN,"ทุ่งสองห้อง")</f>
        <v>0</v>
      </c>
      <c r="J35" s="144">
        <f>COUNTIFS(เรื่องร้องเรียน!E:E,"4",เรื่องร้องเรียน!N:N,"จตุจักร",เรื่องร้องเรียน!AN:AN,"ทุ่งสองห้อง",เรื่องร้องเรียน!CL:CL,"1")</f>
        <v>0</v>
      </c>
      <c r="K35" s="144"/>
      <c r="L35" s="144"/>
      <c r="M35" s="109">
        <f t="shared" si="13"/>
        <v>0</v>
      </c>
      <c r="N35" s="145">
        <f t="shared" si="13"/>
        <v>0</v>
      </c>
      <c r="O35" s="146">
        <f>COUNTIFS(เรื่องร้องเรียน!E:E,"1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P35" s="144">
        <f>COUNTIFS(เรื่องร้องเรียน!E:E,"2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Q35" s="144">
        <f>COUNTIFS(เรื่องร้องเรียน!E:E,"3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R35" s="144">
        <f>COUNTIFS(เรื่องร้องเรียน!E:E,"4",เรื่องร้องเรียน!N:N,"จตุจักร",เรื่องร้องเรียน!AN:AN,"ทุ่งสองห้อง",เรื่องร้องเรียน!AQ:AQ,"1",เรื่องร้องเรียน!CL:CL,"")</f>
        <v>0</v>
      </c>
      <c r="S35" s="144"/>
      <c r="T35" s="147">
        <f t="shared" si="5"/>
        <v>0</v>
      </c>
      <c r="U35" s="129">
        <f t="shared" si="1"/>
        <v>0</v>
      </c>
      <c r="W35" s="129">
        <f t="shared" si="3"/>
        <v>0</v>
      </c>
    </row>
    <row r="36" spans="1:23">
      <c r="A36" s="148"/>
      <c r="B36" s="171" t="s">
        <v>107</v>
      </c>
      <c r="C36" s="246">
        <f>COUNTIFS(เรื่องร้องเรียน!E:E,"1",เรื่องร้องเรียน!N:N,"จตุจักร",เรื่องร้องเรียน!AN:AN,"บางเขน")</f>
        <v>0</v>
      </c>
      <c r="D36" s="109">
        <f>COUNTIFS(เรื่องร้องเรียน!E:E,"1",เรื่องร้องเรียน!N:N,"จตุจักร",เรื่องร้องเรียน!AN:AN,"บางเขน",เรื่องร้องเรียน!CL:CL,"1")</f>
        <v>0</v>
      </c>
      <c r="E36" s="109">
        <f>COUNTIFS(เรื่องร้องเรียน!E:E,"2",เรื่องร้องเรียน!N:N,"จตุจักร",เรื่องร้องเรียน!AN:AN,"บางเขน")</f>
        <v>0</v>
      </c>
      <c r="F36" s="109">
        <f>COUNTIFS(เรื่องร้องเรียน!E:E,"2",เรื่องร้องเรียน!N:N,"จตุจักร",เรื่องร้องเรียน!AN:AN,"บางเขน",เรื่องร้องเรียน!CL:CL,"1")</f>
        <v>0</v>
      </c>
      <c r="G36" s="109">
        <f>COUNTIFS(เรื่องร้องเรียน!E:E,"3",เรื่องร้องเรียน!N:N,"จตุจักร",เรื่องร้องเรียน!AN:AN,"บางเขน")</f>
        <v>0</v>
      </c>
      <c r="H36" s="109">
        <f>COUNTIFS(เรื่องร้องเรียน!E:E,"3",เรื่องร้องเรียน!N:N,"จตุจักร",เรื่องร้องเรียน!AN:AN,"บางเขน",เรื่องร้องเรียน!CL:CL,"1")</f>
        <v>0</v>
      </c>
      <c r="I36" s="109">
        <f>COUNTIFS(เรื่องร้องเรียน!E:E,"4",เรื่องร้องเรียน!N:N,"จตุจักร",เรื่องร้องเรียน!AN:AN,"บางเขน")</f>
        <v>0</v>
      </c>
      <c r="J36" s="144">
        <f>COUNTIFS(เรื่องร้องเรียน!E:E,"4",เรื่องร้องเรียน!N:N,"จตุจักร",เรื่องร้องเรียน!AN:AN,"บางเขน",เรื่องร้องเรียน!CL:CL,"1")</f>
        <v>0</v>
      </c>
      <c r="K36" s="144"/>
      <c r="L36" s="144"/>
      <c r="M36" s="109">
        <f t="shared" si="13"/>
        <v>0</v>
      </c>
      <c r="N36" s="145">
        <f t="shared" si="13"/>
        <v>0</v>
      </c>
      <c r="O36" s="146">
        <f>COUNTIFS(เรื่องร้องเรียน!E:E,"1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P36" s="144">
        <f>COUNTIFS(เรื่องร้องเรียน!E:E,"2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Q36" s="144">
        <f>COUNTIFS(เรื่องร้องเรียน!E:E,"3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R36" s="144">
        <f>COUNTIFS(เรื่องร้องเรียน!E:E,"4",เรื่องร้องเรียน!N:N,"จตุจักร",เรื่องร้องเรียน!AN:AN,"บางเขน",เรื่องร้องเรียน!AQ:AQ,"1",เรื่องร้องเรียน!CL:CL,"")</f>
        <v>0</v>
      </c>
      <c r="S36" s="144"/>
      <c r="T36" s="147">
        <f t="shared" si="5"/>
        <v>0</v>
      </c>
      <c r="U36" s="129">
        <f t="shared" si="1"/>
        <v>0</v>
      </c>
      <c r="W36" s="129">
        <f t="shared" si="3"/>
        <v>0</v>
      </c>
    </row>
    <row r="37" spans="1:23">
      <c r="A37" s="148"/>
      <c r="B37" s="171" t="s">
        <v>133</v>
      </c>
      <c r="C37" s="246">
        <f>COUNTIFS(เรื่องร้องเรียน!E:E,"1",เรื่องร้องเรียน!N:N,"จตุจักร",เรื่องร้องเรียน!AN:AN,"บางซื่อ")</f>
        <v>0</v>
      </c>
      <c r="D37" s="109">
        <f>COUNTIFS(เรื่องร้องเรียน!E:E,"1",เรื่องร้องเรียน!N:N,"จตุจักร",เรื่องร้องเรียน!AN:AN,"บางซื่อ",เรื่องร้องเรียน!CL:CL,"1")</f>
        <v>0</v>
      </c>
      <c r="E37" s="109">
        <f>COUNTIFS(เรื่องร้องเรียน!E:E,"2",เรื่องร้องเรียน!N:N,"จตุจักร",เรื่องร้องเรียน!AN:AN,"บางซื่อ")</f>
        <v>0</v>
      </c>
      <c r="F37" s="109">
        <f>COUNTIFS(เรื่องร้องเรียน!E:E,"2",เรื่องร้องเรียน!N:N,"จตุจักร",เรื่องร้องเรียน!AN:AN,"บางซื่อ",เรื่องร้องเรียน!CL:CL,"1")</f>
        <v>0</v>
      </c>
      <c r="G37" s="109">
        <f>COUNTIFS(เรื่องร้องเรียน!E:E,"3",เรื่องร้องเรียน!N:N,"จตุจักร",เรื่องร้องเรียน!AN:AN,"บางซื่อ")</f>
        <v>0</v>
      </c>
      <c r="H37" s="109">
        <f>COUNTIFS(เรื่องร้องเรียน!E:E,"3",เรื่องร้องเรียน!N:N,"จตุจักร",เรื่องร้องเรียน!AN:AN,"บางซื่อ",เรื่องร้องเรียน!CL:CL,"1")</f>
        <v>0</v>
      </c>
      <c r="I37" s="109">
        <f>COUNTIFS(เรื่องร้องเรียน!E:E,"4",เรื่องร้องเรียน!N:N,"จตุจักร",เรื่องร้องเรียน!AN:AN,"บางซื่อ")</f>
        <v>0</v>
      </c>
      <c r="J37" s="144">
        <f>COUNTIFS(เรื่องร้องเรียน!E:E,"4",เรื่องร้องเรียน!N:N,"จตุจักร",เรื่องร้องเรียน!AN:AN,"บางซื่อ",เรื่องร้องเรียน!CL:CL,"1")</f>
        <v>0</v>
      </c>
      <c r="K37" s="144"/>
      <c r="L37" s="144"/>
      <c r="M37" s="109">
        <f t="shared" si="13"/>
        <v>0</v>
      </c>
      <c r="N37" s="145">
        <f t="shared" si="13"/>
        <v>0</v>
      </c>
      <c r="O37" s="146">
        <f>COUNTIFS(เรื่องร้องเรียน!E:E,"1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P37" s="144">
        <f>COUNTIFS(เรื่องร้องเรียน!E:E,"2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Q37" s="144">
        <f>COUNTIFS(เรื่องร้องเรียน!E:E,"3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R37" s="144">
        <f>COUNTIFS(เรื่องร้องเรียน!E:E,"4",เรื่องร้องเรียน!N:N,"จตุจักร",เรื่องร้องเรียน!AN:AN,"บางซื่อ",เรื่องร้องเรียน!AQ:AQ,"1",เรื่องร้องเรียน!CL:CL,"")</f>
        <v>0</v>
      </c>
      <c r="S37" s="144"/>
      <c r="T37" s="147">
        <f t="shared" si="5"/>
        <v>0</v>
      </c>
      <c r="U37" s="129">
        <f t="shared" si="1"/>
        <v>0</v>
      </c>
      <c r="W37" s="129">
        <f t="shared" si="3"/>
        <v>0</v>
      </c>
    </row>
    <row r="38" spans="1:23">
      <c r="A38" s="148"/>
      <c r="B38" s="171" t="s">
        <v>173</v>
      </c>
      <c r="C38" s="246">
        <f>COUNTIFS(เรื่องร้องเรียน!E:E,"1",เรื่องร้องเรียน!N:N,"จตุจักร",เรื่องร้องเรียน!AN:AN,"ประชาชื่น")</f>
        <v>0</v>
      </c>
      <c r="D38" s="109">
        <f>COUNTIFS(เรื่องร้องเรียน!E:E,"1",เรื่องร้องเรียน!N:N,"จตุจักร",เรื่องร้องเรียน!AN:AN,"ประชาชื่น",เรื่องร้องเรียน!CL:CL,"1")</f>
        <v>0</v>
      </c>
      <c r="E38" s="109">
        <f>COUNTIFS(เรื่องร้องเรียน!E:E,"2",เรื่องร้องเรียน!N:N,"จตุจักร",เรื่องร้องเรียน!AN:AN,"ประชาชื่น")</f>
        <v>0</v>
      </c>
      <c r="F38" s="109">
        <f>COUNTIFS(เรื่องร้องเรียน!E:E,"2",เรื่องร้องเรียน!N:N,"จตุจักร",เรื่องร้องเรียน!AN:AN,"ประชาชื่น",เรื่องร้องเรียน!CL:CL,"1")</f>
        <v>0</v>
      </c>
      <c r="G38" s="109">
        <f>COUNTIFS(เรื่องร้องเรียน!E:E,"3",เรื่องร้องเรียน!N:N,"จตุจักร",เรื่องร้องเรียน!AN:AN,"ประชาชื่น")</f>
        <v>0</v>
      </c>
      <c r="H38" s="109">
        <f>COUNTIFS(เรื่องร้องเรียน!E:E,"3",เรื่องร้องเรียน!N:N,"จตุจักร",เรื่องร้องเรียน!AN:AN,"ประชาชื่น",เรื่องร้องเรียน!CL:CL,"1")</f>
        <v>0</v>
      </c>
      <c r="I38" s="109">
        <f>COUNTIFS(เรื่องร้องเรียน!E:E,"4",เรื่องร้องเรียน!N:N,"จตุจักร",เรื่องร้องเรียน!AN:AN,"ประชาชื่น")</f>
        <v>0</v>
      </c>
      <c r="J38" s="144">
        <f>COUNTIFS(เรื่องร้องเรียน!E:E,"4",เรื่องร้องเรียน!N:N,"จตุจักร",เรื่องร้องเรียน!AN:AN,"ประชาชื่น",เรื่องร้องเรียน!CL:CL,"1")</f>
        <v>0</v>
      </c>
      <c r="K38" s="144"/>
      <c r="L38" s="144"/>
      <c r="M38" s="109">
        <f t="shared" si="13"/>
        <v>0</v>
      </c>
      <c r="N38" s="145">
        <f t="shared" si="13"/>
        <v>0</v>
      </c>
      <c r="O38" s="146">
        <f>COUNTIFS(เรื่องร้องเรียน!E:E,"1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P38" s="144">
        <f>COUNTIFS(เรื่องร้องเรียน!E:E,"2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Q38" s="144">
        <f>COUNTIFS(เรื่องร้องเรียน!E:E,"3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R38" s="144">
        <f>COUNTIFS(เรื่องร้องเรียน!E:E,"4",เรื่องร้องเรียน!N:N,"จตุจักร",เรื่องร้องเรียน!AN:AN,"ประชาชื่น",เรื่องร้องเรียน!AQ:AQ,"1",เรื่องร้องเรียน!CL:CL,"")</f>
        <v>0</v>
      </c>
      <c r="S38" s="144"/>
      <c r="T38" s="147">
        <f t="shared" si="5"/>
        <v>0</v>
      </c>
      <c r="U38" s="129">
        <f t="shared" si="1"/>
        <v>0</v>
      </c>
      <c r="W38" s="129">
        <f t="shared" si="3"/>
        <v>0</v>
      </c>
    </row>
    <row r="39" spans="1:23">
      <c r="A39" s="148"/>
      <c r="B39" s="171" t="s">
        <v>100</v>
      </c>
      <c r="C39" s="246">
        <f>COUNTIFS(เรื่องร้องเรียน!E:E,"1",เรื่องร้องเรียน!N:N,"จตุจักร",เรื่องร้องเรียน!AN:AN,"พหลโยธิน")</f>
        <v>0</v>
      </c>
      <c r="D39" s="109">
        <f>COUNTIFS(เรื่องร้องเรียน!E:E,"1",เรื่องร้องเรียน!N:N,"จตุจักร",เรื่องร้องเรียน!AN:AN,"พหลโยธิน",เรื่องร้องเรียน!CL:CL,"1")</f>
        <v>0</v>
      </c>
      <c r="E39" s="109">
        <f>COUNTIFS(เรื่องร้องเรียน!E:E,"2",เรื่องร้องเรียน!N:N,"จตุจักร",เรื่องร้องเรียน!AN:AN,"พหลโยธิน")</f>
        <v>0</v>
      </c>
      <c r="F39" s="109">
        <f>COUNTIFS(เรื่องร้องเรียน!E:E,"2",เรื่องร้องเรียน!N:N,"จตุจักร",เรื่องร้องเรียน!AN:AN,"พหลโยธิน",เรื่องร้องเรียน!CL:CL,"1")</f>
        <v>0</v>
      </c>
      <c r="G39" s="109">
        <f>COUNTIFS(เรื่องร้องเรียน!E:E,"3",เรื่องร้องเรียน!N:N,"จตุจักร",เรื่องร้องเรียน!AN:AN,"พหลโยธิน")</f>
        <v>0</v>
      </c>
      <c r="H39" s="109">
        <f>COUNTIFS(เรื่องร้องเรียน!E:E,"3",เรื่องร้องเรียน!N:N,"จตุจักร",เรื่องร้องเรียน!AN:AN,"พหลโยธิน",เรื่องร้องเรียน!CL:CL,"1")</f>
        <v>0</v>
      </c>
      <c r="I39" s="109">
        <f>COUNTIFS(เรื่องร้องเรียน!E:E,"4",เรื่องร้องเรียน!N:N,"จตุจักร",เรื่องร้องเรียน!AN:AN,"พหลโยธิน")</f>
        <v>0</v>
      </c>
      <c r="J39" s="144">
        <f>COUNTIFS(เรื่องร้องเรียน!E:E,"4",เรื่องร้องเรียน!N:N,"จตุจักร",เรื่องร้องเรียน!AN:AN,"พหลโยธิน",เรื่องร้องเรียน!CL:CL,"1")</f>
        <v>0</v>
      </c>
      <c r="K39" s="144"/>
      <c r="L39" s="144"/>
      <c r="M39" s="109">
        <f t="shared" si="13"/>
        <v>0</v>
      </c>
      <c r="N39" s="145">
        <f t="shared" si="13"/>
        <v>0</v>
      </c>
      <c r="O39" s="146">
        <f>COUNTIFS(เรื่องร้องเรียน!E:E,"1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P39" s="144">
        <f>COUNTIFS(เรื่องร้องเรียน!E:E,"2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Q39" s="144">
        <f>COUNTIFS(เรื่องร้องเรียน!E:E,"3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R39" s="144">
        <f>COUNTIFS(เรื่องร้องเรียน!E:E,"4",เรื่องร้องเรียน!N:N,"จตุจักร",เรื่องร้องเรียน!AN:AN,"พหลโยธิน",เรื่องร้องเรียน!AQ:AQ,"1",เรื่องร้องเรียน!CL:CL,"")</f>
        <v>0</v>
      </c>
      <c r="S39" s="144"/>
      <c r="T39" s="147">
        <f t="shared" si="5"/>
        <v>0</v>
      </c>
      <c r="U39" s="129">
        <f t="shared" si="1"/>
        <v>0</v>
      </c>
      <c r="W39" s="129">
        <f t="shared" si="3"/>
        <v>0</v>
      </c>
    </row>
    <row r="40" spans="1:23">
      <c r="A40" s="150"/>
      <c r="B40" s="171" t="s">
        <v>88</v>
      </c>
      <c r="C40" s="123">
        <f>COUNTIFS(เรื่องร้องเรียน!E:E,"1",เรื่องร้องเรียน!N:N,"จตุจักร",เรื่องร้องเรียน!AN:AN,"สุทธิสาร")</f>
        <v>0</v>
      </c>
      <c r="D40" s="117">
        <f>COUNTIFS(เรื่องร้องเรียน!E:E,"1",เรื่องร้องเรียน!N:N,"จตุจักร",เรื่องร้องเรียน!AN:AN,"สุทธิสาร",เรื่องร้องเรียน!CL:CL,"1")</f>
        <v>0</v>
      </c>
      <c r="E40" s="117">
        <f>COUNTIFS(เรื่องร้องเรียน!E:E,"2",เรื่องร้องเรียน!N:N,"จตุจักร",เรื่องร้องเรียน!AN:AN,"สุทธิสาร")</f>
        <v>0</v>
      </c>
      <c r="F40" s="117">
        <f>COUNTIFS(เรื่องร้องเรียน!E:E,"2",เรื่องร้องเรียน!N:N,"จตุจักร",เรื่องร้องเรียน!AN:AN,"สุทธิสาร",เรื่องร้องเรียน!CL:CL,"1")</f>
        <v>0</v>
      </c>
      <c r="G40" s="117">
        <f>COUNTIFS(เรื่องร้องเรียน!E:E,"3",เรื่องร้องเรียน!N:N,"จตุจักร",เรื่องร้องเรียน!AN:AN,"สุทธิสาร")</f>
        <v>0</v>
      </c>
      <c r="H40" s="117">
        <f>COUNTIFS(เรื่องร้องเรียน!E:E,"3",เรื่องร้องเรียน!N:N,"จตุจักร",เรื่องร้องเรียน!AN:AN,"สุทธิสาร",เรื่องร้องเรียน!CL:CL,"1")</f>
        <v>0</v>
      </c>
      <c r="I40" s="117">
        <f>COUNTIFS(เรื่องร้องเรียน!E:E,"4",เรื่องร้องเรียน!N:N,"จตุจักร",เรื่องร้องเรียน!AN:AN,"สุทธิสาร")</f>
        <v>0</v>
      </c>
      <c r="J40" s="152">
        <f>COUNTIFS(เรื่องร้องเรียน!E:E,"4",เรื่องร้องเรียน!N:N,"จตุจักร",เรื่องร้องเรียน!AN:AN,"สุทธิสาร",เรื่องร้องเรียน!CL:CL,"1")</f>
        <v>0</v>
      </c>
      <c r="K40" s="152"/>
      <c r="L40" s="152"/>
      <c r="M40" s="117">
        <f t="shared" si="13"/>
        <v>0</v>
      </c>
      <c r="N40" s="122">
        <f t="shared" si="13"/>
        <v>0</v>
      </c>
      <c r="O40" s="153">
        <f>COUNTIFS(เรื่องร้องเรียน!E:E,"1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P40" s="152">
        <f>COUNTIFS(เรื่องร้องเรียน!E:E,"2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Q40" s="152">
        <f>COUNTIFS(เรื่องร้องเรียน!E:E,"3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R40" s="152">
        <f>COUNTIFS(เรื่องร้องเรียน!E:E,"4",เรื่องร้องเรียน!N:N,"จตุจักร",เรื่องร้องเรียน!AN:AN,"สุทธิสาร",เรื่องร้องเรียน!AQ:AQ,"1",เรื่องร้องเรียน!CL:CL,"")</f>
        <v>0</v>
      </c>
      <c r="S40" s="152"/>
      <c r="T40" s="154">
        <f t="shared" si="5"/>
        <v>0</v>
      </c>
      <c r="U40" s="129">
        <f t="shared" si="1"/>
        <v>0</v>
      </c>
      <c r="W40" s="129">
        <f t="shared" si="3"/>
        <v>0</v>
      </c>
    </row>
    <row r="41" spans="1:23" ht="21.6" thickBot="1">
      <c r="A41" s="168"/>
      <c r="B41" s="172" t="s">
        <v>120</v>
      </c>
      <c r="C41" s="123">
        <f>COUNTIFS(เรื่องร้องเรียน!E:E,"1",เรื่องร้องเรียน!N:N,"จตุจักร",เรื่องร้องเรียน!AN:AN,"ลาดพร้าว")</f>
        <v>0</v>
      </c>
      <c r="D41" s="117">
        <f>COUNTIFS(เรื่องร้องเรียน!E:E,"1",เรื่องร้องเรียน!N:N,"จตุจักร",เรื่องร้องเรียน!AN:AN,"ลาดพร้าว",เรื่องร้องเรียน!CL:CL,"1")</f>
        <v>0</v>
      </c>
      <c r="E41" s="117">
        <f>COUNTIFS(เรื่องร้องเรียน!E:E,"2",เรื่องร้องเรียน!N:N,"จตุจักร",เรื่องร้องเรียน!AN:AN,"ลาดพร้าว")</f>
        <v>0</v>
      </c>
      <c r="F41" s="117">
        <f>COUNTIFS(เรื่องร้องเรียน!E:E,"2",เรื่องร้องเรียน!N:N,"จตุจักร",เรื่องร้องเรียน!AN:AN,"ลาดพร้าว",เรื่องร้องเรียน!CL:CL,"1")</f>
        <v>0</v>
      </c>
      <c r="G41" s="117">
        <f>COUNTIFS(เรื่องร้องเรียน!E:E,"3",เรื่องร้องเรียน!N:N,"จตุจักร",เรื่องร้องเรียน!AN:AN,"ลาดพร้าว")</f>
        <v>0</v>
      </c>
      <c r="H41" s="117">
        <f>COUNTIFS(เรื่องร้องเรียน!E:E,"3",เรื่องร้องเรียน!N:N,"จตุจักร",เรื่องร้องเรียน!AN:AN,"ลาดพร้าว",เรื่องร้องเรียน!CL:CL,"1")</f>
        <v>0</v>
      </c>
      <c r="I41" s="117">
        <f>COUNTIFS(เรื่องร้องเรียน!E:E,"4",เรื่องร้องเรียน!N:N,"จตุจักร",เรื่องร้องเรียน!AN:AN,"ลาดพร้าว")</f>
        <v>0</v>
      </c>
      <c r="J41" s="152">
        <f>COUNTIFS(เรื่องร้องเรียน!E:E,"4",เรื่องร้องเรียน!N:N,"จตุจักร",เรื่องร้องเรียน!AN:AN,"ลาดพร้าว",เรื่องร้องเรียน!CL:CL,"1")</f>
        <v>0</v>
      </c>
      <c r="K41" s="152"/>
      <c r="L41" s="152"/>
      <c r="M41" s="117">
        <f t="shared" si="13"/>
        <v>0</v>
      </c>
      <c r="N41" s="122">
        <f t="shared" si="13"/>
        <v>0</v>
      </c>
      <c r="O41" s="153">
        <f>COUNTIFS(เรื่องร้องเรียน!E:E,"1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P41" s="152">
        <f>COUNTIFS(เรื่องร้องเรียน!E:E,"2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Q41" s="152">
        <f>COUNTIFS(เรื่องร้องเรียน!E:E,"3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R41" s="152">
        <f>COUNTIFS(เรื่องร้องเรียน!E:E,"4",เรื่องร้องเรียน!N:N,"จตุจักร",เรื่องร้องเรียน!AN:AN,"ลาดพร้าว",เรื่องร้องเรียน!AQ:AQ,"1",เรื่องร้องเรียน!CL:CL,"")</f>
        <v>0</v>
      </c>
      <c r="S41" s="152"/>
      <c r="T41" s="154">
        <f>SUM(O41:S41)</f>
        <v>0</v>
      </c>
      <c r="U41" s="129">
        <f t="shared" si="1"/>
        <v>0</v>
      </c>
      <c r="W41" s="129">
        <f t="shared" si="3"/>
        <v>0</v>
      </c>
    </row>
    <row r="42" spans="1:23" ht="21.6" thickBot="1">
      <c r="A42" s="130" t="s">
        <v>111</v>
      </c>
      <c r="B42" s="169" t="s">
        <v>152</v>
      </c>
      <c r="C42" s="132">
        <f>SUM(C43:C47)</f>
        <v>0</v>
      </c>
      <c r="D42" s="131">
        <f t="shared" ref="D42:T42" si="14">SUM(D43:D47)</f>
        <v>0</v>
      </c>
      <c r="E42" s="131">
        <f t="shared" si="14"/>
        <v>0</v>
      </c>
      <c r="F42" s="131">
        <f t="shared" si="14"/>
        <v>0</v>
      </c>
      <c r="G42" s="131">
        <f t="shared" si="14"/>
        <v>0</v>
      </c>
      <c r="H42" s="131">
        <f t="shared" si="14"/>
        <v>0</v>
      </c>
      <c r="I42" s="131">
        <f t="shared" si="14"/>
        <v>0</v>
      </c>
      <c r="J42" s="131">
        <f t="shared" si="14"/>
        <v>0</v>
      </c>
      <c r="K42" s="131">
        <f t="shared" si="14"/>
        <v>0</v>
      </c>
      <c r="L42" s="131">
        <f t="shared" si="14"/>
        <v>0</v>
      </c>
      <c r="M42" s="131">
        <f t="shared" si="14"/>
        <v>0</v>
      </c>
      <c r="N42" s="163">
        <f t="shared" si="14"/>
        <v>0</v>
      </c>
      <c r="O42" s="132">
        <f t="shared" si="14"/>
        <v>0</v>
      </c>
      <c r="P42" s="132">
        <f t="shared" si="14"/>
        <v>0</v>
      </c>
      <c r="Q42" s="132">
        <f t="shared" si="14"/>
        <v>0</v>
      </c>
      <c r="R42" s="132">
        <f t="shared" si="14"/>
        <v>0</v>
      </c>
      <c r="S42" s="132">
        <f t="shared" si="14"/>
        <v>0</v>
      </c>
      <c r="T42" s="133">
        <f t="shared" si="14"/>
        <v>0</v>
      </c>
      <c r="U42" s="134">
        <f t="shared" si="1"/>
        <v>0</v>
      </c>
      <c r="W42" s="135">
        <f t="shared" si="3"/>
        <v>0</v>
      </c>
    </row>
    <row r="43" spans="1:23">
      <c r="A43" s="173"/>
      <c r="B43" s="170" t="s">
        <v>20</v>
      </c>
      <c r="C43" s="140"/>
      <c r="D43" s="138"/>
      <c r="E43" s="138"/>
      <c r="F43" s="138"/>
      <c r="G43" s="138"/>
      <c r="H43" s="138"/>
      <c r="I43" s="138"/>
      <c r="J43" s="138"/>
      <c r="K43" s="138">
        <f>COUNTIFS(เรื่องร้องเรียน!E:E,"5",เรื่องร้องเรียน!N:N,"จอมทอง")</f>
        <v>0</v>
      </c>
      <c r="L43" s="138">
        <f>COUNTIFS(เรื่องร้องเรียน!E:E,"5",เรื่องร้องเรียน!N:N,"จอมทอง",เรื่องร้องเรียน!CL:CL,"1")</f>
        <v>0</v>
      </c>
      <c r="M43" s="138">
        <f t="shared" ref="M43:N46" si="15">SUM(C43,E43,G43,I43,K43)</f>
        <v>0</v>
      </c>
      <c r="N43" s="139">
        <f t="shared" si="15"/>
        <v>0</v>
      </c>
      <c r="O43" s="140"/>
      <c r="P43" s="138"/>
      <c r="Q43" s="138"/>
      <c r="R43" s="138"/>
      <c r="S43" s="138">
        <f>COUNTIFS(เรื่องร้องเรียน!E:E,"5",เรื่องร้องเรียน!N:N,"จอมทอง",เรื่องร้องเรียน!AQ:AQ,"1",เรื่องร้องเรียน!CL:CL,"")</f>
        <v>0</v>
      </c>
      <c r="T43" s="141">
        <f t="shared" si="5"/>
        <v>0</v>
      </c>
      <c r="U43" s="129">
        <f t="shared" si="1"/>
        <v>0</v>
      </c>
      <c r="W43" s="129">
        <f t="shared" si="3"/>
        <v>0</v>
      </c>
    </row>
    <row r="44" spans="1:23">
      <c r="A44" s="148"/>
      <c r="B44" s="171" t="s">
        <v>71</v>
      </c>
      <c r="C44" s="246">
        <f>COUNTIFS(เรื่องร้องเรียน!E:E,"1",เรื่องร้องเรียน!N:N,"จอมทอง",เรื่องร้องเรียน!AN:AN,"บางขุนเทียน")</f>
        <v>0</v>
      </c>
      <c r="D44" s="109">
        <f>COUNTIFS(เรื่องร้องเรียน!E:E,"1",เรื่องร้องเรียน!N:N,"จอมทอง",เรื่องร้องเรียน!AN:AN,"บางขุนเทียน",เรื่องร้องเรียน!CL:CL,"1")</f>
        <v>0</v>
      </c>
      <c r="E44" s="109">
        <f>COUNTIFS(เรื่องร้องเรียน!E:E,"2",เรื่องร้องเรียน!N:N,"จอมทอง",เรื่องร้องเรียน!AN:AN,"บางขุนเทียน")</f>
        <v>0</v>
      </c>
      <c r="F44" s="109">
        <f>COUNTIFS(เรื่องร้องเรียน!E:E,"2",เรื่องร้องเรียน!N:N,"จอมทอง",เรื่องร้องเรียน!AN:AN,"บางขุนเทียน",เรื่องร้องเรียน!CL:CL,"1")</f>
        <v>0</v>
      </c>
      <c r="G44" s="109">
        <f>COUNTIFS(เรื่องร้องเรียน!E:E,"3",เรื่องร้องเรียน!N:N,"จอมทอง",เรื่องร้องเรียน!AN:AN,"บางขุนเทียน")</f>
        <v>0</v>
      </c>
      <c r="H44" s="109">
        <f>COUNTIFS(เรื่องร้องเรียน!E:E,"3",เรื่องร้องเรียน!N:N,"จอมทอง",เรื่องร้องเรียน!AN:AN,"บางขุนเทียน",เรื่องร้องเรียน!CL:CL,"1")</f>
        <v>0</v>
      </c>
      <c r="I44" s="109">
        <f>COUNTIFS(เรื่องร้องเรียน!E:E,"4",เรื่องร้องเรียน!N:N,"จอมทอง",เรื่องร้องเรียน!AN:AN,"บางขุนเทียน")</f>
        <v>0</v>
      </c>
      <c r="J44" s="144">
        <f>COUNTIFS(เรื่องร้องเรียน!E:E,"4",เรื่องร้องเรียน!N:N,"จอมทอง",เรื่องร้องเรียน!AN:AN,"บางขุนเทียน",เรื่องร้องเรียน!CL:CL,"1")</f>
        <v>0</v>
      </c>
      <c r="K44" s="144"/>
      <c r="L44" s="144"/>
      <c r="M44" s="109">
        <f t="shared" si="15"/>
        <v>0</v>
      </c>
      <c r="N44" s="145">
        <f t="shared" si="15"/>
        <v>0</v>
      </c>
      <c r="O44" s="146">
        <f>COUNTIFS(เรื่องร้องเรียน!E:E,"1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P44" s="144">
        <f>COUNTIFS(เรื่องร้องเรียน!E:E,"2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Q44" s="144">
        <f>COUNTIFS(เรื่องร้องเรียน!E:E,"3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R44" s="144">
        <f>COUNTIFS(เรื่องร้องเรียน!E:E,"4",เรื่องร้องเรียน!N:N,"จอมทอง",เรื่องร้องเรียน!AN:AN,"บางขุนเทียน",เรื่องร้องเรียน!AQ:AQ,"1",เรื่องร้องเรียน!CL:CL,"")</f>
        <v>0</v>
      </c>
      <c r="S44" s="144"/>
      <c r="T44" s="147">
        <f t="shared" si="5"/>
        <v>0</v>
      </c>
      <c r="U44" s="129">
        <f t="shared" si="1"/>
        <v>0</v>
      </c>
      <c r="V44" s="10" t="s">
        <v>196</v>
      </c>
      <c r="W44" s="129">
        <f t="shared" si="3"/>
        <v>0</v>
      </c>
    </row>
    <row r="45" spans="1:23">
      <c r="A45" s="148"/>
      <c r="B45" s="171" t="s">
        <v>110</v>
      </c>
      <c r="C45" s="246">
        <f>COUNTIFS(เรื่องร้องเรียน!E:E,"1",เรื่องร้องเรียน!N:N,"จอมทอง",เรื่องร้องเรียน!AN:AN,"บางมด")</f>
        <v>0</v>
      </c>
      <c r="D45" s="109">
        <f>COUNTIFS(เรื่องร้องเรียน!E:E,"1",เรื่องร้องเรียน!N:N,"จอมทอง",เรื่องร้องเรียน!AN:AN,"บางมด",เรื่องร้องเรียน!CL:CL,"1")</f>
        <v>0</v>
      </c>
      <c r="E45" s="109">
        <f>COUNTIFS(เรื่องร้องเรียน!E:E,"2",เรื่องร้องเรียน!N:N,"จอมทอง",เรื่องร้องเรียน!AN:AN,"บางมด")</f>
        <v>0</v>
      </c>
      <c r="F45" s="109">
        <f>COUNTIFS(เรื่องร้องเรียน!E:E,"2",เรื่องร้องเรียน!N:N,"จอมทอง",เรื่องร้องเรียน!AN:AN,"บางมด",เรื่องร้องเรียน!CL:CL,"1")</f>
        <v>0</v>
      </c>
      <c r="G45" s="109">
        <f>COUNTIFS(เรื่องร้องเรียน!E:E,"3",เรื่องร้องเรียน!N:N,"จอมทอง",เรื่องร้องเรียน!AN:AN,"บางมด")</f>
        <v>0</v>
      </c>
      <c r="H45" s="109">
        <f>COUNTIFS(เรื่องร้องเรียน!E:E,"3",เรื่องร้องเรียน!N:N,"จอมทอง",เรื่องร้องเรียน!AN:AN,"บางมด",เรื่องร้องเรียน!CL:CL,"1")</f>
        <v>0</v>
      </c>
      <c r="I45" s="109">
        <f>COUNTIFS(เรื่องร้องเรียน!E:E,"4",เรื่องร้องเรียน!N:N,"จอมทอง",เรื่องร้องเรียน!AN:AN,"บางมด")</f>
        <v>0</v>
      </c>
      <c r="J45" s="144">
        <f>COUNTIFS(เรื่องร้องเรียน!E:E,"4",เรื่องร้องเรียน!N:N,"จอมทอง",เรื่องร้องเรียน!AN:AN,"บางมด",เรื่องร้องเรียน!CL:CL,"1")</f>
        <v>0</v>
      </c>
      <c r="K45" s="144"/>
      <c r="L45" s="144"/>
      <c r="M45" s="109">
        <f t="shared" si="15"/>
        <v>0</v>
      </c>
      <c r="N45" s="145">
        <f t="shared" si="15"/>
        <v>0</v>
      </c>
      <c r="O45" s="146">
        <f>COUNTIFS(เรื่องร้องเรียน!E:E,"1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P45" s="144">
        <f>COUNTIFS(เรื่องร้องเรียน!E:E,"2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Q45" s="144">
        <f>COUNTIFS(เรื่องร้องเรียน!E:E,"3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R45" s="144">
        <f>COUNTIFS(เรื่องร้องเรียน!E:E,"4",เรื่องร้องเรียน!N:N,"จอมทอง",เรื่องร้องเรียน!AN:AN,"บางมด",เรื่องร้องเรียน!AQ:AQ,"1",เรื่องร้องเรียน!CL:CL,"")</f>
        <v>0</v>
      </c>
      <c r="S45" s="144"/>
      <c r="T45" s="147">
        <f t="shared" si="5"/>
        <v>0</v>
      </c>
      <c r="U45" s="129">
        <f t="shared" si="1"/>
        <v>0</v>
      </c>
      <c r="W45" s="129">
        <f t="shared" si="3"/>
        <v>0</v>
      </c>
    </row>
    <row r="46" spans="1:23">
      <c r="A46" s="148"/>
      <c r="B46" s="171" t="s">
        <v>112</v>
      </c>
      <c r="C46" s="123">
        <f>COUNTIFS(เรื่องร้องเรียน!E:E,"1",เรื่องร้องเรียน!N:N,"จอมทอง",เรื่องร้องเรียน!AN:AN,"ท่าข้าม")</f>
        <v>0</v>
      </c>
      <c r="D46" s="117">
        <f>COUNTIFS(เรื่องร้องเรียน!E:E,"1",เรื่องร้องเรียน!N:N,"จอมทอง",เรื่องร้องเรียน!AN:AN,"ท่าข้าม",เรื่องร้องเรียน!CL:CL,"1")</f>
        <v>0</v>
      </c>
      <c r="E46" s="117">
        <f>COUNTIFS(เรื่องร้องเรียน!E:E,"2",เรื่องร้องเรียน!N:N,"จอมทอง",เรื่องร้องเรียน!AN:AN,"ท่าข้าม")</f>
        <v>0</v>
      </c>
      <c r="F46" s="117">
        <f>COUNTIFS(เรื่องร้องเรียน!E:E,"2",เรื่องร้องเรียน!N:N,"จอมทอง",เรื่องร้องเรียน!AN:AN,"ท่าข้าม",เรื่องร้องเรียน!CL:CL,"1")</f>
        <v>0</v>
      </c>
      <c r="G46" s="117">
        <f>COUNTIFS(เรื่องร้องเรียน!E:E,"3",เรื่องร้องเรียน!N:N,"จอมทอง",เรื่องร้องเรียน!AN:AN,"ท่าข้าม")</f>
        <v>0</v>
      </c>
      <c r="H46" s="117">
        <f>COUNTIFS(เรื่องร้องเรียน!E:E,"3",เรื่องร้องเรียน!N:N,"จอมทอง",เรื่องร้องเรียน!AN:AN,"ท่าข้าม",เรื่องร้องเรียน!CL:CL,"1")</f>
        <v>0</v>
      </c>
      <c r="I46" s="117">
        <f>COUNTIFS(เรื่องร้องเรียน!E:E,"4",เรื่องร้องเรียน!N:N,"จอมทอง",เรื่องร้องเรียน!AN:AN,"ท่าข้าม")</f>
        <v>0</v>
      </c>
      <c r="J46" s="152">
        <f>COUNTIFS(เรื่องร้องเรียน!E:E,"4",เรื่องร้องเรียน!N:N,"จอมทอง",เรื่องร้องเรียน!AN:AN,"ท่าข้าม",เรื่องร้องเรียน!CL:CL,"1")</f>
        <v>0</v>
      </c>
      <c r="K46" s="152"/>
      <c r="L46" s="152"/>
      <c r="M46" s="117">
        <f t="shared" si="15"/>
        <v>0</v>
      </c>
      <c r="N46" s="122">
        <f t="shared" si="15"/>
        <v>0</v>
      </c>
      <c r="O46" s="153">
        <f>COUNTIFS(เรื่องร้องเรียน!E:E,"1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P46" s="152">
        <f>COUNTIFS(เรื่องร้องเรียน!E:E,"2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Q46" s="152">
        <f>COUNTIFS(เรื่องร้องเรียน!E:E,"3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R46" s="152">
        <f>COUNTIFS(เรื่องร้องเรียน!E:E,"4",เรื่องร้องเรียน!N:N,"จอมทอง",เรื่องร้องเรียน!AN:AN,"ท่าข้าม",เรื่องร้องเรียน!AQ:AQ,"1",เรื่องร้องเรียน!CL:CL,"")</f>
        <v>0</v>
      </c>
      <c r="S46" s="152"/>
      <c r="T46" s="154">
        <f t="shared" si="5"/>
        <v>0</v>
      </c>
      <c r="U46" s="129">
        <f t="shared" si="1"/>
        <v>0</v>
      </c>
      <c r="W46" s="129">
        <f t="shared" si="3"/>
        <v>0</v>
      </c>
    </row>
    <row r="47" spans="1:23" ht="21.6" thickBot="1">
      <c r="A47" s="174"/>
      <c r="B47" s="172" t="s">
        <v>196</v>
      </c>
      <c r="C47" s="123">
        <f>COUNTIFS(เรื่องร้องเรียน!E:E,"1",เรื่องร้องเรียน!N:N,"จอมทอง",เรื่องร้องเรียน!AN:AN,"บุคคโล")</f>
        <v>0</v>
      </c>
      <c r="D47" s="117">
        <f>COUNTIFS(เรื่องร้องเรียน!E:E,"1",เรื่องร้องเรียน!N:N,"จอมทอง",เรื่องร้องเรียน!AN:AN,"บุคคโล",เรื่องร้องเรียน!CL:CL,"1")</f>
        <v>0</v>
      </c>
      <c r="E47" s="117">
        <f>COUNTIFS(เรื่องร้องเรียน!E:E,"2",เรื่องร้องเรียน!N:N,"จอมทอง",เรื่องร้องเรียน!AN:AN,"บุคคโล")</f>
        <v>0</v>
      </c>
      <c r="F47" s="117">
        <f>COUNTIFS(เรื่องร้องเรียน!E:E,"2",เรื่องร้องเรียน!N:N,"จอมทอง",เรื่องร้องเรียน!AN:AN,"บุคคโล",เรื่องร้องเรียน!CL:CL,"1")</f>
        <v>0</v>
      </c>
      <c r="G47" s="117">
        <f>COUNTIFS(เรื่องร้องเรียน!E:E,"3",เรื่องร้องเรียน!N:N,"จอมทอง",เรื่องร้องเรียน!AN:AN,"บุคคโล")</f>
        <v>0</v>
      </c>
      <c r="H47" s="117">
        <f>COUNTIFS(เรื่องร้องเรียน!E:E,"3",เรื่องร้องเรียน!N:N,"จอมทอง",เรื่องร้องเรียน!AN:AN,"บุคคโล",เรื่องร้องเรียน!CL:CL,"1")</f>
        <v>0</v>
      </c>
      <c r="I47" s="117">
        <f>COUNTIFS(เรื่องร้องเรียน!E:E,"4",เรื่องร้องเรียน!N:N,"จอมทอง",เรื่องร้องเรียน!AN:AN,"บุคคโล")</f>
        <v>0</v>
      </c>
      <c r="J47" s="152">
        <f>COUNTIFS(เรื่องร้องเรียน!E:E,"4",เรื่องร้องเรียน!N:N,"จอมทอง",เรื่องร้องเรียน!AN:AN,"บุคคโล",เรื่องร้องเรียน!CL:CL,"1")</f>
        <v>0</v>
      </c>
      <c r="K47" s="152"/>
      <c r="L47" s="152"/>
      <c r="M47" s="117">
        <f>SUM(C47,E47,G47,I47,K47)</f>
        <v>0</v>
      </c>
      <c r="N47" s="122">
        <f>SUM(D47,F47,H47,J47,L47)</f>
        <v>0</v>
      </c>
      <c r="O47" s="153">
        <f>COUNTIFS(เรื่องร้องเรียน!E:E,"1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P47" s="152">
        <f>COUNTIFS(เรื่องร้องเรียน!E:E,"2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Q47" s="152">
        <f>COUNTIFS(เรื่องร้องเรียน!E:E,"3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R47" s="152">
        <f>COUNTIFS(เรื่องร้องเรียน!E:E,"4",เรื่องร้องเรียน!N:N,"จอมทอง",เรื่องร้องเรียน!AN:AN,"บุคคโล",เรื่องร้องเรียน!AQ:AQ,"1",เรื่องร้องเรียน!CL:CL,"")</f>
        <v>0</v>
      </c>
      <c r="S47" s="152"/>
      <c r="T47" s="154">
        <f>SUM(O47:S47)</f>
        <v>0</v>
      </c>
      <c r="U47" s="129">
        <f>M47-N47-T47</f>
        <v>0</v>
      </c>
      <c r="W47" s="129">
        <f t="shared" si="3"/>
        <v>0</v>
      </c>
    </row>
    <row r="48" spans="1:23" ht="21.6" thickBot="1">
      <c r="A48" s="175" t="s">
        <v>95</v>
      </c>
      <c r="B48" s="162" t="s">
        <v>152</v>
      </c>
      <c r="C48" s="95">
        <f>SUM(C49:C50)</f>
        <v>0</v>
      </c>
      <c r="D48" s="92">
        <f t="shared" ref="D48:T48" si="16">SUM(D49:D50)</f>
        <v>0</v>
      </c>
      <c r="E48" s="92">
        <f t="shared" si="16"/>
        <v>0</v>
      </c>
      <c r="F48" s="92">
        <f t="shared" si="16"/>
        <v>0</v>
      </c>
      <c r="G48" s="92">
        <f t="shared" si="16"/>
        <v>0</v>
      </c>
      <c r="H48" s="92">
        <f t="shared" si="16"/>
        <v>0</v>
      </c>
      <c r="I48" s="92">
        <f t="shared" si="16"/>
        <v>0</v>
      </c>
      <c r="J48" s="92">
        <f t="shared" si="16"/>
        <v>0</v>
      </c>
      <c r="K48" s="92">
        <f t="shared" si="16"/>
        <v>0</v>
      </c>
      <c r="L48" s="92">
        <f t="shared" si="16"/>
        <v>0</v>
      </c>
      <c r="M48" s="92">
        <f t="shared" si="16"/>
        <v>0</v>
      </c>
      <c r="N48" s="94">
        <f t="shared" si="16"/>
        <v>0</v>
      </c>
      <c r="O48" s="95">
        <f t="shared" si="16"/>
        <v>0</v>
      </c>
      <c r="P48" s="92">
        <f t="shared" si="16"/>
        <v>0</v>
      </c>
      <c r="Q48" s="92">
        <f t="shared" si="16"/>
        <v>0</v>
      </c>
      <c r="R48" s="92">
        <f t="shared" si="16"/>
        <v>0</v>
      </c>
      <c r="S48" s="92">
        <f t="shared" si="16"/>
        <v>0</v>
      </c>
      <c r="T48" s="176">
        <f t="shared" si="16"/>
        <v>0</v>
      </c>
      <c r="U48" s="134">
        <f t="shared" si="1"/>
        <v>0</v>
      </c>
      <c r="W48" s="135">
        <f t="shared" si="3"/>
        <v>0</v>
      </c>
    </row>
    <row r="49" spans="1:23">
      <c r="A49" s="136"/>
      <c r="B49" s="170" t="s">
        <v>20</v>
      </c>
      <c r="C49" s="140"/>
      <c r="D49" s="138"/>
      <c r="E49" s="138"/>
      <c r="F49" s="138"/>
      <c r="G49" s="138"/>
      <c r="H49" s="138"/>
      <c r="I49" s="138"/>
      <c r="J49" s="138"/>
      <c r="K49" s="138">
        <f>COUNTIFS(เรื่องร้องเรียน!E:E,"5",เรื่องร้องเรียน!N:N,"ดอนเมือง")</f>
        <v>0</v>
      </c>
      <c r="L49" s="138">
        <f>COUNTIFS(เรื่องร้องเรียน!E:E,"5",เรื่องร้องเรียน!N:N,"ดอนเมือง",เรื่องร้องเรียน!CL:CL,"1")</f>
        <v>0</v>
      </c>
      <c r="M49" s="138">
        <f>SUM(C49,E49,G49,I49,K49)</f>
        <v>0</v>
      </c>
      <c r="N49" s="139">
        <f>SUM(D49,F49,H49,J49,L49)</f>
        <v>0</v>
      </c>
      <c r="O49" s="140"/>
      <c r="P49" s="138"/>
      <c r="Q49" s="138"/>
      <c r="R49" s="138"/>
      <c r="S49" s="138">
        <f>COUNTIFS(เรื่องร้องเรียน!E:E,"5",เรื่องร้องเรียน!N:N,"ดอนเมือง",เรื่องร้องเรียน!AQ:AQ,"1",เรื่องร้องเรียน!CL:CL,"")</f>
        <v>0</v>
      </c>
      <c r="T49" s="141">
        <f t="shared" si="5"/>
        <v>0</v>
      </c>
      <c r="U49" s="129">
        <f t="shared" si="1"/>
        <v>0</v>
      </c>
      <c r="W49" s="129">
        <f t="shared" si="3"/>
        <v>0</v>
      </c>
    </row>
    <row r="50" spans="1:23" ht="21.6" thickBot="1">
      <c r="A50" s="150"/>
      <c r="B50" s="177" t="s">
        <v>95</v>
      </c>
      <c r="C50" s="123">
        <f>COUNTIFS(เรื่องร้องเรียน!E:E,"1",เรื่องร้องเรียน!N:N,"ดอนเมือง",เรื่องร้องเรียน!AN:AN,"ดอนเมือง")</f>
        <v>0</v>
      </c>
      <c r="D50" s="117">
        <f>COUNTIFS(เรื่องร้องเรียน!E:E,"1",เรื่องร้องเรียน!N:N,"ดอนเมือง",เรื่องร้องเรียน!AN:AN,"ดอนเมือง",เรื่องร้องเรียน!CL:CL,"1")</f>
        <v>0</v>
      </c>
      <c r="E50" s="117">
        <f>COUNTIFS(เรื่องร้องเรียน!E:E,"2",เรื่องร้องเรียน!N:N,"ดอนเมือง",เรื่องร้องเรียน!AN:AN,"ดอนเมือง")</f>
        <v>0</v>
      </c>
      <c r="F50" s="117">
        <f>COUNTIFS(เรื่องร้องเรียน!E:E,"2",เรื่องร้องเรียน!N:N,"ดอนเมือง",เรื่องร้องเรียน!AN:AN,"ดอนเมือง",เรื่องร้องเรียน!CL:CL,"1")</f>
        <v>0</v>
      </c>
      <c r="G50" s="117">
        <f>COUNTIFS(เรื่องร้องเรียน!E:E,"3",เรื่องร้องเรียน!N:N,"ดอนเมือง",เรื่องร้องเรียน!AN:AN,"ดอนเมือง")</f>
        <v>0</v>
      </c>
      <c r="H50" s="117">
        <f>COUNTIFS(เรื่องร้องเรียน!E:E,"3",เรื่องร้องเรียน!N:N,"ดอนเมือง",เรื่องร้องเรียน!AN:AN,"ดอนเมือง",เรื่องร้องเรียน!CL:CL,"1")</f>
        <v>0</v>
      </c>
      <c r="I50" s="117">
        <f>COUNTIFS(เรื่องร้องเรียน!E:E,"4",เรื่องร้องเรียน!N:N,"ดอนเมือง",เรื่องร้องเรียน!AN:AN,"ดอนเมือง")</f>
        <v>0</v>
      </c>
      <c r="J50" s="152">
        <f>COUNTIFS(เรื่องร้องเรียน!E:E,"4",เรื่องร้องเรียน!N:N,"ดอนเมือง",เรื่องร้องเรียน!AN:AN,"ดอนเมือง",เรื่องร้องเรียน!CL:CL,"1")</f>
        <v>0</v>
      </c>
      <c r="K50" s="152"/>
      <c r="L50" s="152"/>
      <c r="M50" s="117">
        <f>SUM(C50,E50,G50,I50,K50)</f>
        <v>0</v>
      </c>
      <c r="N50" s="122">
        <f>SUM(D50,F50,H50,J50,L50)</f>
        <v>0</v>
      </c>
      <c r="O50" s="153">
        <f>COUNTIFS(เรื่องร้องเรียน!E:E,"1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P50" s="152">
        <f>COUNTIFS(เรื่องร้องเรียน!E:E,"2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Q50" s="152">
        <f>COUNTIFS(เรื่องร้องเรียน!E:E,"3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R50" s="152">
        <f>COUNTIFS(เรื่องร้องเรียน!E:E,"4",เรื่องร้องเรียน!N:N,"ดอนเมือง",เรื่องร้องเรียน!AN:AN,"ดอนเมือง",เรื่องร้องเรียน!AQ:AQ,"1",เรื่องร้องเรียน!CL:CL,"")</f>
        <v>0</v>
      </c>
      <c r="S50" s="152"/>
      <c r="T50" s="154">
        <f t="shared" si="5"/>
        <v>0</v>
      </c>
      <c r="U50" s="129">
        <f t="shared" si="1"/>
        <v>0</v>
      </c>
      <c r="W50" s="129">
        <f t="shared" si="3"/>
        <v>0</v>
      </c>
    </row>
    <row r="51" spans="1:23" ht="21.6" thickBot="1">
      <c r="A51" s="130" t="s">
        <v>86</v>
      </c>
      <c r="B51" s="169" t="s">
        <v>152</v>
      </c>
      <c r="C51" s="132">
        <f>SUM(C52:C55 )</f>
        <v>0</v>
      </c>
      <c r="D51" s="131">
        <f t="shared" ref="D51:T51" si="17">SUM(D52:D55 )</f>
        <v>0</v>
      </c>
      <c r="E51" s="131">
        <f t="shared" si="17"/>
        <v>0</v>
      </c>
      <c r="F51" s="131">
        <f t="shared" si="17"/>
        <v>0</v>
      </c>
      <c r="G51" s="131">
        <f t="shared" si="17"/>
        <v>0</v>
      </c>
      <c r="H51" s="131">
        <f t="shared" si="17"/>
        <v>0</v>
      </c>
      <c r="I51" s="131">
        <f t="shared" si="17"/>
        <v>0</v>
      </c>
      <c r="J51" s="131">
        <f t="shared" si="17"/>
        <v>0</v>
      </c>
      <c r="K51" s="131">
        <f t="shared" si="17"/>
        <v>0</v>
      </c>
      <c r="L51" s="131">
        <f t="shared" si="17"/>
        <v>0</v>
      </c>
      <c r="M51" s="131">
        <f t="shared" si="17"/>
        <v>0</v>
      </c>
      <c r="N51" s="163">
        <f t="shared" si="17"/>
        <v>0</v>
      </c>
      <c r="O51" s="132">
        <f t="shared" si="17"/>
        <v>0</v>
      </c>
      <c r="P51" s="131">
        <f t="shared" si="17"/>
        <v>0</v>
      </c>
      <c r="Q51" s="131">
        <f t="shared" si="17"/>
        <v>0</v>
      </c>
      <c r="R51" s="131">
        <f t="shared" si="17"/>
        <v>0</v>
      </c>
      <c r="S51" s="131">
        <f t="shared" si="17"/>
        <v>0</v>
      </c>
      <c r="T51" s="133">
        <f t="shared" si="17"/>
        <v>0</v>
      </c>
      <c r="U51" s="134">
        <f t="shared" si="1"/>
        <v>0</v>
      </c>
      <c r="W51" s="135">
        <f t="shared" si="3"/>
        <v>0</v>
      </c>
    </row>
    <row r="52" spans="1:23">
      <c r="A52" s="165"/>
      <c r="B52" s="137" t="s">
        <v>20</v>
      </c>
      <c r="C52" s="140"/>
      <c r="D52" s="138"/>
      <c r="E52" s="138"/>
      <c r="F52" s="138"/>
      <c r="G52" s="138"/>
      <c r="H52" s="138"/>
      <c r="I52" s="138"/>
      <c r="J52" s="138"/>
      <c r="K52" s="138">
        <f>COUNTIFS(เรื่องร้องเรียน!E:E,"5",เรื่องร้องเรียน!N:N,"ดินแดง")</f>
        <v>0</v>
      </c>
      <c r="L52" s="138">
        <f>COUNTIFS(เรื่องร้องเรียน!E:E,"5",เรื่องร้องเรียน!N:N,"ดินแดง",เรื่องร้องเรียน!CL:CL,"1")</f>
        <v>0</v>
      </c>
      <c r="M52" s="138">
        <f t="shared" ref="M52:N55" si="18">SUM(C52,E52,G52,I52,K52)</f>
        <v>0</v>
      </c>
      <c r="N52" s="139">
        <f t="shared" si="18"/>
        <v>0</v>
      </c>
      <c r="O52" s="140"/>
      <c r="P52" s="138"/>
      <c r="Q52" s="138"/>
      <c r="R52" s="138"/>
      <c r="S52" s="138">
        <f>COUNTIFS(เรื่องร้องเรียน!E:E,"5",เรื่องร้องเรียน!N:N,"ดินแดง",เรื่องร้องเรียน!AQ:AQ,"1",เรื่องร้องเรียน!CL:CL,"")</f>
        <v>0</v>
      </c>
      <c r="T52" s="141">
        <f t="shared" si="5"/>
        <v>0</v>
      </c>
      <c r="U52" s="129">
        <f t="shared" si="1"/>
        <v>0</v>
      </c>
      <c r="W52" s="129">
        <f t="shared" si="3"/>
        <v>0</v>
      </c>
    </row>
    <row r="53" spans="1:23">
      <c r="A53" s="148"/>
      <c r="B53" s="171" t="s">
        <v>86</v>
      </c>
      <c r="C53" s="246">
        <f>COUNTIFS(เรื่องร้องเรียน!E:E,"1",เรื่องร้องเรียน!N:N,"ดินแดง",เรื่องร้องเรียน!AN:AN,"ดินแดง")</f>
        <v>0</v>
      </c>
      <c r="D53" s="109">
        <f>COUNTIFS(เรื่องร้องเรียน!E:E,"1",เรื่องร้องเรียน!N:N,"ดินแดง",เรื่องร้องเรียน!AN:AN,"ดินแดง",เรื่องร้องเรียน!CL:CL,"1")</f>
        <v>0</v>
      </c>
      <c r="E53" s="109">
        <f>COUNTIFS(เรื่องร้องเรียน!E:E,"2",เรื่องร้องเรียน!N:N,"ดินแดง",เรื่องร้องเรียน!AN:AN,"ดินแดง")</f>
        <v>0</v>
      </c>
      <c r="F53" s="109">
        <f>COUNTIFS(เรื่องร้องเรียน!E:E,"2",เรื่องร้องเรียน!N:N,"ดินแดง",เรื่องร้องเรียน!AN:AN,"ดินแดง",เรื่องร้องเรียน!CL:CL,"1")</f>
        <v>0</v>
      </c>
      <c r="G53" s="109">
        <f>COUNTIFS(เรื่องร้องเรียน!E:E,"3",เรื่องร้องเรียน!N:N,"ดินแดง",เรื่องร้องเรียน!AN:AN,"ดินแดง")</f>
        <v>0</v>
      </c>
      <c r="H53" s="109">
        <f>COUNTIFS(เรื่องร้องเรียน!E:E,"3",เรื่องร้องเรียน!N:N,"ดินแดง",เรื่องร้องเรียน!AN:AN,"ดินแดง",เรื่องร้องเรียน!CL:CL,"1")</f>
        <v>0</v>
      </c>
      <c r="I53" s="109">
        <f>COUNTIFS(เรื่องร้องเรียน!E:E,"4",เรื่องร้องเรียน!N:N,"ดินแดง",เรื่องร้องเรียน!AN:AN,"ดินแดง")</f>
        <v>0</v>
      </c>
      <c r="J53" s="144">
        <f>COUNTIFS(เรื่องร้องเรียน!E:E,"4",เรื่องร้องเรียน!N:N,"ดินแดง",เรื่องร้องเรียน!AN:AN,"ดินแดง",เรื่องร้องเรียน!CL:CL,"1")</f>
        <v>0</v>
      </c>
      <c r="K53" s="144"/>
      <c r="L53" s="144"/>
      <c r="M53" s="109">
        <f t="shared" si="18"/>
        <v>0</v>
      </c>
      <c r="N53" s="145">
        <f t="shared" si="18"/>
        <v>0</v>
      </c>
      <c r="O53" s="146">
        <f>COUNTIFS(เรื่องร้องเรียน!E:E,"1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P53" s="144">
        <f>COUNTIFS(เรื่องร้องเรียน!E:E,"2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Q53" s="144">
        <f>COUNTIFS(เรื่องร้องเรียน!E:E,"3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R53" s="144">
        <f>COUNTIFS(เรื่องร้องเรียน!E:E,"4",เรื่องร้องเรียน!N:N,"ดินแดง",เรื่องร้องเรียน!AN:AN,"ดินแดง",เรื่องร้องเรียน!AQ:AQ,"1",เรื่องร้องเรียน!CL:CL,"")</f>
        <v>0</v>
      </c>
      <c r="S53" s="144"/>
      <c r="T53" s="147">
        <f t="shared" si="5"/>
        <v>0</v>
      </c>
      <c r="U53" s="129">
        <f t="shared" si="1"/>
        <v>0</v>
      </c>
      <c r="W53" s="129">
        <f t="shared" si="3"/>
        <v>0</v>
      </c>
    </row>
    <row r="54" spans="1:23">
      <c r="A54" s="148"/>
      <c r="B54" s="171" t="s">
        <v>88</v>
      </c>
      <c r="C54" s="246">
        <f>COUNTIFS(เรื่องร้องเรียน!E:E,"1",เรื่องร้องเรียน!N:N,"ดินแดง",เรื่องร้องเรียน!AN:AN,"สุทธิสาร")</f>
        <v>0</v>
      </c>
      <c r="D54" s="109">
        <f>COUNTIFS(เรื่องร้องเรียน!E:E,"1",เรื่องร้องเรียน!N:N,"ดินแดง",เรื่องร้องเรียน!AN:AN,"สุทธิสาร",เรื่องร้องเรียน!CL:CL,"1")</f>
        <v>0</v>
      </c>
      <c r="E54" s="109">
        <f>COUNTIFS(เรื่องร้องเรียน!E:E,"2",เรื่องร้องเรียน!N:N,"ดินแดง",เรื่องร้องเรียน!AN:AN,"สุทธิสาร")</f>
        <v>0</v>
      </c>
      <c r="F54" s="109">
        <f>COUNTIFS(เรื่องร้องเรียน!E:E,"2",เรื่องร้องเรียน!N:N,"ดินแดง",เรื่องร้องเรียน!AN:AN,"สุทธิสาร",เรื่องร้องเรียน!CL:CL,"1")</f>
        <v>0</v>
      </c>
      <c r="G54" s="109">
        <f>COUNTIFS(เรื่องร้องเรียน!E:E,"3",เรื่องร้องเรียน!N:N,"ดินแดง",เรื่องร้องเรียน!AN:AN,"สุทธิสาร")</f>
        <v>0</v>
      </c>
      <c r="H54" s="109">
        <f>COUNTIFS(เรื่องร้องเรียน!E:E,"3",เรื่องร้องเรียน!N:N,"ดินแดง",เรื่องร้องเรียน!AN:AN,"สุทธิสาร",เรื่องร้องเรียน!CL:CL,"1")</f>
        <v>0</v>
      </c>
      <c r="I54" s="109">
        <f>COUNTIFS(เรื่องร้องเรียน!E:E,"4",เรื่องร้องเรียน!N:N,"ดินแดง",เรื่องร้องเรียน!AN:AN,"สุทธิสาร")</f>
        <v>0</v>
      </c>
      <c r="J54" s="144">
        <f>COUNTIFS(เรื่องร้องเรียน!E:E,"4",เรื่องร้องเรียน!N:N,"ดินแดง",เรื่องร้องเรียน!AN:AN,"สุทธิสาร",เรื่องร้องเรียน!CL:CL,"1")</f>
        <v>0</v>
      </c>
      <c r="K54" s="144"/>
      <c r="L54" s="144"/>
      <c r="M54" s="109">
        <f t="shared" si="18"/>
        <v>0</v>
      </c>
      <c r="N54" s="145">
        <f t="shared" si="18"/>
        <v>0</v>
      </c>
      <c r="O54" s="146">
        <f>COUNTIFS(เรื่องร้องเรียน!E:E,"1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P54" s="144">
        <f>COUNTIFS(เรื่องร้องเรียน!E:E,"2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Q54" s="144">
        <f>COUNTIFS(เรื่องร้องเรียน!E:E,"3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R54" s="144">
        <f>COUNTIFS(เรื่องร้องเรียน!E:E,"4",เรื่องร้องเรียน!N:N,"ดินแดง",เรื่องร้องเรียน!AN:AN,"สุทธิสาร",เรื่องร้องเรียน!AQ:AQ,"1",เรื่องร้องเรียน!CL:CL,"")</f>
        <v>0</v>
      </c>
      <c r="S54" s="144"/>
      <c r="T54" s="147">
        <f t="shared" si="5"/>
        <v>0</v>
      </c>
      <c r="U54" s="129">
        <f t="shared" si="1"/>
        <v>0</v>
      </c>
      <c r="W54" s="129">
        <f t="shared" si="3"/>
        <v>0</v>
      </c>
    </row>
    <row r="55" spans="1:23" ht="21.6" thickBot="1">
      <c r="A55" s="150"/>
      <c r="B55" s="172" t="s">
        <v>140</v>
      </c>
      <c r="C55" s="123">
        <f>COUNTIFS(เรื่องร้องเรียน!E:E,"1",เรื่องร้องเรียน!N:N,"ดินแดง",เรื่องร้องเรียน!AN:AN,"ห้วยขวาง")</f>
        <v>0</v>
      </c>
      <c r="D55" s="117">
        <f>COUNTIFS(เรื่องร้องเรียน!E:E,"1",เรื่องร้องเรียน!N:N,"ดินแดง",เรื่องร้องเรียน!AN:AN,"ห้วยขวาง",เรื่องร้องเรียน!CL:CL,"1")</f>
        <v>0</v>
      </c>
      <c r="E55" s="117">
        <f>COUNTIFS(เรื่องร้องเรียน!E:E,"2",เรื่องร้องเรียน!N:N,"ดินแดง",เรื่องร้องเรียน!AN:AN,"ห้วยขวาง")</f>
        <v>0</v>
      </c>
      <c r="F55" s="117">
        <f>COUNTIFS(เรื่องร้องเรียน!E:E,"2",เรื่องร้องเรียน!N:N,"ดินแดง",เรื่องร้องเรียน!AN:AN,"ห้วยขวาง",เรื่องร้องเรียน!CL:CL,"1")</f>
        <v>0</v>
      </c>
      <c r="G55" s="117">
        <f>COUNTIFS(เรื่องร้องเรียน!E:E,"3",เรื่องร้องเรียน!N:N,"ดินแดง",เรื่องร้องเรียน!AN:AN,"ห้วยขวาง")</f>
        <v>0</v>
      </c>
      <c r="H55" s="117">
        <f>COUNTIFS(เรื่องร้องเรียน!E:E,"3",เรื่องร้องเรียน!N:N,"ดินแดง",เรื่องร้องเรียน!AN:AN,"ห้วยขวาง",เรื่องร้องเรียน!CL:CL,"1")</f>
        <v>0</v>
      </c>
      <c r="I55" s="117">
        <f>COUNTIFS(เรื่องร้องเรียน!E:E,"4",เรื่องร้องเรียน!N:N,"ดินแดง",เรื่องร้องเรียน!AN:AN,"ห้วยขวาง")</f>
        <v>0</v>
      </c>
      <c r="J55" s="152">
        <f>COUNTIFS(เรื่องร้องเรียน!E:E,"4",เรื่องร้องเรียน!N:N,"ดินแดง",เรื่องร้องเรียน!AN:AN,"ห้วยขวาง",เรื่องร้องเรียน!CL:CL,"1")</f>
        <v>0</v>
      </c>
      <c r="K55" s="152"/>
      <c r="L55" s="152"/>
      <c r="M55" s="117">
        <f t="shared" si="18"/>
        <v>0</v>
      </c>
      <c r="N55" s="122">
        <f t="shared" si="18"/>
        <v>0</v>
      </c>
      <c r="O55" s="153">
        <f>COUNTIFS(เรื่องร้องเรียน!E:E,"1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P55" s="152">
        <f>COUNTIFS(เรื่องร้องเรียน!E:E,"2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Q55" s="152">
        <f>COUNTIFS(เรื่องร้องเรียน!E:E,"3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R55" s="152">
        <f>COUNTIFS(เรื่องร้องเรียน!E:E,"4",เรื่องร้องเรียน!N:N,"ดินแดง",เรื่องร้องเรียน!AN:AN,"ห้วยขวาง",เรื่องร้องเรียน!AQ:AQ,"1",เรื่องร้องเรียน!CL:CL,"")</f>
        <v>0</v>
      </c>
      <c r="S55" s="152"/>
      <c r="T55" s="154">
        <f t="shared" si="5"/>
        <v>0</v>
      </c>
      <c r="U55" s="129">
        <f t="shared" si="1"/>
        <v>0</v>
      </c>
      <c r="W55" s="129">
        <f t="shared" si="3"/>
        <v>0</v>
      </c>
    </row>
    <row r="56" spans="1:23" ht="21.6" thickBot="1">
      <c r="A56" s="130" t="s">
        <v>168</v>
      </c>
      <c r="B56" s="169" t="s">
        <v>152</v>
      </c>
      <c r="C56" s="132">
        <f t="shared" ref="C56:T56" si="19">SUM(C57:C63)</f>
        <v>0</v>
      </c>
      <c r="D56" s="131">
        <f t="shared" si="19"/>
        <v>0</v>
      </c>
      <c r="E56" s="131">
        <f t="shared" si="19"/>
        <v>0</v>
      </c>
      <c r="F56" s="131">
        <f t="shared" si="19"/>
        <v>0</v>
      </c>
      <c r="G56" s="131">
        <f t="shared" si="19"/>
        <v>0</v>
      </c>
      <c r="H56" s="131">
        <f t="shared" si="19"/>
        <v>0</v>
      </c>
      <c r="I56" s="131">
        <f t="shared" si="19"/>
        <v>0</v>
      </c>
      <c r="J56" s="131">
        <f t="shared" si="19"/>
        <v>0</v>
      </c>
      <c r="K56" s="131">
        <f t="shared" si="19"/>
        <v>0</v>
      </c>
      <c r="L56" s="131">
        <f t="shared" si="19"/>
        <v>0</v>
      </c>
      <c r="M56" s="131">
        <f t="shared" si="19"/>
        <v>0</v>
      </c>
      <c r="N56" s="163">
        <f t="shared" si="19"/>
        <v>0</v>
      </c>
      <c r="O56" s="132">
        <f t="shared" si="19"/>
        <v>0</v>
      </c>
      <c r="P56" s="132">
        <f t="shared" si="19"/>
        <v>0</v>
      </c>
      <c r="Q56" s="132">
        <f t="shared" si="19"/>
        <v>0</v>
      </c>
      <c r="R56" s="132">
        <f t="shared" si="19"/>
        <v>0</v>
      </c>
      <c r="S56" s="132">
        <f t="shared" si="19"/>
        <v>0</v>
      </c>
      <c r="T56" s="133">
        <f t="shared" si="19"/>
        <v>0</v>
      </c>
      <c r="U56" s="134">
        <f t="shared" si="1"/>
        <v>0</v>
      </c>
      <c r="W56" s="135">
        <f t="shared" si="3"/>
        <v>0</v>
      </c>
    </row>
    <row r="57" spans="1:23">
      <c r="A57" s="165"/>
      <c r="B57" s="170" t="s">
        <v>20</v>
      </c>
      <c r="C57" s="140"/>
      <c r="D57" s="138"/>
      <c r="E57" s="138"/>
      <c r="F57" s="138"/>
      <c r="G57" s="138"/>
      <c r="H57" s="138"/>
      <c r="I57" s="138"/>
      <c r="J57" s="138"/>
      <c r="K57" s="138">
        <f>COUNTIFS(เรื่องร้องเรียน!E:E,"5",เรื่องร้องเรียน!N:N,"ดุสิต")</f>
        <v>0</v>
      </c>
      <c r="L57" s="138">
        <f>COUNTIFS(เรื่องร้องเรียน!E:E,"5",เรื่องร้องเรียน!N:N,"ดุสิต",เรื่องร้องเรียน!CL:CL,"1")</f>
        <v>0</v>
      </c>
      <c r="M57" s="138">
        <f t="shared" ref="M57:N61" si="20">SUM(C57,E57,G57,I57,K57)</f>
        <v>0</v>
      </c>
      <c r="N57" s="139">
        <f t="shared" si="20"/>
        <v>0</v>
      </c>
      <c r="O57" s="140"/>
      <c r="P57" s="138"/>
      <c r="Q57" s="138"/>
      <c r="R57" s="138"/>
      <c r="S57" s="138">
        <f>COUNTIFS(เรื่องร้องเรียน!E:E,"5",เรื่องร้องเรียน!N:N,"ดุสิต",เรื่องร้องเรียน!AQ:AQ,"1",เรื่องร้องเรียน!CL:CL,"")</f>
        <v>0</v>
      </c>
      <c r="T57" s="141">
        <f t="shared" si="5"/>
        <v>0</v>
      </c>
      <c r="U57" s="129">
        <f t="shared" si="1"/>
        <v>0</v>
      </c>
      <c r="V57" s="10" t="s">
        <v>89</v>
      </c>
      <c r="W57" s="129">
        <f t="shared" si="3"/>
        <v>0</v>
      </c>
    </row>
    <row r="58" spans="1:23">
      <c r="A58" s="148"/>
      <c r="B58" s="171" t="s">
        <v>168</v>
      </c>
      <c r="C58" s="246">
        <f>COUNTIFS(เรื่องร้องเรียน!E:E,"1",เรื่องร้องเรียน!N:N,"ดุสิต",เรื่องร้องเรียน!AN:AN,"ดุสิต")</f>
        <v>0</v>
      </c>
      <c r="D58" s="109">
        <f>COUNTIFS(เรื่องร้องเรียน!E:E,"1",เรื่องร้องเรียน!N:N,"ดุสิต",เรื่องร้องเรียน!AN:AN,"ดุสิต",เรื่องร้องเรียน!CL:CL,"1")</f>
        <v>0</v>
      </c>
      <c r="E58" s="109">
        <f>COUNTIFS(เรื่องร้องเรียน!E:E,"2",เรื่องร้องเรียน!N:N,"ดุสิต",เรื่องร้องเรียน!AN:AN,"ดุสิต")</f>
        <v>0</v>
      </c>
      <c r="F58" s="109">
        <f>COUNTIFS(เรื่องร้องเรียน!E:E,"2",เรื่องร้องเรียน!N:N,"ดุสิต",เรื่องร้องเรียน!AN:AN,"ดุสิต",เรื่องร้องเรียน!CL:CL,"1")</f>
        <v>0</v>
      </c>
      <c r="G58" s="109">
        <f>COUNTIFS(เรื่องร้องเรียน!E:E,"3",เรื่องร้องเรียน!N:N,"ดุสิต",เรื่องร้องเรียน!AN:AN,"ดุสิต")</f>
        <v>0</v>
      </c>
      <c r="H58" s="109">
        <f>COUNTIFS(เรื่องร้องเรียน!E:E,"3",เรื่องร้องเรียน!N:N,"ดุสิต",เรื่องร้องเรียน!AN:AN,"ดุสิต",เรื่องร้องเรียน!CL:CL,"1")</f>
        <v>0</v>
      </c>
      <c r="I58" s="109">
        <f>COUNTIFS(เรื่องร้องเรียน!E:E,"4",เรื่องร้องเรียน!N:N,"ดุสิต",เรื่องร้องเรียน!AN:AN,"ดุสิต")</f>
        <v>0</v>
      </c>
      <c r="J58" s="144">
        <f>COUNTIFS(เรื่องร้องเรียน!E:E,"4",เรื่องร้องเรียน!N:N,"ดุสิต",เรื่องร้องเรียน!AN:AN,"ดุสิต",เรื่องร้องเรียน!CL:CL,"1")</f>
        <v>0</v>
      </c>
      <c r="K58" s="144"/>
      <c r="L58" s="144"/>
      <c r="M58" s="109">
        <f t="shared" si="20"/>
        <v>0</v>
      </c>
      <c r="N58" s="145">
        <f t="shared" si="20"/>
        <v>0</v>
      </c>
      <c r="O58" s="146">
        <f>COUNTIFS(เรื่องร้องเรียน!E:E,"1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P58" s="144">
        <f>COUNTIFS(เรื่องร้องเรียน!E:E,"2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Q58" s="144">
        <f>COUNTIFS(เรื่องร้องเรียน!E:E,"3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R58" s="144">
        <f>COUNTIFS(เรื่องร้องเรียน!E:E,"4",เรื่องร้องเรียน!N:N,"ดุสิต",เรื่องร้องเรียน!AN:AN,"ดุสิต",เรื่องร้องเรียน!AQ:AQ,"1",เรื่องร้องเรียน!CL:CL,"")</f>
        <v>0</v>
      </c>
      <c r="S58" s="144"/>
      <c r="T58" s="147">
        <f t="shared" si="5"/>
        <v>0</v>
      </c>
      <c r="U58" s="129">
        <f t="shared" si="1"/>
        <v>0</v>
      </c>
      <c r="W58" s="129">
        <f t="shared" si="3"/>
        <v>0</v>
      </c>
    </row>
    <row r="59" spans="1:23">
      <c r="A59" s="148"/>
      <c r="B59" s="171" t="s">
        <v>134</v>
      </c>
      <c r="C59" s="246">
        <f>COUNTIFS(เรื่องร้องเรียน!E:E,"1",เรื่องร้องเรียน!N:N,"ดุสิต",เรื่องร้องเรียน!AN:AN,"เตาปูน")</f>
        <v>0</v>
      </c>
      <c r="D59" s="109">
        <f>COUNTIFS(เรื่องร้องเรียน!E:E,"1",เรื่องร้องเรียน!N:N,"ดุสิต",เรื่องร้องเรียน!AN:AN,"เตาปูน",เรื่องร้องเรียน!CL:CL,"1")</f>
        <v>0</v>
      </c>
      <c r="E59" s="109">
        <f>COUNTIFS(เรื่องร้องเรียน!E:E,"2",เรื่องร้องเรียน!N:N,"ดุสิต",เรื่องร้องเรียน!AN:AN,"เตาปูน")</f>
        <v>0</v>
      </c>
      <c r="F59" s="109">
        <f>COUNTIFS(เรื่องร้องเรียน!E:E,"2",เรื่องร้องเรียน!N:N,"ดุสิต",เรื่องร้องเรียน!AN:AN,"เตาปูน",เรื่องร้องเรียน!CL:CL,"1")</f>
        <v>0</v>
      </c>
      <c r="G59" s="109">
        <f>COUNTIFS(เรื่องร้องเรียน!E:E,"3",เรื่องร้องเรียน!N:N,"ดุสิต",เรื่องร้องเรียน!AN:AN,"เตาปูน")</f>
        <v>0</v>
      </c>
      <c r="H59" s="109">
        <f>COUNTIFS(เรื่องร้องเรียน!E:E,"3",เรื่องร้องเรียน!N:N,"ดุสิต",เรื่องร้องเรียน!AN:AN,"เตาปูน",เรื่องร้องเรียน!CL:CL,"1")</f>
        <v>0</v>
      </c>
      <c r="I59" s="109">
        <f>COUNTIFS(เรื่องร้องเรียน!E:E,"4",เรื่องร้องเรียน!N:N,"ดุสิต",เรื่องร้องเรียน!AN:AN,"เตาปูน")</f>
        <v>0</v>
      </c>
      <c r="J59" s="144">
        <f>COUNTIFS(เรื่องร้องเรียน!E:E,"4",เรื่องร้องเรียน!N:N,"ดุสิต",เรื่องร้องเรียน!AN:AN,"เตาปูน",เรื่องร้องเรียน!CL:CL,"1")</f>
        <v>0</v>
      </c>
      <c r="K59" s="144"/>
      <c r="L59" s="144"/>
      <c r="M59" s="109">
        <f t="shared" si="20"/>
        <v>0</v>
      </c>
      <c r="N59" s="145">
        <f t="shared" si="20"/>
        <v>0</v>
      </c>
      <c r="O59" s="146">
        <f>COUNTIFS(เรื่องร้องเรียน!E:E,"1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P59" s="144">
        <f>COUNTIFS(เรื่องร้องเรียน!E:E,"2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Q59" s="144">
        <f>COUNTIFS(เรื่องร้องเรียน!E:E,"3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R59" s="144">
        <f>COUNTIFS(เรื่องร้องเรียน!E:E,"4",เรื่องร้องเรียน!N:N,"ดุสิต",เรื่องร้องเรียน!AN:AN,"เตาปูน",เรื่องร้องเรียน!AQ:AQ,"1",เรื่องร้องเรียน!CL:CL,"")</f>
        <v>0</v>
      </c>
      <c r="S59" s="144"/>
      <c r="T59" s="147">
        <f t="shared" si="5"/>
        <v>0</v>
      </c>
      <c r="U59" s="129">
        <f t="shared" si="1"/>
        <v>0</v>
      </c>
      <c r="W59" s="129">
        <f t="shared" si="3"/>
        <v>0</v>
      </c>
    </row>
    <row r="60" spans="1:23">
      <c r="A60" s="148"/>
      <c r="B60" s="171" t="s">
        <v>169</v>
      </c>
      <c r="C60" s="246">
        <f>COUNTIFS(เรื่องร้องเรียน!E:E,"1",เรื่องร้องเรียน!N:N,"ดุสิต",เรื่องร้องเรียน!AN:AN,"นางเลิ้ง")</f>
        <v>0</v>
      </c>
      <c r="D60" s="109">
        <f>COUNTIFS(เรื่องร้องเรียน!E:E,"1",เรื่องร้องเรียน!N:N,"ดุสิต",เรื่องร้องเรียน!AN:AN,"นางเลิ้ง",เรื่องร้องเรียน!CL:CL,"1")</f>
        <v>0</v>
      </c>
      <c r="E60" s="109">
        <f>COUNTIFS(เรื่องร้องเรียน!E:E,"2",เรื่องร้องเรียน!N:N,"ดุสิต",เรื่องร้องเรียน!AN:AN,"นางเลิ้ง")</f>
        <v>0</v>
      </c>
      <c r="F60" s="109">
        <f>COUNTIFS(เรื่องร้องเรียน!E:E,"2",เรื่องร้องเรียน!N:N,"ดุสิต",เรื่องร้องเรียน!AN:AN,"นางเลิ้ง",เรื่องร้องเรียน!CL:CL,"1")</f>
        <v>0</v>
      </c>
      <c r="G60" s="109">
        <f>COUNTIFS(เรื่องร้องเรียน!E:E,"3",เรื่องร้องเรียน!N:N,"ดุสิต",เรื่องร้องเรียน!AN:AN,"นางเลิ้ง")</f>
        <v>0</v>
      </c>
      <c r="H60" s="109">
        <f>COUNTIFS(เรื่องร้องเรียน!E:E,"3",เรื่องร้องเรียน!N:N,"ดุสิต",เรื่องร้องเรียน!AN:AN,"นางเลิ้ง",เรื่องร้องเรียน!CL:CL,"1")</f>
        <v>0</v>
      </c>
      <c r="I60" s="109">
        <f>COUNTIFS(เรื่องร้องเรียน!E:E,"4",เรื่องร้องเรียน!N:N,"ดุสิต",เรื่องร้องเรียน!AN:AN,"นางเลิ้ง")</f>
        <v>0</v>
      </c>
      <c r="J60" s="144">
        <f>COUNTIFS(เรื่องร้องเรียน!E:E,"4",เรื่องร้องเรียน!N:N,"ดุสิต",เรื่องร้องเรียน!AN:AN,"นางเลิ้ง",เรื่องร้องเรียน!CL:CL,"1")</f>
        <v>0</v>
      </c>
      <c r="K60" s="144"/>
      <c r="L60" s="144"/>
      <c r="M60" s="109">
        <f t="shared" si="20"/>
        <v>0</v>
      </c>
      <c r="N60" s="145">
        <f t="shared" si="20"/>
        <v>0</v>
      </c>
      <c r="O60" s="146">
        <f>COUNTIFS(เรื่องร้องเรียน!E:E,"1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P60" s="144">
        <f>COUNTIFS(เรื่องร้องเรียน!E:E,"2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Q60" s="144">
        <f>COUNTIFS(เรื่องร้องเรียน!E:E,"3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R60" s="144">
        <f>COUNTIFS(เรื่องร้องเรียน!E:E,"4",เรื่องร้องเรียน!N:N,"ดุสิต",เรื่องร้องเรียน!AN:AN,"นางเลิ้ง",เรื่องร้องเรียน!AQ:AQ,"1",เรื่องร้องเรียน!CL:CL,"")</f>
        <v>0</v>
      </c>
      <c r="S60" s="144"/>
      <c r="T60" s="147">
        <f t="shared" si="5"/>
        <v>0</v>
      </c>
      <c r="U60" s="129">
        <f t="shared" si="1"/>
        <v>0</v>
      </c>
      <c r="W60" s="129">
        <f t="shared" si="3"/>
        <v>0</v>
      </c>
    </row>
    <row r="61" spans="1:23">
      <c r="A61" s="150"/>
      <c r="B61" s="177" t="s">
        <v>171</v>
      </c>
      <c r="C61" s="123">
        <f>COUNTIFS(เรื่องร้องเรียน!E:E,"1",เรื่องร้องเรียน!N:N,"ดุสิต",เรื่องร้องเรียน!AN:AN,"สามเสน")</f>
        <v>0</v>
      </c>
      <c r="D61" s="117">
        <f>COUNTIFS(เรื่องร้องเรียน!E:E,"1",เรื่องร้องเรียน!N:N,"ดุสิต",เรื่องร้องเรียน!AN:AN,"สามเสน",เรื่องร้องเรียน!CL:CL,"1")</f>
        <v>0</v>
      </c>
      <c r="E61" s="117">
        <f>COUNTIFS(เรื่องร้องเรียน!E:E,"2",เรื่องร้องเรียน!N:N,"ดุสิต",เรื่องร้องเรียน!AN:AN,"สามเสน")</f>
        <v>0</v>
      </c>
      <c r="F61" s="117">
        <f>COUNTIFS(เรื่องร้องเรียน!E:E,"2",เรื่องร้องเรียน!N:N,"ดุสิต",เรื่องร้องเรียน!AN:AN,"สามเสน",เรื่องร้องเรียน!CL:CL,"1")</f>
        <v>0</v>
      </c>
      <c r="G61" s="117">
        <f>COUNTIFS(เรื่องร้องเรียน!E:E,"3",เรื่องร้องเรียน!N:N,"ดุสิต",เรื่องร้องเรียน!AN:AN,"สามเสน")</f>
        <v>0</v>
      </c>
      <c r="H61" s="117">
        <f>COUNTIFS(เรื่องร้องเรียน!E:E,"3",เรื่องร้องเรียน!N:N,"ดุสิต",เรื่องร้องเรียน!AN:AN,"สามเสน",เรื่องร้องเรียน!CL:CL,"1")</f>
        <v>0</v>
      </c>
      <c r="I61" s="117">
        <f>COUNTIFS(เรื่องร้องเรียน!E:E,"4",เรื่องร้องเรียน!N:N,"ดุสิต",เรื่องร้องเรียน!AN:AN,"สามเสน")</f>
        <v>0</v>
      </c>
      <c r="J61" s="152">
        <f>COUNTIFS(เรื่องร้องเรียน!E:E,"4",เรื่องร้องเรียน!N:N,"ดุสิต",เรื่องร้องเรียน!AN:AN,"สามเสน",เรื่องร้องเรียน!CL:CL,"1")</f>
        <v>0</v>
      </c>
      <c r="K61" s="152"/>
      <c r="L61" s="152"/>
      <c r="M61" s="117">
        <f t="shared" si="20"/>
        <v>0</v>
      </c>
      <c r="N61" s="122">
        <f t="shared" si="20"/>
        <v>0</v>
      </c>
      <c r="O61" s="153">
        <f>COUNTIFS(เรื่องร้องเรียน!E:E,"1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P61" s="152">
        <f>COUNTIFS(เรื่องร้องเรียน!E:E,"2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Q61" s="152">
        <f>COUNTIFS(เรื่องร้องเรียน!E:E,"3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R61" s="152">
        <f>COUNTIFS(เรื่องร้องเรียน!E:E,"4",เรื่องร้องเรียน!N:N,"ดุสิต",เรื่องร้องเรียน!AN:AN,"สามเสน",เรื่องร้องเรียน!AQ:AQ,"1",เรื่องร้องเรียน!CL:CL,"")</f>
        <v>0</v>
      </c>
      <c r="S61" s="152"/>
      <c r="T61" s="154">
        <f t="shared" si="5"/>
        <v>0</v>
      </c>
      <c r="U61" s="129">
        <f t="shared" si="1"/>
        <v>0</v>
      </c>
      <c r="W61" s="129">
        <f t="shared" si="3"/>
        <v>0</v>
      </c>
    </row>
    <row r="62" spans="1:23">
      <c r="A62" s="168"/>
      <c r="B62" s="171" t="s">
        <v>89</v>
      </c>
      <c r="C62" s="123">
        <f>COUNTIFS(เรื่องร้องเรียน!E:E,"1",เรื่องร้องเรียน!N:N,"ดุสิต",เรื่องร้องเรียน!AN:AN,"พญาไท")</f>
        <v>0</v>
      </c>
      <c r="D62" s="117">
        <f>COUNTIFS(เรื่องร้องเรียน!E:E,"1",เรื่องร้องเรียน!N:N,"ดุสิต",เรื่องร้องเรียน!AN:AN,"พญาไท",เรื่องร้องเรียน!CL:CL,"1")</f>
        <v>0</v>
      </c>
      <c r="E62" s="117">
        <f>COUNTIFS(เรื่องร้องเรียน!E:E,"2",เรื่องร้องเรียน!N:N,"ดุสิต",เรื่องร้องเรียน!AN:AN,"พญาไท")</f>
        <v>0</v>
      </c>
      <c r="F62" s="117">
        <f>COUNTIFS(เรื่องร้องเรียน!E:E,"2",เรื่องร้องเรียน!N:N,"ดุสิต",เรื่องร้องเรียน!AN:AN,"พญาไท",เรื่องร้องเรียน!CL:CL,"1")</f>
        <v>0</v>
      </c>
      <c r="G62" s="117">
        <f>COUNTIFS(เรื่องร้องเรียน!E:E,"3",เรื่องร้องเรียน!N:N,"ดุสิต",เรื่องร้องเรียน!AN:AN,"พญาไท")</f>
        <v>0</v>
      </c>
      <c r="H62" s="117">
        <f>COUNTIFS(เรื่องร้องเรียน!E:E,"3",เรื่องร้องเรียน!N:N,"ดุสิต",เรื่องร้องเรียน!AN:AN,"พญาไท",เรื่องร้องเรียน!CL:CL,"1")</f>
        <v>0</v>
      </c>
      <c r="I62" s="117">
        <f>COUNTIFS(เรื่องร้องเรียน!E:E,"4",เรื่องร้องเรียน!N:N,"ดุสิต",เรื่องร้องเรียน!AN:AN,"พญาไท")</f>
        <v>0</v>
      </c>
      <c r="J62" s="152">
        <f>COUNTIFS(เรื่องร้องเรียน!E:E,"4",เรื่องร้องเรียน!N:N,"ดุสิต",เรื่องร้องเรียน!AN:AN,"พญาไท",เรื่องร้องเรียน!CL:CL,"1")</f>
        <v>0</v>
      </c>
      <c r="K62" s="152"/>
      <c r="L62" s="152"/>
      <c r="M62" s="117">
        <f>SUM(C62,E62,G62,I62,K62)</f>
        <v>0</v>
      </c>
      <c r="N62" s="122">
        <f>SUM(D62,F62,H62,J62,L62)</f>
        <v>0</v>
      </c>
      <c r="O62" s="153">
        <f>COUNTIFS(เรื่องร้องเรียน!E:E,"1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P62" s="152">
        <f>COUNTIFS(เรื่องร้องเรียน!E:E,"2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Q62" s="152">
        <f>COUNTIFS(เรื่องร้องเรียน!E:E,"3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R62" s="152">
        <f>COUNTIFS(เรื่องร้องเรียน!E:E,"4",เรื่องร้องเรียน!N:N,"ดุสิต",เรื่องร้องเรียน!AN:AN,"พญาไท",เรื่องร้องเรียน!AQ:AQ,"1",เรื่องร้องเรียน!CL:CL,"")</f>
        <v>0</v>
      </c>
      <c r="S62" s="152"/>
      <c r="T62" s="154">
        <f>SUM(O62:S62)</f>
        <v>0</v>
      </c>
      <c r="U62" s="129">
        <f>M62-N62-T62</f>
        <v>0</v>
      </c>
      <c r="W62" s="129">
        <f t="shared" si="3"/>
        <v>0</v>
      </c>
    </row>
    <row r="63" spans="1:23" ht="21.6" thickBot="1">
      <c r="A63" s="168"/>
      <c r="B63" s="172" t="s">
        <v>172</v>
      </c>
      <c r="C63" s="123">
        <f>COUNTIFS(เรื่องร้องเรียน!E:E,"1",เรื่องร้องเรียน!N:N,"ดุสิต",เรื่องร้องเรียน!AN:AN,"บางโพ")</f>
        <v>0</v>
      </c>
      <c r="D63" s="117">
        <f>COUNTIFS(เรื่องร้องเรียน!E:E,"1",เรื่องร้องเรียน!N:N,"ดุสิต",เรื่องร้องเรียน!AN:AN,"บางโพ",เรื่องร้องเรียน!CL:CL,"1")</f>
        <v>0</v>
      </c>
      <c r="E63" s="117">
        <f>COUNTIFS(เรื่องร้องเรียน!E:E,"2",เรื่องร้องเรียน!N:N,"ดุสิต",เรื่องร้องเรียน!AN:AN,"บางโพ")</f>
        <v>0</v>
      </c>
      <c r="F63" s="117">
        <f>COUNTIFS(เรื่องร้องเรียน!E:E,"2",เรื่องร้องเรียน!N:N,"ดุสิต",เรื่องร้องเรียน!AN:AN,"บางโพ",เรื่องร้องเรียน!CL:CL,"1")</f>
        <v>0</v>
      </c>
      <c r="G63" s="117">
        <f>COUNTIFS(เรื่องร้องเรียน!E:E,"3",เรื่องร้องเรียน!N:N,"ดุสิต",เรื่องร้องเรียน!AN:AN,"บางโพ")</f>
        <v>0</v>
      </c>
      <c r="H63" s="117">
        <f>COUNTIFS(เรื่องร้องเรียน!E:E,"3",เรื่องร้องเรียน!N:N,"ดุสิต",เรื่องร้องเรียน!AN:AN,"บางโพ",เรื่องร้องเรียน!CL:CL,"1")</f>
        <v>0</v>
      </c>
      <c r="I63" s="117">
        <f>COUNTIFS(เรื่องร้องเรียน!E:E,"4",เรื่องร้องเรียน!N:N,"ดุสิต",เรื่องร้องเรียน!AN:AN,"บางโพ")</f>
        <v>0</v>
      </c>
      <c r="J63" s="152">
        <f>COUNTIFS(เรื่องร้องเรียน!E:E,"4",เรื่องร้องเรียน!N:N,"ดุสิต",เรื่องร้องเรียน!AN:AN,"บางโพ",เรื่องร้องเรียน!CL:CL,"1")</f>
        <v>0</v>
      </c>
      <c r="K63" s="152"/>
      <c r="L63" s="152"/>
      <c r="M63" s="117">
        <f>SUM(C63,E63,G63,I63,K63)</f>
        <v>0</v>
      </c>
      <c r="N63" s="122">
        <f>SUM(D63,F63,H63,J63,L63)</f>
        <v>0</v>
      </c>
      <c r="O63" s="153">
        <f>COUNTIFS(เรื่องร้องเรียน!E:E,"1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P63" s="152">
        <f>COUNTIFS(เรื่องร้องเรียน!E:E,"2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Q63" s="152">
        <f>COUNTIFS(เรื่องร้องเรียน!E:E,"3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R63" s="152">
        <f>COUNTIFS(เรื่องร้องเรียน!E:E,"4",เรื่องร้องเรียน!N:N,"ดุสิต",เรื่องร้องเรียน!AN:AN,"บางโพ",เรื่องร้องเรียน!AQ:AQ,"1",เรื่องร้องเรียน!CL:CL,"")</f>
        <v>0</v>
      </c>
      <c r="S63" s="152"/>
      <c r="T63" s="154">
        <f>SUM(O63:S63)</f>
        <v>0</v>
      </c>
      <c r="U63" s="129">
        <f>M63-N63-T63</f>
        <v>0</v>
      </c>
      <c r="W63" s="129">
        <f t="shared" si="3"/>
        <v>0</v>
      </c>
    </row>
    <row r="64" spans="1:23" ht="21.6" thickBot="1">
      <c r="A64" s="130" t="s">
        <v>185</v>
      </c>
      <c r="B64" s="162" t="s">
        <v>152</v>
      </c>
      <c r="C64" s="132">
        <f>SUM(C65:C69 )</f>
        <v>0</v>
      </c>
      <c r="D64" s="131">
        <f>SUM(D65:D69 )</f>
        <v>0</v>
      </c>
      <c r="E64" s="131">
        <f>SUM(E65:E69 )</f>
        <v>0</v>
      </c>
      <c r="F64" s="131">
        <f t="shared" ref="F64:T64" si="21">SUM(F65:F69 )</f>
        <v>0</v>
      </c>
      <c r="G64" s="131">
        <f t="shared" si="21"/>
        <v>0</v>
      </c>
      <c r="H64" s="131">
        <f t="shared" si="21"/>
        <v>0</v>
      </c>
      <c r="I64" s="131">
        <f t="shared" si="21"/>
        <v>0</v>
      </c>
      <c r="J64" s="131">
        <f t="shared" si="21"/>
        <v>0</v>
      </c>
      <c r="K64" s="131">
        <f t="shared" si="21"/>
        <v>0</v>
      </c>
      <c r="L64" s="131">
        <f t="shared" si="21"/>
        <v>0</v>
      </c>
      <c r="M64" s="131">
        <f t="shared" si="21"/>
        <v>0</v>
      </c>
      <c r="N64" s="163">
        <f t="shared" si="21"/>
        <v>0</v>
      </c>
      <c r="O64" s="132">
        <f t="shared" si="21"/>
        <v>0</v>
      </c>
      <c r="P64" s="132">
        <f t="shared" si="21"/>
        <v>0</v>
      </c>
      <c r="Q64" s="132">
        <f t="shared" si="21"/>
        <v>0</v>
      </c>
      <c r="R64" s="132">
        <f t="shared" si="21"/>
        <v>0</v>
      </c>
      <c r="S64" s="132">
        <f t="shared" si="21"/>
        <v>0</v>
      </c>
      <c r="T64" s="132">
        <f t="shared" si="21"/>
        <v>0</v>
      </c>
      <c r="U64" s="134">
        <f t="shared" si="1"/>
        <v>0</v>
      </c>
      <c r="W64" s="135">
        <f t="shared" si="3"/>
        <v>0</v>
      </c>
    </row>
    <row r="65" spans="1:23">
      <c r="A65" s="165"/>
      <c r="B65" s="170" t="s">
        <v>20</v>
      </c>
      <c r="C65" s="140"/>
      <c r="D65" s="138"/>
      <c r="E65" s="138"/>
      <c r="F65" s="138"/>
      <c r="G65" s="138"/>
      <c r="H65" s="138"/>
      <c r="I65" s="138"/>
      <c r="J65" s="138"/>
      <c r="K65" s="138">
        <f>COUNTIFS(เรื่องร้องเรียน!E:E,"5",เรื่องร้องเรียน!N:N,"ตลิ่งชัน")</f>
        <v>0</v>
      </c>
      <c r="L65" s="138">
        <f>COUNTIFS(เรื่องร้องเรียน!E:E,"5",เรื่องร้องเรียน!N:N,"ตลิ่งชัน",เรื่องร้องเรียน!CL:CL,"1")</f>
        <v>0</v>
      </c>
      <c r="M65" s="138">
        <f t="shared" ref="M65:N67" si="22">SUM(C65,E65,G65,I65,K65)</f>
        <v>0</v>
      </c>
      <c r="N65" s="139">
        <f t="shared" si="22"/>
        <v>0</v>
      </c>
      <c r="O65" s="140"/>
      <c r="P65" s="138"/>
      <c r="Q65" s="138"/>
      <c r="R65" s="138"/>
      <c r="S65" s="138">
        <f>COUNTIFS(เรื่องร้องเรียน!E:E,"5",เรื่องร้องเรียน!N:N,"ตลิ่งชัน",เรื่องร้องเรียน!AQ:AQ,"1",เรื่องร้องเรียน!CL:CL,"")</f>
        <v>0</v>
      </c>
      <c r="T65" s="141">
        <f t="shared" si="5"/>
        <v>0</v>
      </c>
      <c r="U65" s="129">
        <f t="shared" si="1"/>
        <v>0</v>
      </c>
      <c r="V65" s="10" t="s">
        <v>127</v>
      </c>
      <c r="W65" s="129">
        <f t="shared" si="3"/>
        <v>0</v>
      </c>
    </row>
    <row r="66" spans="1:23">
      <c r="A66" s="148"/>
      <c r="B66" s="171" t="s">
        <v>185</v>
      </c>
      <c r="C66" s="246">
        <f>COUNTIFS(เรื่องร้องเรียน!E:E,"1",เรื่องร้องเรียน!N:N,"ตลิ่งชัน",เรื่องร้องเรียน!AN:AN,"ตลิ่งชัน")</f>
        <v>0</v>
      </c>
      <c r="D66" s="109">
        <f>COUNTIFS(เรื่องร้องเรียน!E:E,"1",เรื่องร้องเรียน!N:N,"ตลิ่งชัน",เรื่องร้องเรียน!AN:AN,"ตลิ่งชัน",เรื่องร้องเรียน!CL:CL,"1")</f>
        <v>0</v>
      </c>
      <c r="E66" s="109">
        <f>COUNTIFS(เรื่องร้องเรียน!E:E,"2",เรื่องร้องเรียน!N:N,"ตลิ่งชัน",เรื่องร้องเรียน!AN:AN,"ตลิ่งชัน")</f>
        <v>0</v>
      </c>
      <c r="F66" s="109">
        <f>COUNTIFS(เรื่องร้องเรียน!E:E,"2",เรื่องร้องเรียน!N:N,"ตลิ่งชัน",เรื่องร้องเรียน!AN:AN,"ตลิ่งชัน",เรื่องร้องเรียน!CL:CL,"1")</f>
        <v>0</v>
      </c>
      <c r="G66" s="109">
        <f>COUNTIFS(เรื่องร้องเรียน!E:E,"3",เรื่องร้องเรียน!N:N,"ตลิ่งชัน",เรื่องร้องเรียน!AN:AN,"ตลิ่งชัน")</f>
        <v>0</v>
      </c>
      <c r="H66" s="109">
        <f>COUNTIFS(เรื่องร้องเรียน!E:E,"3",เรื่องร้องเรียน!N:N,"ตลิ่งชัน",เรื่องร้องเรียน!AN:AN,"ตลิ่งชัน",เรื่องร้องเรียน!CL:CL,"1")</f>
        <v>0</v>
      </c>
      <c r="I66" s="109">
        <f>COUNTIFS(เรื่องร้องเรียน!E:E,"4",เรื่องร้องเรียน!N:N,"ตลิ่งชัน",เรื่องร้องเรียน!AN:AN,"ตลิ่งชัน")</f>
        <v>0</v>
      </c>
      <c r="J66" s="144">
        <f>COUNTIFS(เรื่องร้องเรียน!E:E,"4",เรื่องร้องเรียน!N:N,"ตลิ่งชัน",เรื่องร้องเรียน!AN:AN,"ตลิ่งชัน",เรื่องร้องเรียน!CL:CL,"1")</f>
        <v>0</v>
      </c>
      <c r="K66" s="144"/>
      <c r="L66" s="144"/>
      <c r="M66" s="109">
        <f t="shared" si="22"/>
        <v>0</v>
      </c>
      <c r="N66" s="145">
        <f t="shared" si="22"/>
        <v>0</v>
      </c>
      <c r="O66" s="146">
        <f>COUNTIFS(เรื่องร้องเรียน!E:E,"1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P66" s="144">
        <f>COUNTIFS(เรื่องร้องเรียน!E:E,"2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Q66" s="144">
        <f>COUNTIFS(เรื่องร้องเรียน!E:E,"3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R66" s="144">
        <f>COUNTIFS(เรื่องร้องเรียน!E:E,"4",เรื่องร้องเรียน!N:N,"ตลิ่งชัน",เรื่องร้องเรียน!AN:AN,"ตลิ่งชัน",เรื่องร้องเรียน!AQ:AQ,"1",เรื่องร้องเรียน!CL:CL,"")</f>
        <v>0</v>
      </c>
      <c r="S66" s="144"/>
      <c r="T66" s="147">
        <f t="shared" si="5"/>
        <v>0</v>
      </c>
      <c r="U66" s="129">
        <f t="shared" si="1"/>
        <v>0</v>
      </c>
      <c r="W66" s="129">
        <f t="shared" si="3"/>
        <v>0</v>
      </c>
    </row>
    <row r="67" spans="1:23">
      <c r="A67" s="150"/>
      <c r="B67" s="177" t="s">
        <v>190</v>
      </c>
      <c r="C67" s="123">
        <f>COUNTIFS(เรื่องร้องเรียน!E:E,"1",เรื่องร้องเรียน!N:N,"ตลิ่งชัน",เรื่องร้องเรียน!AN:AN,"บางเสาธง")</f>
        <v>0</v>
      </c>
      <c r="D67" s="117">
        <f>COUNTIFS(เรื่องร้องเรียน!E:E,"1",เรื่องร้องเรียน!N:N,"ตลิ่งชัน",เรื่องร้องเรียน!AN:AN,"บางเสาธง",เรื่องร้องเรียน!CL:CL,"1")</f>
        <v>0</v>
      </c>
      <c r="E67" s="117">
        <f>COUNTIFS(เรื่องร้องเรียน!E:E,"2",เรื่องร้องเรียน!N:N,"ตลิ่งชัน",เรื่องร้องเรียน!AN:AN,"บางเสาธง")</f>
        <v>0</v>
      </c>
      <c r="F67" s="117">
        <f>COUNTIFS(เรื่องร้องเรียน!E:E,"2",เรื่องร้องเรียน!N:N,"ตลิ่งชัน",เรื่องร้องเรียน!AN:AN,"บางเสาธง",เรื่องร้องเรียน!CL:CL,"1")</f>
        <v>0</v>
      </c>
      <c r="G67" s="117">
        <f>COUNTIFS(เรื่องร้องเรียน!E:E,"3",เรื่องร้องเรียน!N:N,"ตลิ่งชัน",เรื่องร้องเรียน!AN:AN,"บางเสาธง")</f>
        <v>0</v>
      </c>
      <c r="H67" s="117">
        <f>COUNTIFS(เรื่องร้องเรียน!E:E,"3",เรื่องร้องเรียน!N:N,"ตลิ่งชัน",เรื่องร้องเรียน!AN:AN,"บางเสาธง",เรื่องร้องเรียน!CL:CL,"1")</f>
        <v>0</v>
      </c>
      <c r="I67" s="117">
        <f>COUNTIFS(เรื่องร้องเรียน!E:E,"4",เรื่องร้องเรียน!N:N,"ตลิ่งชัน",เรื่องร้องเรียน!AN:AN,"บางเสาธง")</f>
        <v>0</v>
      </c>
      <c r="J67" s="152">
        <f>COUNTIFS(เรื่องร้องเรียน!E:E,"4",เรื่องร้องเรียน!N:N,"ตลิ่งชัน",เรื่องร้องเรียน!AN:AN,"บางเสาธง",เรื่องร้องเรียน!CL:CL,"1")</f>
        <v>0</v>
      </c>
      <c r="K67" s="152"/>
      <c r="L67" s="152"/>
      <c r="M67" s="117">
        <f t="shared" si="22"/>
        <v>0</v>
      </c>
      <c r="N67" s="122">
        <f t="shared" si="22"/>
        <v>0</v>
      </c>
      <c r="O67" s="153">
        <f>COUNTIFS(เรื่องร้องเรียน!E:E,"1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P67" s="152">
        <f>COUNTIFS(เรื่องร้องเรียน!E:E,"2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Q67" s="152">
        <f>COUNTIFS(เรื่องร้องเรียน!E:E,"3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R67" s="152">
        <f>COUNTIFS(เรื่องร้องเรียน!E:E,"4",เรื่องร้องเรียน!N:N,"ตลิ่งชัน",เรื่องร้องเรียน!AN:AN,"บางเสาธง",เรื่องร้องเรียน!AQ:AQ,"1",เรื่องร้องเรียน!CL:CL,"")</f>
        <v>0</v>
      </c>
      <c r="S67" s="152"/>
      <c r="T67" s="154">
        <f t="shared" si="5"/>
        <v>0</v>
      </c>
      <c r="U67" s="129">
        <f t="shared" si="1"/>
        <v>0</v>
      </c>
      <c r="W67" s="129">
        <f t="shared" si="3"/>
        <v>0</v>
      </c>
    </row>
    <row r="68" spans="1:23">
      <c r="A68" s="168"/>
      <c r="B68" s="171" t="s">
        <v>127</v>
      </c>
      <c r="C68" s="123">
        <f>COUNTIFS(เรื่องร้องเรียน!E:E,"1",เรื่องร้องเรียน!N:N,"ตลิ่งชัน",เรื่องร้องเรียน!AN:AN,"บางยี่ขัน")</f>
        <v>0</v>
      </c>
      <c r="D68" s="117">
        <f>COUNTIFS(เรื่องร้องเรียน!E:E,"1",เรื่องร้องเรียน!N:N,"ตลิ่งชัน",เรื่องร้องเรียน!AN:AN,"บางยี่ขัน",เรื่องร้องเรียน!CL:CL,"1")</f>
        <v>0</v>
      </c>
      <c r="E68" s="117">
        <f>COUNTIFS(เรื่องร้องเรียน!E:E,"2",เรื่องร้องเรียน!N:N,"ตลิ่งชัน",เรื่องร้องเรียน!AN:AN,"บางยี่ขัน")</f>
        <v>0</v>
      </c>
      <c r="F68" s="117">
        <f>COUNTIFS(เรื่องร้องเรียน!E:E,"2",เรื่องร้องเรียน!N:N,"ตลิ่งชัน",เรื่องร้องเรียน!AN:AN,"บางยี่ขัน",เรื่องร้องเรียน!CL:CL,"1")</f>
        <v>0</v>
      </c>
      <c r="G68" s="117">
        <f>COUNTIFS(เรื่องร้องเรียน!E:E,"3",เรื่องร้องเรียน!N:N,"ตลิ่งชัน",เรื่องร้องเรียน!AN:AN,"บางยี่ขัน")</f>
        <v>0</v>
      </c>
      <c r="H68" s="117">
        <f>COUNTIFS(เรื่องร้องเรียน!E:E,"3",เรื่องร้องเรียน!N:N,"ตลิ่งชัน",เรื่องร้องเรียน!AN:AN,"บางยี่ขัน",เรื่องร้องเรียน!CL:CL,"1")</f>
        <v>0</v>
      </c>
      <c r="I68" s="117">
        <f>COUNTIFS(เรื่องร้องเรียน!E:E,"4",เรื่องร้องเรียน!N:N,"ตลิ่งชัน",เรื่องร้องเรียน!AN:AN,"บางยี่ขัน")</f>
        <v>0</v>
      </c>
      <c r="J68" s="152">
        <f>COUNTIFS(เรื่องร้องเรียน!E:E,"4",เรื่องร้องเรียน!N:N,"ตลิ่งชัน",เรื่องร้องเรียน!AN:AN,"บางยี่ขัน",เรื่องร้องเรียน!CL:CL,"1")</f>
        <v>0</v>
      </c>
      <c r="K68" s="152"/>
      <c r="L68" s="152"/>
      <c r="M68" s="117">
        <f>SUM(C68,E68,G68,I68,K68)</f>
        <v>0</v>
      </c>
      <c r="N68" s="122">
        <f>SUM(D68,F68,H68,J68,L68)</f>
        <v>0</v>
      </c>
      <c r="O68" s="153">
        <f>COUNTIFS(เรื่องร้องเรียน!E:E,"1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P68" s="152">
        <f>COUNTIFS(เรื่องร้องเรียน!E:E,"2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Q68" s="152">
        <f>COUNTIFS(เรื่องร้องเรียน!E:E,"3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R68" s="152">
        <f>COUNTIFS(เรื่องร้องเรียน!E:E,"4",เรื่องร้องเรียน!N:N,"ตลิ่งชัน",เรื่องร้องเรียน!AN:AN,"บางยี่ขัน",เรื่องร้องเรียน!AQ:AQ,"1",เรื่องร้องเรียน!CL:CL,"")</f>
        <v>0</v>
      </c>
      <c r="S68" s="152"/>
      <c r="T68" s="154">
        <f>SUM(O68:S68)</f>
        <v>0</v>
      </c>
      <c r="U68" s="129">
        <f>M68-N68-T68</f>
        <v>0</v>
      </c>
      <c r="W68" s="129">
        <f t="shared" si="3"/>
        <v>0</v>
      </c>
    </row>
    <row r="69" spans="1:23" ht="21.6" thickBot="1">
      <c r="A69" s="168"/>
      <c r="B69" s="162" t="s">
        <v>187</v>
      </c>
      <c r="C69" s="123">
        <f>COUNTIFS(เรื่องร้องเรียน!E:E,"1",เรื่องร้องเรียน!N:N,"ตลิ่งชัน",เรื่องร้องเรียน!AN:AN,"ธรรมศาลา")</f>
        <v>0</v>
      </c>
      <c r="D69" s="117">
        <f>COUNTIFS(เรื่องร้องเรียน!E:E,"1",เรื่องร้องเรียน!N:N,"ตลิ่งชัน",เรื่องร้องเรียน!AN:AN,"ธรรมศาลา",เรื่องร้องเรียน!CL:CL,"1")</f>
        <v>0</v>
      </c>
      <c r="E69" s="117">
        <f>COUNTIFS(เรื่องร้องเรียน!E:E,"2",เรื่องร้องเรียน!N:N,"ตลิ่งชัน",เรื่องร้องเรียน!AN:AN,"ธรรมศาลา")</f>
        <v>0</v>
      </c>
      <c r="F69" s="117">
        <f>COUNTIFS(เรื่องร้องเรียน!E:E,"2",เรื่องร้องเรียน!N:N,"ตลิ่งชัน",เรื่องร้องเรียน!AN:AN,"ธรรมศาลา",เรื่องร้องเรียน!CL:CL,"1")</f>
        <v>0</v>
      </c>
      <c r="G69" s="117">
        <f>COUNTIFS(เรื่องร้องเรียน!E:E,"3",เรื่องร้องเรียน!N:N,"ตลิ่งชัน",เรื่องร้องเรียน!AN:AN,"ธรรมศาลา")</f>
        <v>0</v>
      </c>
      <c r="H69" s="117">
        <f>COUNTIFS(เรื่องร้องเรียน!E:E,"3",เรื่องร้องเรียน!N:N,"ตลิ่งชัน",เรื่องร้องเรียน!AN:AN,"ธรรมศาลา",เรื่องร้องเรียน!CL:CL,"1")</f>
        <v>0</v>
      </c>
      <c r="I69" s="117">
        <f>COUNTIFS(เรื่องร้องเรียน!E:E,"4",เรื่องร้องเรียน!N:N,"ตลิ่งชัน",เรื่องร้องเรียน!AN:AN,"ธรรมศาลา")</f>
        <v>0</v>
      </c>
      <c r="J69" s="152">
        <f>COUNTIFS(เรื่องร้องเรียน!E:E,"4",เรื่องร้องเรียน!N:N,"ตลิ่งชัน",เรื่องร้องเรียน!AN:AN,"ธรรมศาลา",เรื่องร้องเรียน!CL:CL,"1")</f>
        <v>0</v>
      </c>
      <c r="K69" s="152"/>
      <c r="L69" s="152"/>
      <c r="M69" s="117">
        <f>SUM(C69,E69,G69,I69,K69)</f>
        <v>0</v>
      </c>
      <c r="N69" s="122">
        <f>SUM(D69,F69,H69,J69,L69)</f>
        <v>0</v>
      </c>
      <c r="O69" s="153">
        <f>COUNTIFS(เรื่องร้องเรียน!E:E,"1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P69" s="152">
        <f>COUNTIFS(เรื่องร้องเรียน!E:E,"2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Q69" s="152">
        <f>COUNTIFS(เรื่องร้องเรียน!E:E,"3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R69" s="152">
        <f>COUNTIFS(เรื่องร้องเรียน!E:E,"4",เรื่องร้องเรียน!N:N,"ตลิ่งชัน",เรื่องร้องเรียน!AN:AN,"ธรรมศาลา",เรื่องร้องเรียน!AQ:AQ,"1",เรื่องร้องเรียน!CL:CL,"")</f>
        <v>0</v>
      </c>
      <c r="S69" s="152"/>
      <c r="T69" s="154">
        <f>SUM(O69:S69)</f>
        <v>0</v>
      </c>
      <c r="U69" s="129">
        <f>M69-N69-T69</f>
        <v>0</v>
      </c>
      <c r="W69" s="129">
        <f t="shared" si="3"/>
        <v>0</v>
      </c>
    </row>
    <row r="70" spans="1:23" ht="21.6" thickBot="1">
      <c r="A70" s="130" t="s">
        <v>203</v>
      </c>
      <c r="B70" s="169" t="s">
        <v>152</v>
      </c>
      <c r="C70" s="132">
        <f t="shared" ref="C70:T70" si="23">SUM(C71:C75)</f>
        <v>0</v>
      </c>
      <c r="D70" s="131">
        <f t="shared" si="23"/>
        <v>0</v>
      </c>
      <c r="E70" s="131">
        <f t="shared" si="23"/>
        <v>0</v>
      </c>
      <c r="F70" s="131">
        <f t="shared" si="23"/>
        <v>0</v>
      </c>
      <c r="G70" s="131">
        <f t="shared" si="23"/>
        <v>0</v>
      </c>
      <c r="H70" s="131">
        <f t="shared" si="23"/>
        <v>0</v>
      </c>
      <c r="I70" s="131">
        <f t="shared" si="23"/>
        <v>0</v>
      </c>
      <c r="J70" s="131">
        <f t="shared" si="23"/>
        <v>0</v>
      </c>
      <c r="K70" s="131">
        <f t="shared" si="23"/>
        <v>0</v>
      </c>
      <c r="L70" s="131">
        <f t="shared" si="23"/>
        <v>0</v>
      </c>
      <c r="M70" s="131">
        <f t="shared" si="23"/>
        <v>0</v>
      </c>
      <c r="N70" s="163">
        <f t="shared" si="23"/>
        <v>0</v>
      </c>
      <c r="O70" s="132">
        <f t="shared" si="23"/>
        <v>0</v>
      </c>
      <c r="P70" s="132">
        <f t="shared" si="23"/>
        <v>0</v>
      </c>
      <c r="Q70" s="132">
        <f t="shared" si="23"/>
        <v>0</v>
      </c>
      <c r="R70" s="132">
        <f t="shared" si="23"/>
        <v>0</v>
      </c>
      <c r="S70" s="132">
        <f t="shared" si="23"/>
        <v>0</v>
      </c>
      <c r="T70" s="133">
        <f t="shared" si="23"/>
        <v>0</v>
      </c>
      <c r="U70" s="134">
        <f t="shared" si="1"/>
        <v>0</v>
      </c>
      <c r="W70" s="135">
        <f t="shared" si="3"/>
        <v>0</v>
      </c>
    </row>
    <row r="71" spans="1:23">
      <c r="A71" s="165"/>
      <c r="B71" s="170" t="s">
        <v>20</v>
      </c>
      <c r="C71" s="140"/>
      <c r="D71" s="138"/>
      <c r="E71" s="138"/>
      <c r="F71" s="138"/>
      <c r="G71" s="138"/>
      <c r="H71" s="138"/>
      <c r="I71" s="138"/>
      <c r="J71" s="138"/>
      <c r="K71" s="138">
        <f>COUNTIFS(เรื่องร้องเรียน!E:E,"5",เรื่องร้องเรียน!N:N,"ทวีวัฒนา")</f>
        <v>0</v>
      </c>
      <c r="L71" s="138">
        <f>COUNTIFS(เรื่องร้องเรียน!E:E,"5",เรื่องร้องเรียน!N:N,"ทวีวัฒนา",เรื่องร้องเรียน!CL:CL,"1")</f>
        <v>0</v>
      </c>
      <c r="M71" s="138">
        <f t="shared" ref="M71:N73" si="24">SUM(C71,E71,G71,I71,K71)</f>
        <v>0</v>
      </c>
      <c r="N71" s="139">
        <f t="shared" si="24"/>
        <v>0</v>
      </c>
      <c r="O71" s="140"/>
      <c r="P71" s="138"/>
      <c r="Q71" s="138"/>
      <c r="R71" s="138"/>
      <c r="S71" s="138">
        <f>COUNTIFS(เรื่องร้องเรียน!E:E,"5",เรื่องร้องเรียน!N:N,"ทวีวัฒนา",เรื่องร้องเรียน!AQ:AQ,"1",เรื่องร้องเรียน!CL:CL,"")</f>
        <v>0</v>
      </c>
      <c r="T71" s="141">
        <f t="shared" si="5"/>
        <v>0</v>
      </c>
      <c r="U71" s="129">
        <f t="shared" si="1"/>
        <v>0</v>
      </c>
      <c r="V71" s="10" t="s">
        <v>135</v>
      </c>
      <c r="W71" s="129">
        <f t="shared" si="3"/>
        <v>0</v>
      </c>
    </row>
    <row r="72" spans="1:23">
      <c r="A72" s="148"/>
      <c r="B72" s="171" t="s">
        <v>187</v>
      </c>
      <c r="C72" s="246">
        <f>COUNTIFS(เรื่องร้องเรียน!E:E,"1",เรื่องร้องเรียน!N:N,"ทวีวัฒนา",เรื่องร้องเรียน!AN:AN,"ธรรมศาลา")</f>
        <v>0</v>
      </c>
      <c r="D72" s="109">
        <f>COUNTIFS(เรื่องร้องเรียน!E:E,"1",เรื่องร้องเรียน!N:N,"ทวีวัฒนา",เรื่องร้องเรียน!AN:AN,"ธรรมศาลา",เรื่องร้องเรียน!CL:CL,"1")</f>
        <v>0</v>
      </c>
      <c r="E72" s="109">
        <f>COUNTIFS(เรื่องร้องเรียน!E:E,"2",เรื่องร้องเรียน!N:N,"ทวีวัฒนา",เรื่องร้องเรียน!AN:AN,"ธรรมศาลา")</f>
        <v>0</v>
      </c>
      <c r="F72" s="109">
        <f>COUNTIFS(เรื่องร้องเรียน!E:E,"2",เรื่องร้องเรียน!N:N,"ทวีวัฒนา",เรื่องร้องเรียน!AN:AN,"ธรรมศาลา",เรื่องร้องเรียน!CL:CL,"1")</f>
        <v>0</v>
      </c>
      <c r="G72" s="109">
        <f>COUNTIFS(เรื่องร้องเรียน!E:E,"3",เรื่องร้องเรียน!N:N,"ทวีวัฒนา",เรื่องร้องเรียน!AN:AN,"ธรรมศาลา")</f>
        <v>0</v>
      </c>
      <c r="H72" s="109">
        <f>COUNTIFS(เรื่องร้องเรียน!E:E,"3",เรื่องร้องเรียน!N:N,"ทวีวัฒนา",เรื่องร้องเรียน!AN:AN,"ธรรมศาลา",เรื่องร้องเรียน!CL:CL,"1")</f>
        <v>0</v>
      </c>
      <c r="I72" s="109">
        <f>COUNTIFS(เรื่องร้องเรียน!E:E,"4",เรื่องร้องเรียน!N:N,"ทวีวัฒนา",เรื่องร้องเรียน!AN:AN,"ธรรมศาลา")</f>
        <v>0</v>
      </c>
      <c r="J72" s="144">
        <f>COUNTIFS(เรื่องร้องเรียน!E:E,"4",เรื่องร้องเรียน!N:N,"ทวีวัฒนา",เรื่องร้องเรียน!AN:AN,"ธรรมศาลา",เรื่องร้องเรียน!CL:CL,"1")</f>
        <v>0</v>
      </c>
      <c r="K72" s="144"/>
      <c r="L72" s="144"/>
      <c r="M72" s="109">
        <f t="shared" si="24"/>
        <v>0</v>
      </c>
      <c r="N72" s="145">
        <f t="shared" si="24"/>
        <v>0</v>
      </c>
      <c r="O72" s="146">
        <f>COUNTIFS(เรื่องร้องเรียน!E:E,"1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P72" s="144">
        <f>COUNTIFS(เรื่องร้องเรียน!E:E,"2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Q72" s="144">
        <f>COUNTIFS(เรื่องร้องเรียน!E:E,"3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R72" s="144">
        <f>COUNTIFS(เรื่องร้องเรียน!E:E,"4",เรื่องร้องเรียน!N:N,"ทวีวัฒนา",เรื่องร้องเรียน!AN:AN,"ธรรมศาลา",เรื่องร้องเรียน!AQ:AQ,"1",เรื่องร้องเรียน!CL:CL,"")</f>
        <v>0</v>
      </c>
      <c r="S72" s="144"/>
      <c r="T72" s="147">
        <f t="shared" si="5"/>
        <v>0</v>
      </c>
      <c r="U72" s="129">
        <f t="shared" si="1"/>
        <v>0</v>
      </c>
      <c r="V72" s="10" t="s">
        <v>190</v>
      </c>
      <c r="W72" s="129">
        <f t="shared" si="3"/>
        <v>0</v>
      </c>
    </row>
    <row r="73" spans="1:23" ht="22.5" customHeight="1">
      <c r="A73" s="148"/>
      <c r="B73" s="177" t="s">
        <v>191</v>
      </c>
      <c r="C73" s="123">
        <f>COUNTIFS(เรื่องร้องเรียน!E:E,"1",เรื่องร้องเรียน!N:N,"ทวีวัฒนา",เรื่องร้องเรียน!AN:AN,"ศาลาแดง")</f>
        <v>0</v>
      </c>
      <c r="D73" s="117">
        <f>COUNTIFS(เรื่องร้องเรียน!E:E,"1",เรื่องร้องเรียน!N:N,"ทวีวัฒนา",เรื่องร้องเรียน!AN:AN,"ศาลาแดง",เรื่องร้องเรียน!CL:CL,"1")</f>
        <v>0</v>
      </c>
      <c r="E73" s="117">
        <f>COUNTIFS(เรื่องร้องเรียน!E:E,"2",เรื่องร้องเรียน!N:N,"ทวีวัฒนา",เรื่องร้องเรียน!AN:AN,"ศาลาแดง")</f>
        <v>0</v>
      </c>
      <c r="F73" s="117">
        <f>COUNTIFS(เรื่องร้องเรียน!E:E,"2",เรื่องร้องเรียน!N:N,"ทวีวัฒนา",เรื่องร้องเรียน!AN:AN,"ศาลาแดง",เรื่องร้องเรียน!CL:CL,"1")</f>
        <v>0</v>
      </c>
      <c r="G73" s="117">
        <f>COUNTIFS(เรื่องร้องเรียน!E:E,"3",เรื่องร้องเรียน!N:N,"ทวีวัฒนา",เรื่องร้องเรียน!AN:AN,"ศาลาแดง")</f>
        <v>0</v>
      </c>
      <c r="H73" s="117">
        <f>COUNTIFS(เรื่องร้องเรียน!E:E,"3",เรื่องร้องเรียน!N:N,"ทวีวัฒนา",เรื่องร้องเรียน!AN:AN,"ศาลาแดง",เรื่องร้องเรียน!CL:CL,"1")</f>
        <v>0</v>
      </c>
      <c r="I73" s="117">
        <f>COUNTIFS(เรื่องร้องเรียน!E:E,"4",เรื่องร้องเรียน!N:N,"ทวีวัฒนา",เรื่องร้องเรียน!AN:AN,"ศาลาแดง")</f>
        <v>0</v>
      </c>
      <c r="J73" s="152">
        <f>COUNTIFS(เรื่องร้องเรียน!E:E,"4",เรื่องร้องเรียน!N:N,"ทวีวัฒนา",เรื่องร้องเรียน!AN:AN,"ศาลาแดง",เรื่องร้องเรียน!CL:CL,"1")</f>
        <v>0</v>
      </c>
      <c r="K73" s="152"/>
      <c r="L73" s="152"/>
      <c r="M73" s="117">
        <f t="shared" si="24"/>
        <v>0</v>
      </c>
      <c r="N73" s="122">
        <f t="shared" si="24"/>
        <v>0</v>
      </c>
      <c r="O73" s="153">
        <f>COUNTIFS(เรื่องร้องเรียน!E:E,"1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P73" s="152">
        <f>COUNTIFS(เรื่องร้องเรียน!E:E,"2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Q73" s="152">
        <f>COUNTIFS(เรื่องร้องเรียน!E:E,"3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R73" s="152">
        <f>COUNTIFS(เรื่องร้องเรียน!E:E,"4",เรื่องร้องเรียน!N:N,"ทวีวัฒนา",เรื่องร้องเรียน!AN:AN,"ศาลาแดง",เรื่องร้องเรียน!AQ:AQ,"1",เรื่องร้องเรียน!CL:CL,"")</f>
        <v>0</v>
      </c>
      <c r="S73" s="152"/>
      <c r="T73" s="154">
        <f t="shared" si="5"/>
        <v>0</v>
      </c>
      <c r="U73" s="129">
        <f t="shared" si="1"/>
        <v>0</v>
      </c>
      <c r="W73" s="129">
        <f t="shared" ref="W73:W140" si="25">SUM(M73-N73)</f>
        <v>0</v>
      </c>
    </row>
    <row r="74" spans="1:23" ht="22.5" customHeight="1">
      <c r="A74" s="148"/>
      <c r="B74" s="171" t="s">
        <v>135</v>
      </c>
      <c r="C74" s="123">
        <f>COUNTIFS(เรื่องร้องเรียน!E:E,"1",เรื่องร้องเรียน!N:N,"ทวีวัฒนา",เรื่องร้องเรียน!AN:AN,"หนองค้างพลู")</f>
        <v>0</v>
      </c>
      <c r="D74" s="117">
        <f>COUNTIFS(เรื่องร้องเรียน!E:E,"1",เรื่องร้องเรียน!N:N,"ทวีวัฒนา",เรื่องร้องเรียน!AN:AN,"หนองค้างพลู",เรื่องร้องเรียน!CL:CL,"1")</f>
        <v>0</v>
      </c>
      <c r="E74" s="117">
        <f>COUNTIFS(เรื่องร้องเรียน!E:E,"2",เรื่องร้องเรียน!N:N,"ทวีวัฒนา",เรื่องร้องเรียน!AN:AN,"หนองค้างพลู")</f>
        <v>0</v>
      </c>
      <c r="F74" s="117">
        <f>COUNTIFS(เรื่องร้องเรียน!E:E,"2",เรื่องร้องเรียน!N:N,"ทวีวัฒนา",เรื่องร้องเรียน!AN:AN,"หนองค้างพลู",เรื่องร้องเรียน!CL:CL,"1")</f>
        <v>0</v>
      </c>
      <c r="G74" s="117">
        <f>COUNTIFS(เรื่องร้องเรียน!E:E,"3",เรื่องร้องเรียน!N:N,"ทวีวัฒนา",เรื่องร้องเรียน!AN:AN,"หนองค้างพลู")</f>
        <v>0</v>
      </c>
      <c r="H74" s="117">
        <f>COUNTIFS(เรื่องร้องเรียน!E:E,"3",เรื่องร้องเรียน!N:N,"ทวีวัฒนา",เรื่องร้องเรียน!AN:AN,"หนองค้างพลู",เรื่องร้องเรียน!CL:CL,"1")</f>
        <v>0</v>
      </c>
      <c r="I74" s="117">
        <f>COUNTIFS(เรื่องร้องเรียน!E:E,"4",เรื่องร้องเรียน!N:N,"ทวีวัฒนา",เรื่องร้องเรียน!AN:AN,"หนองค้างพลู")</f>
        <v>0</v>
      </c>
      <c r="J74" s="152">
        <f>COUNTIFS(เรื่องร้องเรียน!E:E,"4",เรื่องร้องเรียน!N:N,"ทวีวัฒนา",เรื่องร้องเรียน!AN:AN,"หนองค้างพลู",เรื่องร้องเรียน!CL:CL,"1")</f>
        <v>0</v>
      </c>
      <c r="K74" s="152"/>
      <c r="L74" s="152"/>
      <c r="M74" s="117">
        <f>SUM(C74,E74,G74,I74,K74)</f>
        <v>0</v>
      </c>
      <c r="N74" s="122">
        <f>SUM(D74,F74,H74,J74,L74)</f>
        <v>0</v>
      </c>
      <c r="O74" s="153">
        <f>COUNTIFS(เรื่องร้องเรียน!E:E,"1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P74" s="152">
        <f>COUNTIFS(เรื่องร้องเรียน!E:E,"2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Q74" s="152">
        <f>COUNTIFS(เรื่องร้องเรียน!E:E,"3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R74" s="152">
        <f>COUNTIFS(เรื่องร้องเรียน!E:E,"4",เรื่องร้องเรียน!N:N,"ทวีวัฒนา",เรื่องร้องเรียน!AN:AN,"หนองค้างพลู",เรื่องร้องเรียน!AQ:AQ,"1",เรื่องร้องเรียน!CL:CL,"")</f>
        <v>0</v>
      </c>
      <c r="S74" s="152"/>
      <c r="T74" s="154">
        <f>SUM(O74:S74)</f>
        <v>0</v>
      </c>
      <c r="U74" s="129">
        <f>M74-N74-T74</f>
        <v>0</v>
      </c>
      <c r="W74" s="129">
        <f t="shared" si="25"/>
        <v>0</v>
      </c>
    </row>
    <row r="75" spans="1:23" ht="22.5" customHeight="1" thickBot="1">
      <c r="A75" s="174"/>
      <c r="B75" s="172" t="s">
        <v>190</v>
      </c>
      <c r="C75" s="123">
        <f>COUNTIFS(เรื่องร้องเรียน!E:E,"1",เรื่องร้องเรียน!N:N,"ทวีวัฒนา",เรื่องร้องเรียน!AN:AN,"บางเสาธง")</f>
        <v>0</v>
      </c>
      <c r="D75" s="117">
        <f>COUNTIFS(เรื่องร้องเรียน!E:E,"1",เรื่องร้องเรียน!N:N,"ทวีวัฒนา",เรื่องร้องเรียน!AN:AN,"บางเสาธง",เรื่องร้องเรียน!CL:CL,"1")</f>
        <v>0</v>
      </c>
      <c r="E75" s="117">
        <f>COUNTIFS(เรื่องร้องเรียน!E:E,"2",เรื่องร้องเรียน!N:N,"ทวีวัฒนา",เรื่องร้องเรียน!AN:AN,"บางเสาธง")</f>
        <v>0</v>
      </c>
      <c r="F75" s="117">
        <f>COUNTIFS(เรื่องร้องเรียน!E:E,"2",เรื่องร้องเรียน!N:N,"ทวีวัฒนา",เรื่องร้องเรียน!AN:AN,"บางเสาธง",เรื่องร้องเรียน!CL:CL,"1")</f>
        <v>0</v>
      </c>
      <c r="G75" s="117">
        <f>COUNTIFS(เรื่องร้องเรียน!E:E,"3",เรื่องร้องเรียน!N:N,"ทวีวัฒนา",เรื่องร้องเรียน!AN:AN,"บางเสาธง")</f>
        <v>0</v>
      </c>
      <c r="H75" s="117">
        <f>COUNTIFS(เรื่องร้องเรียน!E:E,"3",เรื่องร้องเรียน!N:N,"ทวีวัฒนา",เรื่องร้องเรียน!AN:AN,"บางเสาธง",เรื่องร้องเรียน!CL:CL,"1")</f>
        <v>0</v>
      </c>
      <c r="I75" s="117">
        <f>COUNTIFS(เรื่องร้องเรียน!E:E,"4",เรื่องร้องเรียน!N:N,"ทวีวัฒนา",เรื่องร้องเรียน!AN:AN,"บางเสาธง")</f>
        <v>0</v>
      </c>
      <c r="J75" s="152">
        <f>COUNTIFS(เรื่องร้องเรียน!E:E,"4",เรื่องร้องเรียน!N:N,"ทวีวัฒนา",เรื่องร้องเรียน!AN:AN,"บางเสาธง",เรื่องร้องเรียน!CL:CL,"1")</f>
        <v>0</v>
      </c>
      <c r="K75" s="152"/>
      <c r="L75" s="152"/>
      <c r="M75" s="117">
        <f>SUM(C75,E75,G75,I75,K75)</f>
        <v>0</v>
      </c>
      <c r="N75" s="122">
        <f>SUM(D75,F75,H75,J75,L75)</f>
        <v>0</v>
      </c>
      <c r="O75" s="153">
        <f>COUNTIFS(เรื่องร้องเรียน!E:E,"1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P75" s="152">
        <f>COUNTIFS(เรื่องร้องเรียน!E:E,"2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Q75" s="152">
        <f>COUNTIFS(เรื่องร้องเรียน!E:E,"3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R75" s="152">
        <f>COUNTIFS(เรื่องร้องเรียน!E:E,"4",เรื่องร้องเรียน!N:N,"ทวีวัฒนา",เรื่องร้องเรียน!AN:AN,"บางเสาธง",เรื่องร้องเรียน!AQ:AQ,"1",เรื่องร้องเรียน!CL:CL,"")</f>
        <v>0</v>
      </c>
      <c r="S75" s="152"/>
      <c r="T75" s="154">
        <f>SUM(O75:S75)</f>
        <v>0</v>
      </c>
      <c r="U75" s="129">
        <f>M75-N75-T75</f>
        <v>0</v>
      </c>
      <c r="W75" s="129">
        <f t="shared" si="25"/>
        <v>0</v>
      </c>
    </row>
    <row r="76" spans="1:23" ht="21.6" thickBot="1">
      <c r="A76" s="130" t="s">
        <v>194</v>
      </c>
      <c r="B76" s="162" t="s">
        <v>152</v>
      </c>
      <c r="C76" s="132">
        <f>SUM(C77:C80)</f>
        <v>0</v>
      </c>
      <c r="D76" s="131">
        <f t="shared" ref="D76:N76" si="26">SUM(D77:D80)</f>
        <v>0</v>
      </c>
      <c r="E76" s="131">
        <f t="shared" si="26"/>
        <v>0</v>
      </c>
      <c r="F76" s="131">
        <f t="shared" si="26"/>
        <v>0</v>
      </c>
      <c r="G76" s="131">
        <f t="shared" si="26"/>
        <v>0</v>
      </c>
      <c r="H76" s="131">
        <f t="shared" si="26"/>
        <v>0</v>
      </c>
      <c r="I76" s="131">
        <f t="shared" si="26"/>
        <v>0</v>
      </c>
      <c r="J76" s="131">
        <f t="shared" si="26"/>
        <v>0</v>
      </c>
      <c r="K76" s="131">
        <f t="shared" si="26"/>
        <v>0</v>
      </c>
      <c r="L76" s="131">
        <f t="shared" si="26"/>
        <v>0</v>
      </c>
      <c r="M76" s="131">
        <f t="shared" si="26"/>
        <v>0</v>
      </c>
      <c r="N76" s="163">
        <f t="shared" si="26"/>
        <v>0</v>
      </c>
      <c r="O76" s="132">
        <f t="shared" ref="O76:T76" si="27">SUM(O77:O80 )</f>
        <v>0</v>
      </c>
      <c r="P76" s="132">
        <f t="shared" si="27"/>
        <v>0</v>
      </c>
      <c r="Q76" s="132">
        <f t="shared" si="27"/>
        <v>0</v>
      </c>
      <c r="R76" s="132">
        <f t="shared" si="27"/>
        <v>0</v>
      </c>
      <c r="S76" s="132">
        <f t="shared" si="27"/>
        <v>0</v>
      </c>
      <c r="T76" s="133">
        <f t="shared" si="27"/>
        <v>0</v>
      </c>
      <c r="U76" s="134">
        <f t="shared" si="1"/>
        <v>0</v>
      </c>
      <c r="W76" s="135">
        <f t="shared" si="25"/>
        <v>0</v>
      </c>
    </row>
    <row r="77" spans="1:23">
      <c r="A77" s="173"/>
      <c r="B77" s="170" t="s">
        <v>20</v>
      </c>
      <c r="C77" s="140"/>
      <c r="D77" s="138"/>
      <c r="E77" s="138"/>
      <c r="F77" s="138"/>
      <c r="G77" s="138"/>
      <c r="H77" s="138"/>
      <c r="I77" s="138"/>
      <c r="J77" s="138"/>
      <c r="K77" s="138">
        <f>COUNTIFS(เรื่องร้องเรียน!E:E,"5",เรื่องร้องเรียน!N:N,"ทุ่งครุ")</f>
        <v>0</v>
      </c>
      <c r="L77" s="138">
        <f>COUNTIFS(เรื่องร้องเรียน!E:E,"5",เรื่องร้องเรียน!N:N,"ทุ่งครุ",เรื่องร้องเรียน!CL:CL,"1")</f>
        <v>0</v>
      </c>
      <c r="M77" s="138">
        <f t="shared" ref="M77:N79" si="28">SUM(C77,E77,G77,I77,K77)</f>
        <v>0</v>
      </c>
      <c r="N77" s="139">
        <f t="shared" si="28"/>
        <v>0</v>
      </c>
      <c r="O77" s="140"/>
      <c r="P77" s="138"/>
      <c r="Q77" s="138"/>
      <c r="R77" s="138"/>
      <c r="S77" s="138">
        <f>COUNTIFS(เรื่องร้องเรียน!E:E,"5",เรื่องร้องเรียน!N:N,"ทุ่งครุ",เรื่องร้องเรียน!AQ:AQ,"1",เรื่องร้องเรียน!CL:CL,"")</f>
        <v>0</v>
      </c>
      <c r="T77" s="141">
        <f t="shared" si="5"/>
        <v>0</v>
      </c>
      <c r="U77" s="129">
        <f t="shared" si="1"/>
        <v>0</v>
      </c>
      <c r="W77" s="129">
        <f t="shared" si="25"/>
        <v>0</v>
      </c>
    </row>
    <row r="78" spans="1:23">
      <c r="A78" s="148"/>
      <c r="B78" s="171" t="s">
        <v>194</v>
      </c>
      <c r="C78" s="246">
        <f>COUNTIFS(เรื่องร้องเรียน!E:E,"1",เรื่องร้องเรียน!N:N,"ทุ่งครุ",เรื่องร้องเรียน!AN:AN,"ทุ่งครุ")</f>
        <v>0</v>
      </c>
      <c r="D78" s="109">
        <f>COUNTIFS(เรื่องร้องเรียน!E:E,"1",เรื่องร้องเรียน!N:N,"ทุ่งครุ",เรื่องร้องเรียน!AN:AN,"ทุ่งครุ",เรื่องร้องเรียน!CL:CL,"1")</f>
        <v>0</v>
      </c>
      <c r="E78" s="109">
        <f>COUNTIFS(เรื่องร้องเรียน!E:E,"2",เรื่องร้องเรียน!N:N,"ทุ่งครุ",เรื่องร้องเรียน!AN:AN,"ทุ่งครุ")</f>
        <v>0</v>
      </c>
      <c r="F78" s="109">
        <f>COUNTIFS(เรื่องร้องเรียน!E:E,"2",เรื่องร้องเรียน!N:N,"ทุ่งครุ",เรื่องร้องเรียน!AN:AN,"ทุ่งครุ",เรื่องร้องเรียน!CL:CL,"1")</f>
        <v>0</v>
      </c>
      <c r="G78" s="109">
        <f>COUNTIFS(เรื่องร้องเรียน!E:E,"3",เรื่องร้องเรียน!N:N,"ทุ่งครุ",เรื่องร้องเรียน!AN:AN,"ทุ่งครุ")</f>
        <v>0</v>
      </c>
      <c r="H78" s="109">
        <f>COUNTIFS(เรื่องร้องเรียน!E:E,"3",เรื่องร้องเรียน!N:N,"ทุ่งครุ",เรื่องร้องเรียน!AN:AN,"ทุ่งครุ",เรื่องร้องเรียน!CL:CL,"1")</f>
        <v>0</v>
      </c>
      <c r="I78" s="109">
        <f>COUNTIFS(เรื่องร้องเรียน!E:E,"4",เรื่องร้องเรียน!N:N,"ทุ่งครุ",เรื่องร้องเรียน!AN:AN,"ทุ่งครุ")</f>
        <v>0</v>
      </c>
      <c r="J78" s="144">
        <f>COUNTIFS(เรื่องร้องเรียน!E:E,"4",เรื่องร้องเรียน!N:N,"ทุ่งครุ",เรื่องร้องเรียน!AN:AN,"ทุ่งครุ",เรื่องร้องเรียน!CL:CL,"1")</f>
        <v>0</v>
      </c>
      <c r="K78" s="144"/>
      <c r="L78" s="144"/>
      <c r="M78" s="109">
        <f t="shared" si="28"/>
        <v>0</v>
      </c>
      <c r="N78" s="145">
        <f t="shared" si="28"/>
        <v>0</v>
      </c>
      <c r="O78" s="146">
        <f>COUNTIFS(เรื่องร้องเรียน!E:E,"1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P78" s="144">
        <f>COUNTIFS(เรื่องร้องเรียน!E:E,"2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Q78" s="144">
        <f>COUNTIFS(เรื่องร้องเรียน!E:E,"3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R78" s="144">
        <f>COUNTIFS(เรื่องร้องเรียน!E:E,"4",เรื่องร้องเรียน!N:N,"ทุ่งครุ",เรื่องร้องเรียน!AN:AN,"ทุ่งครุ",เรื่องร้องเรียน!AQ:AQ,"1",เรื่องร้องเรียน!CL:CL,"")</f>
        <v>0</v>
      </c>
      <c r="S78" s="144"/>
      <c r="T78" s="147">
        <f t="shared" si="5"/>
        <v>0</v>
      </c>
      <c r="U78" s="129">
        <f t="shared" si="1"/>
        <v>0</v>
      </c>
      <c r="V78" s="10" t="s">
        <v>110</v>
      </c>
      <c r="W78" s="129">
        <f t="shared" si="25"/>
        <v>0</v>
      </c>
    </row>
    <row r="79" spans="1:23">
      <c r="A79" s="148"/>
      <c r="B79" s="177" t="s">
        <v>113</v>
      </c>
      <c r="C79" s="123">
        <f>COUNTIFS(เรื่องร้องเรียน!E:E,"1",เรื่องร้องเรียน!N:N,"ทุ่งครุ",เรื่องร้องเรียน!AN:AN,"ราษฎร์บูรณะ")</f>
        <v>0</v>
      </c>
      <c r="D79" s="117">
        <f>COUNTIFS(เรื่องร้องเรียน!E:E,"1",เรื่องร้องเรียน!N:N,"ทุ่งครุ",เรื่องร้องเรียน!AN:AN,"ราษฎร์บูรณะ",เรื่องร้องเรียน!CL:CL,"1")</f>
        <v>0</v>
      </c>
      <c r="E79" s="117">
        <f>COUNTIFS(เรื่องร้องเรียน!E:E,"2",เรื่องร้องเรียน!N:N,"ทุ่งครุ",เรื่องร้องเรียน!AN:AN,"ราษฎร์บูรณะ")</f>
        <v>0</v>
      </c>
      <c r="F79" s="117">
        <f>COUNTIFS(เรื่องร้องเรียน!E:E,"2",เรื่องร้องเรียน!N:N,"ทุ่งครุ",เรื่องร้องเรียน!AN:AN,"ราษฎร์บูรณะ",เรื่องร้องเรียน!CL:CL,"1")</f>
        <v>0</v>
      </c>
      <c r="G79" s="117">
        <f>COUNTIFS(เรื่องร้องเรียน!E:E,"3",เรื่องร้องเรียน!N:N,"ทุ่งครุ",เรื่องร้องเรียน!AN:AN,"ราษฎร์บูรณะ")</f>
        <v>0</v>
      </c>
      <c r="H79" s="117">
        <f>COUNTIFS(เรื่องร้องเรียน!E:E,"3",เรื่องร้องเรียน!N:N,"ทุ่งครุ",เรื่องร้องเรียน!AN:AN,"ราษฎร์บูรณะ",เรื่องร้องเรียน!CL:CL,"1")</f>
        <v>0</v>
      </c>
      <c r="I79" s="117">
        <f>COUNTIFS(เรื่องร้องเรียน!E:E,"4",เรื่องร้องเรียน!N:N,"ทุ่งครุ",เรื่องร้องเรียน!AN:AN,"ราษฎร์บูรณะ")</f>
        <v>0</v>
      </c>
      <c r="J79" s="152">
        <f>COUNTIFS(เรื่องร้องเรียน!E:E,"4",เรื่องร้องเรียน!N:N,"ทุ่งครุ",เรื่องร้องเรียน!AN:AN,"ราษฎร์บูรณะ",เรื่องร้องเรียน!CL:CL,"1")</f>
        <v>0</v>
      </c>
      <c r="K79" s="152"/>
      <c r="L79" s="152"/>
      <c r="M79" s="117">
        <f t="shared" si="28"/>
        <v>0</v>
      </c>
      <c r="N79" s="122">
        <f t="shared" si="28"/>
        <v>0</v>
      </c>
      <c r="O79" s="153">
        <f>COUNTIFS(เรื่องร้องเรียน!E:E,"1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P79" s="152">
        <f>COUNTIFS(เรื่องร้องเรียน!E:E,"2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Q79" s="152">
        <f>COUNTIFS(เรื่องร้องเรียน!E:E,"3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R79" s="152">
        <f>COUNTIFS(เรื่องร้องเรียน!E:E,"4",เรื่องร้องเรียน!N:N,"ทุ่งครุ",เรื่องร้องเรียน!AN:AN,"ราษฎร์บูรณะ",เรื่องร้องเรียน!AQ:AQ,"1",เรื่องร้องเรียน!CL:CL,"")</f>
        <v>0</v>
      </c>
      <c r="S79" s="152"/>
      <c r="T79" s="154">
        <f t="shared" si="5"/>
        <v>0</v>
      </c>
      <c r="U79" s="129">
        <f t="shared" ref="U79:U160" si="29">M79-N79-T79</f>
        <v>0</v>
      </c>
      <c r="W79" s="129">
        <f t="shared" si="25"/>
        <v>0</v>
      </c>
    </row>
    <row r="80" spans="1:23" ht="21.6" thickBot="1">
      <c r="A80" s="174"/>
      <c r="B80" s="172" t="s">
        <v>110</v>
      </c>
      <c r="C80" s="123">
        <f>COUNTIFS(เรื่องร้องเรียน!E:E,"1",เรื่องร้องเรียน!N:N,"ทุ่งครุ",เรื่องร้องเรียน!AN:AN,"บางมด")</f>
        <v>0</v>
      </c>
      <c r="D80" s="117">
        <f>COUNTIFS(เรื่องร้องเรียน!E:E,"1",เรื่องร้องเรียน!N:N,"ทุ่งครุ",เรื่องร้องเรียน!AN:AN,"บางมด",เรื่องร้องเรียน!CL:CL,"1")</f>
        <v>0</v>
      </c>
      <c r="E80" s="117">
        <f>COUNTIFS(เรื่องร้องเรียน!E:E,"2",เรื่องร้องเรียน!N:N,"ทุ่งครุ",เรื่องร้องเรียน!AN:AN,"บางมด")</f>
        <v>0</v>
      </c>
      <c r="F80" s="117">
        <f>COUNTIFS(เรื่องร้องเรียน!E:E,"2",เรื่องร้องเรียน!N:N,"ทุ่งครุ",เรื่องร้องเรียน!AN:AN,"บางมด",เรื่องร้องเรียน!CL:CL,"1")</f>
        <v>0</v>
      </c>
      <c r="G80" s="117">
        <f>COUNTIFS(เรื่องร้องเรียน!E:E,"3",เรื่องร้องเรียน!N:N,"ทุ่งครุ",เรื่องร้องเรียน!AN:AN,"บางมด")</f>
        <v>0</v>
      </c>
      <c r="H80" s="117">
        <f>COUNTIFS(เรื่องร้องเรียน!E:E,"3",เรื่องร้องเรียน!N:N,"ทุ่งครุ",เรื่องร้องเรียน!AN:AN,"บางมด",เรื่องร้องเรียน!CL:CL,"1")</f>
        <v>0</v>
      </c>
      <c r="I80" s="117">
        <f>COUNTIFS(เรื่องร้องเรียน!E:E,"4",เรื่องร้องเรียน!N:N,"ทุ่งครุ",เรื่องร้องเรียน!AN:AN,"บางมด")</f>
        <v>0</v>
      </c>
      <c r="J80" s="152">
        <f>COUNTIFS(เรื่องร้องเรียน!E:E,"4",เรื่องร้องเรียน!N:N,"ทุ่งครุ",เรื่องร้องเรียน!AN:AN,"บางมด",เรื่องร้องเรียน!CL:CL,"1")</f>
        <v>0</v>
      </c>
      <c r="K80" s="152"/>
      <c r="L80" s="152"/>
      <c r="M80" s="117">
        <f>SUM(C80,E80,G80,I80,K80)</f>
        <v>0</v>
      </c>
      <c r="N80" s="122">
        <f>SUM(D80,F80,H80,J80,L80)</f>
        <v>0</v>
      </c>
      <c r="O80" s="153">
        <f>COUNTIFS(เรื่องร้องเรียน!E:E,"1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P80" s="152">
        <f>COUNTIFS(เรื่องร้องเรียน!E:E,"2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Q80" s="152">
        <f>COUNTIFS(เรื่องร้องเรียน!E:E,"3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R80" s="152">
        <f>COUNTIFS(เรื่องร้องเรียน!E:E,"4",เรื่องร้องเรียน!N:N,"ทุ่งครุ",เรื่องร้องเรียน!AN:AN,"บางมด",เรื่องร้องเรียน!AQ:AQ,"1",เรื่องร้องเรียน!CL:CL,"")</f>
        <v>0</v>
      </c>
      <c r="S80" s="152"/>
      <c r="T80" s="154">
        <f>SUM(O80:S80)</f>
        <v>0</v>
      </c>
      <c r="U80" s="129">
        <f>M80-N80-T80</f>
        <v>0</v>
      </c>
      <c r="W80" s="129">
        <f t="shared" si="25"/>
        <v>0</v>
      </c>
    </row>
    <row r="81" spans="1:25" ht="21.6" thickBot="1">
      <c r="A81" s="130" t="s">
        <v>122</v>
      </c>
      <c r="B81" s="169" t="s">
        <v>152</v>
      </c>
      <c r="C81" s="132">
        <f>SUM(C82:C87 )</f>
        <v>0</v>
      </c>
      <c r="D81" s="131">
        <f t="shared" ref="D81:T81" si="30">SUM(D82:D87 )</f>
        <v>0</v>
      </c>
      <c r="E81" s="131">
        <f t="shared" si="30"/>
        <v>0</v>
      </c>
      <c r="F81" s="131">
        <f t="shared" si="30"/>
        <v>0</v>
      </c>
      <c r="G81" s="131">
        <f t="shared" si="30"/>
        <v>0</v>
      </c>
      <c r="H81" s="131">
        <f t="shared" si="30"/>
        <v>0</v>
      </c>
      <c r="I81" s="131">
        <f t="shared" si="30"/>
        <v>0</v>
      </c>
      <c r="J81" s="131">
        <f t="shared" si="30"/>
        <v>0</v>
      </c>
      <c r="K81" s="131">
        <f t="shared" si="30"/>
        <v>0</v>
      </c>
      <c r="L81" s="131">
        <f t="shared" si="30"/>
        <v>0</v>
      </c>
      <c r="M81" s="131">
        <f t="shared" si="30"/>
        <v>0</v>
      </c>
      <c r="N81" s="163">
        <f t="shared" si="30"/>
        <v>0</v>
      </c>
      <c r="O81" s="132">
        <f t="shared" si="30"/>
        <v>0</v>
      </c>
      <c r="P81" s="131">
        <f t="shared" si="30"/>
        <v>0</v>
      </c>
      <c r="Q81" s="131">
        <f t="shared" si="30"/>
        <v>0</v>
      </c>
      <c r="R81" s="131">
        <f t="shared" si="30"/>
        <v>0</v>
      </c>
      <c r="S81" s="131">
        <f t="shared" si="30"/>
        <v>0</v>
      </c>
      <c r="T81" s="133">
        <f t="shared" si="30"/>
        <v>0</v>
      </c>
      <c r="U81" s="134">
        <f t="shared" si="29"/>
        <v>0</v>
      </c>
      <c r="W81" s="135">
        <f t="shared" si="25"/>
        <v>0</v>
      </c>
    </row>
    <row r="82" spans="1:25">
      <c r="A82" s="165"/>
      <c r="B82" s="170" t="s">
        <v>20</v>
      </c>
      <c r="C82" s="140"/>
      <c r="D82" s="138"/>
      <c r="E82" s="138"/>
      <c r="F82" s="138"/>
      <c r="G82" s="138"/>
      <c r="H82" s="138"/>
      <c r="I82" s="138"/>
      <c r="J82" s="138"/>
      <c r="K82" s="138">
        <f>COUNTIFS(เรื่องร้องเรียน!E:E,"5",เรื่องร้องเรียน!N:N,"ธนบุรี")</f>
        <v>0</v>
      </c>
      <c r="L82" s="138">
        <f>COUNTIFS(เรื่องร้องเรียน!E:E,"5",เรื่องร้องเรียน!N:N,"ธนบุรี",เรื่องร้องเรียน!CL:CL,"1")</f>
        <v>0</v>
      </c>
      <c r="M82" s="138">
        <f t="shared" ref="M82:N87" si="31">SUM(C82,E82,G82,I82,K82)</f>
        <v>0</v>
      </c>
      <c r="N82" s="139">
        <f t="shared" si="31"/>
        <v>0</v>
      </c>
      <c r="O82" s="140"/>
      <c r="P82" s="138"/>
      <c r="Q82" s="138"/>
      <c r="R82" s="138"/>
      <c r="S82" s="138">
        <f>COUNTIFS(เรื่องร้องเรียน!E:E,"5",เรื่องร้องเรียน!N:N,"ธนบุรี",เรื่องร้องเรียน!AQ:AQ,"1",เรื่องร้องเรียน!CL:CL,"")</f>
        <v>0</v>
      </c>
      <c r="T82" s="141">
        <f t="shared" si="5"/>
        <v>0</v>
      </c>
      <c r="U82" s="129">
        <f t="shared" si="29"/>
        <v>0</v>
      </c>
      <c r="W82" s="129">
        <f t="shared" si="25"/>
        <v>0</v>
      </c>
    </row>
    <row r="83" spans="1:25">
      <c r="A83" s="148"/>
      <c r="B83" s="171" t="s">
        <v>193</v>
      </c>
      <c r="C83" s="246">
        <f>COUNTIFS(เรื่องร้องเรียน!E:E,"1",เรื่องร้องเรียน!N:N,"ธนบุรี",เรื่องร้องเรียน!AN:AN,"ตลาดพลู")</f>
        <v>0</v>
      </c>
      <c r="D83" s="109">
        <f>COUNTIFS(เรื่องร้องเรียน!E:E,"1",เรื่องร้องเรียน!N:N,"ธนบุรี",เรื่องร้องเรียน!AN:AN,"ตลาดพลู",เรื่องร้องเรียน!CL:CL,"1")</f>
        <v>0</v>
      </c>
      <c r="E83" s="109">
        <f>COUNTIFS(เรื่องร้องเรียน!E:E,"2",เรื่องร้องเรียน!N:N,"ธนบุรี",เรื่องร้องเรียน!AN:AN,"ตลาดพลู")</f>
        <v>0</v>
      </c>
      <c r="F83" s="109">
        <f>COUNTIFS(เรื่องร้องเรียน!E:E,"2",เรื่องร้องเรียน!N:N,"ธนบุรี",เรื่องร้องเรียน!AN:AN,"ตลาดพลู",เรื่องร้องเรียน!CL:CL,"1")</f>
        <v>0</v>
      </c>
      <c r="G83" s="109">
        <f>COUNTIFS(เรื่องร้องเรียน!E:E,"3",เรื่องร้องเรียน!N:N,"ธนบุรี",เรื่องร้องเรียน!AN:AN,"ตลาดพลู")</f>
        <v>0</v>
      </c>
      <c r="H83" s="109">
        <f>COUNTIFS(เรื่องร้องเรียน!E:E,"3",เรื่องร้องเรียน!N:N,"ธนบุรี",เรื่องร้องเรียน!AN:AN,"ตลาดพลู",เรื่องร้องเรียน!CL:CL,"1")</f>
        <v>0</v>
      </c>
      <c r="I83" s="109">
        <f>COUNTIFS(เรื่องร้องเรียน!E:E,"4",เรื่องร้องเรียน!N:N,"ธนบุรี",เรื่องร้องเรียน!AN:AN,"ตลาดพลู")</f>
        <v>0</v>
      </c>
      <c r="J83" s="144">
        <f>COUNTIFS(เรื่องร้องเรียน!E:E,"4",เรื่องร้องเรียน!N:N,"ธนบุรี",เรื่องร้องเรียน!AN:AN,"ตลาดพลู",เรื่องร้องเรียน!CL:CL,"1")</f>
        <v>0</v>
      </c>
      <c r="K83" s="144"/>
      <c r="L83" s="144"/>
      <c r="M83" s="109">
        <f t="shared" si="31"/>
        <v>0</v>
      </c>
      <c r="N83" s="145">
        <f t="shared" si="31"/>
        <v>0</v>
      </c>
      <c r="O83" s="146">
        <f>COUNTIFS(เรื่องร้องเรียน!E:E,"1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P83" s="144">
        <f>COUNTIFS(เรื่องร้องเรียน!E:E,"2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Q83" s="144">
        <f>COUNTIFS(เรื่องร้องเรียน!E:E,"3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R83" s="144">
        <f>COUNTIFS(เรื่องร้องเรียน!E:E,"4",เรื่องร้องเรียน!N:N,"ธนบุรี",เรื่องร้องเรียน!AN:AN,"ตลาดพลู",เรื่องร้องเรียน!AQ:AQ,"1",เรื่องร้องเรียน!CL:CL,"")</f>
        <v>0</v>
      </c>
      <c r="S83" s="144"/>
      <c r="T83" s="147">
        <f t="shared" si="5"/>
        <v>0</v>
      </c>
      <c r="U83" s="129">
        <f t="shared" si="29"/>
        <v>0</v>
      </c>
      <c r="W83" s="129">
        <f t="shared" si="25"/>
        <v>0</v>
      </c>
    </row>
    <row r="84" spans="1:25">
      <c r="A84" s="148"/>
      <c r="B84" s="171" t="s">
        <v>195</v>
      </c>
      <c r="C84" s="246">
        <f>COUNTIFS(เรื่องร้องเรียน!E:E,"1",เรื่องร้องเรียน!N:N,"ธนบุรี",เรื่องร้องเรียน!AN:AN,"บางยี่เรือ")</f>
        <v>0</v>
      </c>
      <c r="D84" s="109">
        <f>COUNTIFS(เรื่องร้องเรียน!E:E,"1",เรื่องร้องเรียน!N:N,"ธนบุรี",เรื่องร้องเรียน!AN:AN,"บางยี่เรือ",เรื่องร้องเรียน!CL:CL,"1")</f>
        <v>0</v>
      </c>
      <c r="E84" s="109">
        <f>COUNTIFS(เรื่องร้องเรียน!E:E,"2",เรื่องร้องเรียน!N:N,"ธนบุรี",เรื่องร้องเรียน!AN:AN,"บางยี่เรือ")</f>
        <v>0</v>
      </c>
      <c r="F84" s="109">
        <f>COUNTIFS(เรื่องร้องเรียน!E:E,"2",เรื่องร้องเรียน!N:N,"ธนบุรี",เรื่องร้องเรียน!AN:AN,"บางยี่เรือ",เรื่องร้องเรียน!CL:CL,"1")</f>
        <v>0</v>
      </c>
      <c r="G84" s="109">
        <f>COUNTIFS(เรื่องร้องเรียน!E:E,"3",เรื่องร้องเรียน!N:N,"ธนบุรี",เรื่องร้องเรียน!AN:AN,"บางยี่เรือ")</f>
        <v>0</v>
      </c>
      <c r="H84" s="109">
        <f>COUNTIFS(เรื่องร้องเรียน!E:E,"3",เรื่องร้องเรียน!N:N,"ธนบุรี",เรื่องร้องเรียน!AN:AN,"บางยี่เรือ",เรื่องร้องเรียน!CL:CL,"1")</f>
        <v>0</v>
      </c>
      <c r="I84" s="109">
        <f>COUNTIFS(เรื่องร้องเรียน!E:E,"4",เรื่องร้องเรียน!N:N,"ธนบุรี",เรื่องร้องเรียน!AN:AN,"บางยี่เรือ")</f>
        <v>0</v>
      </c>
      <c r="J84" s="144">
        <f>COUNTIFS(เรื่องร้องเรียน!E:E,"4",เรื่องร้องเรียน!N:N,"ธนบุรี",เรื่องร้องเรียน!AN:AN,"บางยี่เรือ",เรื่องร้องเรียน!CL:CL,"1")</f>
        <v>0</v>
      </c>
      <c r="K84" s="144"/>
      <c r="L84" s="144"/>
      <c r="M84" s="109">
        <f t="shared" si="31"/>
        <v>0</v>
      </c>
      <c r="N84" s="145">
        <f t="shared" si="31"/>
        <v>0</v>
      </c>
      <c r="O84" s="146">
        <f>COUNTIFS(เรื่องร้องเรียน!E:E,"1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P84" s="144">
        <f>COUNTIFS(เรื่องร้องเรียน!E:E,"2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Q84" s="144">
        <f>COUNTIFS(เรื่องร้องเรียน!E:E,"3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R84" s="144">
        <f>COUNTIFS(เรื่องร้องเรียน!E:E,"4",เรื่องร้องเรียน!N:N,"ธนบุรี",เรื่องร้องเรียน!AN:AN,"บางยี่เรือ",เรื่องร้องเรียน!AQ:AQ,"1",เรื่องร้องเรียน!CL:CL,"")</f>
        <v>0</v>
      </c>
      <c r="S84" s="144"/>
      <c r="T84" s="147">
        <f t="shared" ref="T84:T165" si="32">SUM(O84:S84)</f>
        <v>0</v>
      </c>
      <c r="U84" s="129">
        <f t="shared" si="29"/>
        <v>0</v>
      </c>
      <c r="W84" s="129">
        <f t="shared" si="25"/>
        <v>0</v>
      </c>
    </row>
    <row r="85" spans="1:25">
      <c r="A85" s="148"/>
      <c r="B85" s="171" t="s">
        <v>196</v>
      </c>
      <c r="C85" s="246">
        <f>COUNTIFS(เรื่องร้องเรียน!E:E,"1",เรื่องร้องเรียน!N:N,"ธนบุรี",เรื่องร้องเรียน!AN:AN,"บุคคโล")</f>
        <v>0</v>
      </c>
      <c r="D85" s="109">
        <f>COUNTIFS(เรื่องร้องเรียน!E:E,"1",เรื่องร้องเรียน!N:N,"ธนบุรี",เรื่องร้องเรียน!AN:AN,"บุคคโล",เรื่องร้องเรียน!CL:CL,"1")</f>
        <v>0</v>
      </c>
      <c r="E85" s="109">
        <f>COUNTIFS(เรื่องร้องเรียน!E:E,"2",เรื่องร้องเรียน!N:N,"ธนบุรี",เรื่องร้องเรียน!AN:AN,"บุคคโล")</f>
        <v>0</v>
      </c>
      <c r="F85" s="109">
        <f>COUNTIFS(เรื่องร้องเรียน!E:E,"2",เรื่องร้องเรียน!N:N,"ธนบุรี",เรื่องร้องเรียน!AN:AN,"บุคคโล",เรื่องร้องเรียน!CL:CL,"1")</f>
        <v>0</v>
      </c>
      <c r="G85" s="109">
        <f>COUNTIFS(เรื่องร้องเรียน!E:E,"3",เรื่องร้องเรียน!N:N,"ธนบุรี",เรื่องร้องเรียน!AN:AN,"บุคคโล")</f>
        <v>0</v>
      </c>
      <c r="H85" s="109">
        <f>COUNTIFS(เรื่องร้องเรียน!E:E,"3",เรื่องร้องเรียน!N:N,"ธนบุรี",เรื่องร้องเรียน!AN:AN,"บุคคโล",เรื่องร้องเรียน!CL:CL,"1")</f>
        <v>0</v>
      </c>
      <c r="I85" s="109">
        <f>COUNTIFS(เรื่องร้องเรียน!E:E,"4",เรื่องร้องเรียน!N:N,"ธนบุรี",เรื่องร้องเรียน!AN:AN,"บุคคโล")</f>
        <v>0</v>
      </c>
      <c r="J85" s="144">
        <f>COUNTIFS(เรื่องร้องเรียน!E:E,"4",เรื่องร้องเรียน!N:N,"ธนบุรี",เรื่องร้องเรียน!AN:AN,"บุคคโล",เรื่องร้องเรียน!CL:CL,"1")</f>
        <v>0</v>
      </c>
      <c r="K85" s="144"/>
      <c r="L85" s="144"/>
      <c r="M85" s="109">
        <f t="shared" si="31"/>
        <v>0</v>
      </c>
      <c r="N85" s="145">
        <f t="shared" si="31"/>
        <v>0</v>
      </c>
      <c r="O85" s="146">
        <f>COUNTIFS(เรื่องร้องเรียน!E:E,"1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P85" s="144">
        <f>COUNTIFS(เรื่องร้องเรียน!E:E,"2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Q85" s="144">
        <f>COUNTIFS(เรื่องร้องเรียน!E:E,"3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R85" s="144">
        <f>COUNTIFS(เรื่องร้องเรียน!E:E,"4",เรื่องร้องเรียน!N:N,"ธนบุรี",เรื่องร้องเรียน!AN:AN,"บุคคโล",เรื่องร้องเรียน!AQ:AQ,"1",เรื่องร้องเรียน!CL:CL,"")</f>
        <v>0</v>
      </c>
      <c r="S85" s="144"/>
      <c r="T85" s="147">
        <f t="shared" si="32"/>
        <v>0</v>
      </c>
      <c r="U85" s="129">
        <f t="shared" si="29"/>
        <v>0</v>
      </c>
      <c r="W85" s="129">
        <f t="shared" si="25"/>
        <v>0</v>
      </c>
    </row>
    <row r="86" spans="1:25">
      <c r="A86" s="148"/>
      <c r="B86" s="171" t="s">
        <v>123</v>
      </c>
      <c r="C86" s="246">
        <f>COUNTIFS(เรื่องร้องเรียน!E:E,"1",เรื่องร้องเรียน!N:N,"ธนบุรี",เรื่องร้องเรียน!AN:AN,"บุปผาราม")</f>
        <v>0</v>
      </c>
      <c r="D86" s="109">
        <f>COUNTIFS(เรื่องร้องเรียน!E:E,"1",เรื่องร้องเรียน!N:N,"ธนบุรี",เรื่องร้องเรียน!AN:AN,"บุปผาราม",เรื่องร้องเรียน!CL:CL,"1")</f>
        <v>0</v>
      </c>
      <c r="E86" s="109">
        <f>COUNTIFS(เรื่องร้องเรียน!E:E,"2",เรื่องร้องเรียน!N:N,"ธนบุรี",เรื่องร้องเรียน!AN:AN,"บุปผาราม")</f>
        <v>0</v>
      </c>
      <c r="F86" s="109">
        <f>COUNTIFS(เรื่องร้องเรียน!E:E,"2",เรื่องร้องเรียน!N:N,"ธนบุรี",เรื่องร้องเรียน!AN:AN,"บุปผาราม",เรื่องร้องเรียน!CL:CL,"1")</f>
        <v>0</v>
      </c>
      <c r="G86" s="109">
        <f>COUNTIFS(เรื่องร้องเรียน!E:E,"3",เรื่องร้องเรียน!N:N,"ธนบุรี",เรื่องร้องเรียน!AN:AN,"บุปผาราม")</f>
        <v>0</v>
      </c>
      <c r="H86" s="109">
        <f>COUNTIFS(เรื่องร้องเรียน!E:E,"3",เรื่องร้องเรียน!N:N,"ธนบุรี",เรื่องร้องเรียน!AN:AN,"บุปผาราม",เรื่องร้องเรียน!CL:CL,"1")</f>
        <v>0</v>
      </c>
      <c r="I86" s="109">
        <f>COUNTIFS(เรื่องร้องเรียน!E:E,"4",เรื่องร้องเรียน!N:N,"ธนบุรี",เรื่องร้องเรียน!AN:AN,"บุปผาราม")</f>
        <v>0</v>
      </c>
      <c r="J86" s="144">
        <f>COUNTIFS(เรื่องร้องเรียน!E:E,"4",เรื่องร้องเรียน!N:N,"ธนบุรี",เรื่องร้องเรียน!AN:AN,"บุปผาราม",เรื่องร้องเรียน!CL:CL,"1")</f>
        <v>0</v>
      </c>
      <c r="K86" s="144"/>
      <c r="L86" s="144"/>
      <c r="M86" s="109">
        <f t="shared" si="31"/>
        <v>0</v>
      </c>
      <c r="N86" s="145">
        <f t="shared" si="31"/>
        <v>0</v>
      </c>
      <c r="O86" s="146">
        <f>COUNTIFS(เรื่องร้องเรียน!E:E,"1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P86" s="144">
        <f>COUNTIFS(เรื่องร้องเรียน!E:E,"2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Q86" s="144">
        <f>COUNTIFS(เรื่องร้องเรียน!E:E,"3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R86" s="144">
        <f>COUNTIFS(เรื่องร้องเรียน!E:E,"4",เรื่องร้องเรียน!N:N,"ธนบุรี",เรื่องร้องเรียน!AN:AN,"บุปผาราม",เรื่องร้องเรียน!AQ:AQ,"1",เรื่องร้องเรียน!CL:CL,"")</f>
        <v>0</v>
      </c>
      <c r="S86" s="144"/>
      <c r="T86" s="147">
        <f t="shared" si="32"/>
        <v>0</v>
      </c>
      <c r="U86" s="129">
        <f t="shared" si="29"/>
        <v>0</v>
      </c>
      <c r="W86" s="129">
        <f t="shared" si="25"/>
        <v>0</v>
      </c>
    </row>
    <row r="87" spans="1:25" ht="21.6" thickBot="1">
      <c r="A87" s="150"/>
      <c r="B87" s="172" t="s">
        <v>197</v>
      </c>
      <c r="C87" s="123">
        <f>COUNTIFS(เรื่องร้องเรียน!E:E,"1",เรื่องร้องเรียน!N:N,"ธนบุรี",เรื่องร้องเรียน!AN:AN,"สำเหร่")</f>
        <v>0</v>
      </c>
      <c r="D87" s="117">
        <f>COUNTIFS(เรื่องร้องเรียน!E:E,"1",เรื่องร้องเรียน!N:N,"ธนบุรี",เรื่องร้องเรียน!AN:AN,"สำเหร่",เรื่องร้องเรียน!CL:CL,"1")</f>
        <v>0</v>
      </c>
      <c r="E87" s="117">
        <f>COUNTIFS(เรื่องร้องเรียน!E:E,"2",เรื่องร้องเรียน!N:N,"ธนบุรี",เรื่องร้องเรียน!AN:AN,"สำเหร่")</f>
        <v>0</v>
      </c>
      <c r="F87" s="117">
        <f>COUNTIFS(เรื่องร้องเรียน!E:E,"2",เรื่องร้องเรียน!N:N,"ธนบุรี",เรื่องร้องเรียน!AN:AN,"สำเหร่",เรื่องร้องเรียน!CL:CL,"1")</f>
        <v>0</v>
      </c>
      <c r="G87" s="117">
        <f>COUNTIFS(เรื่องร้องเรียน!E:E,"3",เรื่องร้องเรียน!N:N,"ธนบุรี",เรื่องร้องเรียน!AN:AN,"สำเหร่")</f>
        <v>0</v>
      </c>
      <c r="H87" s="117">
        <f>COUNTIFS(เรื่องร้องเรียน!E:E,"3",เรื่องร้องเรียน!N:N,"ธนบุรี",เรื่องร้องเรียน!AN:AN,"สำเหร่",เรื่องร้องเรียน!CL:CL,"1")</f>
        <v>0</v>
      </c>
      <c r="I87" s="117">
        <f>COUNTIFS(เรื่องร้องเรียน!E:E,"4",เรื่องร้องเรียน!N:N,"ธนบุรี",เรื่องร้องเรียน!AN:AN,"สำเหร่")</f>
        <v>0</v>
      </c>
      <c r="J87" s="152">
        <f>COUNTIFS(เรื่องร้องเรียน!E:E,"4",เรื่องร้องเรียน!N:N,"ธนบุรี",เรื่องร้องเรียน!AN:AN,"สำเหร่",เรื่องร้องเรียน!CL:CL,"1")</f>
        <v>0</v>
      </c>
      <c r="K87" s="152"/>
      <c r="L87" s="152"/>
      <c r="M87" s="117">
        <f t="shared" si="31"/>
        <v>0</v>
      </c>
      <c r="N87" s="122">
        <f t="shared" si="31"/>
        <v>0</v>
      </c>
      <c r="O87" s="153">
        <f>COUNTIFS(เรื่องร้องเรียน!E:E,"1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P87" s="152">
        <f>COUNTIFS(เรื่องร้องเรียน!E:E,"2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Q87" s="152">
        <f>COUNTIFS(เรื่องร้องเรียน!E:E,"3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R87" s="152">
        <f>COUNTIFS(เรื่องร้องเรียน!E:E,"4",เรื่องร้องเรียน!N:N,"ธนบุรี",เรื่องร้องเรียน!AN:AN,"สำเหร่",เรื่องร้องเรียน!AQ:AQ,"1",เรื่องร้องเรียน!CL:CL,"")</f>
        <v>0</v>
      </c>
      <c r="S87" s="152"/>
      <c r="T87" s="154">
        <f t="shared" si="32"/>
        <v>0</v>
      </c>
      <c r="U87" s="129">
        <f t="shared" si="29"/>
        <v>0</v>
      </c>
      <c r="W87" s="129">
        <f t="shared" si="25"/>
        <v>0</v>
      </c>
    </row>
    <row r="88" spans="1:25" ht="21.6" thickBot="1">
      <c r="A88" s="130" t="s">
        <v>126</v>
      </c>
      <c r="B88" s="169" t="s">
        <v>152</v>
      </c>
      <c r="C88" s="132">
        <f>SUM(C89:C94 )</f>
        <v>0</v>
      </c>
      <c r="D88" s="131">
        <f t="shared" ref="D88:N88" si="33">SUM(D89:D94 )</f>
        <v>0</v>
      </c>
      <c r="E88" s="131">
        <f t="shared" si="33"/>
        <v>0</v>
      </c>
      <c r="F88" s="131">
        <f t="shared" si="33"/>
        <v>0</v>
      </c>
      <c r="G88" s="131">
        <f t="shared" si="33"/>
        <v>0</v>
      </c>
      <c r="H88" s="131">
        <f t="shared" si="33"/>
        <v>0</v>
      </c>
      <c r="I88" s="131">
        <f t="shared" si="33"/>
        <v>0</v>
      </c>
      <c r="J88" s="131">
        <f t="shared" si="33"/>
        <v>0</v>
      </c>
      <c r="K88" s="131">
        <f t="shared" si="33"/>
        <v>0</v>
      </c>
      <c r="L88" s="131">
        <f t="shared" si="33"/>
        <v>0</v>
      </c>
      <c r="M88" s="131">
        <f t="shared" si="33"/>
        <v>0</v>
      </c>
      <c r="N88" s="163">
        <f t="shared" si="33"/>
        <v>0</v>
      </c>
      <c r="O88" s="132">
        <f t="shared" ref="O88:T88" si="34">SUM(O89:O94)</f>
        <v>0</v>
      </c>
      <c r="P88" s="132">
        <f t="shared" si="34"/>
        <v>0</v>
      </c>
      <c r="Q88" s="132">
        <f t="shared" si="34"/>
        <v>0</v>
      </c>
      <c r="R88" s="132">
        <f t="shared" si="34"/>
        <v>0</v>
      </c>
      <c r="S88" s="132">
        <f t="shared" si="34"/>
        <v>0</v>
      </c>
      <c r="T88" s="133">
        <f t="shared" si="34"/>
        <v>0</v>
      </c>
      <c r="U88" s="134">
        <f t="shared" si="29"/>
        <v>0</v>
      </c>
      <c r="W88" s="135">
        <f t="shared" si="25"/>
        <v>0</v>
      </c>
    </row>
    <row r="89" spans="1:25">
      <c r="A89" s="173"/>
      <c r="B89" s="170" t="s">
        <v>20</v>
      </c>
      <c r="C89" s="140"/>
      <c r="D89" s="138"/>
      <c r="E89" s="138"/>
      <c r="F89" s="138"/>
      <c r="G89" s="138"/>
      <c r="H89" s="138"/>
      <c r="I89" s="138"/>
      <c r="J89" s="138"/>
      <c r="K89" s="138">
        <f>COUNTIFS(เรื่องร้องเรียน!E:E,"5",เรื่องร้องเรียน!N:N,"บางกอกน้อย")</f>
        <v>0</v>
      </c>
      <c r="L89" s="138">
        <f>COUNTIFS(เรื่องร้องเรียน!E:E,"5",เรื่องร้องเรียน!N:N,"บางกอกน้อย",เรื่องร้องเรียน!CL:CL,"1")</f>
        <v>0</v>
      </c>
      <c r="M89" s="138">
        <f t="shared" ref="M89:N92" si="35">SUM(C89,E89,G89,I89,K89)</f>
        <v>0</v>
      </c>
      <c r="N89" s="139">
        <f t="shared" si="35"/>
        <v>0</v>
      </c>
      <c r="O89" s="140"/>
      <c r="P89" s="138"/>
      <c r="Q89" s="138"/>
      <c r="R89" s="138"/>
      <c r="S89" s="138">
        <f>COUNTIFS(เรื่องร้องเรียน!E:E,"5",เรื่องร้องเรียน!N:N,"บางกอกน้อย",เรื่องร้องเรียน!AQ:AQ,"1",เรื่องร้องเรียน!CL:CL,"")</f>
        <v>0</v>
      </c>
      <c r="T89" s="141">
        <f t="shared" si="32"/>
        <v>0</v>
      </c>
      <c r="U89" s="129">
        <f t="shared" si="29"/>
        <v>0</v>
      </c>
      <c r="W89" s="129">
        <f t="shared" si="25"/>
        <v>0</v>
      </c>
    </row>
    <row r="90" spans="1:25">
      <c r="A90" s="148"/>
      <c r="B90" s="171" t="s">
        <v>126</v>
      </c>
      <c r="C90" s="246">
        <f>COUNTIFS(เรื่องร้องเรียน!E:E,"1",เรื่องร้องเรียน!N:N,"บางกอกน้อย",เรื่องร้องเรียน!AN:AN,"บางกอกน้อย")</f>
        <v>0</v>
      </c>
      <c r="D90" s="109">
        <f>COUNTIFS(เรื่องร้องเรียน!E:E,"1",เรื่องร้องเรียน!N:N,"บางกอกน้อย",เรื่องร้องเรียน!AN:AN,"บางกอกน้อย",เรื่องร้องเรียน!CL:CL,"1")</f>
        <v>0</v>
      </c>
      <c r="E90" s="109">
        <f>COUNTIFS(เรื่องร้องเรียน!E:E,"2",เรื่องร้องเรียน!N:N,"บางกอกน้อย",เรื่องร้องเรียน!AN:AN,"บางกอกน้อย")</f>
        <v>0</v>
      </c>
      <c r="F90" s="109">
        <f>COUNTIFS(เรื่องร้องเรียน!E:E,"2",เรื่องร้องเรียน!N:N,"บางกอกน้อย",เรื่องร้องเรียน!AN:AN,"บางกอกน้อย",เรื่องร้องเรียน!CL:CL,"1")</f>
        <v>0</v>
      </c>
      <c r="G90" s="109">
        <f>COUNTIFS(เรื่องร้องเรียน!E:E,"3",เรื่องร้องเรียน!N:N,"บางกอกน้อย",เรื่องร้องเรียน!AN:AN,"บางกอกน้อย")</f>
        <v>0</v>
      </c>
      <c r="H90" s="109">
        <f>COUNTIFS(เรื่องร้องเรียน!E:E,"3",เรื่องร้องเรียน!N:N,"บางกอกน้อย",เรื่องร้องเรียน!AN:AN,"บางกอกน้อย",เรื่องร้องเรียน!CL:CL,"1")</f>
        <v>0</v>
      </c>
      <c r="I90" s="109">
        <f>COUNTIFS(เรื่องร้องเรียน!E:E,"4",เรื่องร้องเรียน!N:N,"บางกอกน้อย",เรื่องร้องเรียน!AN:AN,"บางกอกน้อย")</f>
        <v>0</v>
      </c>
      <c r="J90" s="144">
        <f>COUNTIFS(เรื่องร้องเรียน!E:E,"4",เรื่องร้องเรียน!N:N,"บางกอกน้อย",เรื่องร้องเรียน!AN:AN,"บางกอกน้อย",เรื่องร้องเรียน!CL:CL,"1")</f>
        <v>0</v>
      </c>
      <c r="K90" s="144"/>
      <c r="L90" s="144"/>
      <c r="M90" s="109">
        <f t="shared" si="35"/>
        <v>0</v>
      </c>
      <c r="N90" s="145">
        <f t="shared" si="35"/>
        <v>0</v>
      </c>
      <c r="O90" s="146">
        <f>COUNTIFS(เรื่องร้องเรียน!E:E,"1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P90" s="144">
        <f>COUNTIFS(เรื่องร้องเรียน!E:E,"2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Q90" s="144">
        <f>COUNTIFS(เรื่องร้องเรียน!E:E,"3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R90" s="144">
        <f>COUNTIFS(เรื่องร้องเรียน!E:E,"4",เรื่องร้องเรียน!N:N,"บางกอกน้อย",เรื่องร้องเรียน!AN:AN,"บางกอกน้อย",เรื่องร้องเรียน!AQ:AQ,"1",เรื่องร้องเรียน!CL:CL,"")</f>
        <v>0</v>
      </c>
      <c r="S90" s="144"/>
      <c r="T90" s="147">
        <f t="shared" si="32"/>
        <v>0</v>
      </c>
      <c r="U90" s="129">
        <f t="shared" si="29"/>
        <v>0</v>
      </c>
      <c r="V90" s="10" t="s">
        <v>185</v>
      </c>
      <c r="W90" s="129">
        <f t="shared" si="25"/>
        <v>0</v>
      </c>
      <c r="Y90" s="10" t="s">
        <v>190</v>
      </c>
    </row>
    <row r="91" spans="1:25">
      <c r="A91" s="148"/>
      <c r="B91" s="171" t="s">
        <v>189</v>
      </c>
      <c r="C91" s="246">
        <f>COUNTIFS(เรื่องร้องเรียน!E:E,"1",เรื่องร้องเรียน!N:N,"บางกอกน้อย",เรื่องร้องเรียน!AN:AN,"บางขุนนนท์")</f>
        <v>0</v>
      </c>
      <c r="D91" s="109">
        <f>COUNTIFS(เรื่องร้องเรียน!E:E,"1",เรื่องร้องเรียน!N:N,"บางกอกน้อย",เรื่องร้องเรียน!AN:AN,"บางขุนนนท์",เรื่องร้องเรียน!CL:CL,"1")</f>
        <v>0</v>
      </c>
      <c r="E91" s="109">
        <f>COUNTIFS(เรื่องร้องเรียน!E:E,"2",เรื่องร้องเรียน!N:N,"บางกอกน้อย",เรื่องร้องเรียน!AN:AN,"บางขุนนนท์")</f>
        <v>0</v>
      </c>
      <c r="F91" s="109">
        <f>COUNTIFS(เรื่องร้องเรียน!E:E,"2",เรื่องร้องเรียน!N:N,"บางกอกน้อย",เรื่องร้องเรียน!AN:AN,"บางขุนนนท์",เรื่องร้องเรียน!CL:CL,"1")</f>
        <v>0</v>
      </c>
      <c r="G91" s="109">
        <f>COUNTIFS(เรื่องร้องเรียน!E:E,"3",เรื่องร้องเรียน!N:N,"บางกอกน้อย",เรื่องร้องเรียน!AN:AN,"บางขุนนนท์")</f>
        <v>0</v>
      </c>
      <c r="H91" s="109">
        <f>COUNTIFS(เรื่องร้องเรียน!E:E,"3",เรื่องร้องเรียน!N:N,"บางกอกน้อย",เรื่องร้องเรียน!AN:AN,"บางขุนนนท์",เรื่องร้องเรียน!CL:CL,"1")</f>
        <v>0</v>
      </c>
      <c r="I91" s="109">
        <f>COUNTIFS(เรื่องร้องเรียน!E:E,"4",เรื่องร้องเรียน!N:N,"บางกอกน้อย",เรื่องร้องเรียน!AN:AN,"บางขุนนนท์")</f>
        <v>0</v>
      </c>
      <c r="J91" s="144">
        <f>COUNTIFS(เรื่องร้องเรียน!E:E,"4",เรื่องร้องเรียน!N:N,"บางกอกน้อย",เรื่องร้องเรียน!AN:AN,"บางขุนนนท์",เรื่องร้องเรียน!CL:CL,"1")</f>
        <v>0</v>
      </c>
      <c r="K91" s="144"/>
      <c r="L91" s="144"/>
      <c r="M91" s="109">
        <f t="shared" si="35"/>
        <v>0</v>
      </c>
      <c r="N91" s="145">
        <f t="shared" si="35"/>
        <v>0</v>
      </c>
      <c r="O91" s="146">
        <f>COUNTIFS(เรื่องร้องเรียน!E:E,"1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P91" s="144">
        <f>COUNTIFS(เรื่องร้องเรียน!E:E,"2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Q91" s="144">
        <f>COUNTIFS(เรื่องร้องเรียน!E:E,"3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R91" s="144">
        <f>COUNTIFS(เรื่องร้องเรียน!E:E,"4",เรื่องร้องเรียน!N:N,"บางกอกน้อย",เรื่องร้องเรียน!AN:AN,"บางขุนนนท์",เรื่องร้องเรียน!AQ:AQ,"1",เรื่องร้องเรียน!CL:CL,"")</f>
        <v>0</v>
      </c>
      <c r="S91" s="144"/>
      <c r="T91" s="147">
        <f t="shared" si="32"/>
        <v>0</v>
      </c>
      <c r="U91" s="129">
        <f t="shared" si="29"/>
        <v>0</v>
      </c>
      <c r="W91" s="129">
        <f t="shared" si="25"/>
        <v>0</v>
      </c>
    </row>
    <row r="92" spans="1:25">
      <c r="A92" s="148"/>
      <c r="B92" s="171" t="s">
        <v>127</v>
      </c>
      <c r="C92" s="123">
        <f>COUNTIFS(เรื่องร้องเรียน!E:E,"1",เรื่องร้องเรียน!N:N,"บางกอกน้อย",เรื่องร้องเรียน!AN:AN,"บางยี่ขัน")</f>
        <v>0</v>
      </c>
      <c r="D92" s="117">
        <f>COUNTIFS(เรื่องร้องเรียน!E:E,"1",เรื่องร้องเรียน!N:N,"บางกอกน้อย",เรื่องร้องเรียน!AN:AN,"บางยี่ขัน",เรื่องร้องเรียน!CL:CL,"1")</f>
        <v>0</v>
      </c>
      <c r="E92" s="117">
        <f>COUNTIFS(เรื่องร้องเรียน!E:E,"2",เรื่องร้องเรียน!N:N,"บางกอกน้อย",เรื่องร้องเรียน!AN:AN,"บางยี่ขัน")</f>
        <v>0</v>
      </c>
      <c r="F92" s="117">
        <f>COUNTIFS(เรื่องร้องเรียน!E:E,"2",เรื่องร้องเรียน!N:N,"บางกอกน้อย",เรื่องร้องเรียน!AN:AN,"บางยี่ขัน",เรื่องร้องเรียน!CL:CL,"1")</f>
        <v>0</v>
      </c>
      <c r="G92" s="117">
        <f>COUNTIFS(เรื่องร้องเรียน!E:E,"3",เรื่องร้องเรียน!N:N,"บางกอกน้อย",เรื่องร้องเรียน!AN:AN,"บางยี่ขัน")</f>
        <v>0</v>
      </c>
      <c r="H92" s="117">
        <f>COUNTIFS(เรื่องร้องเรียน!E:E,"3",เรื่องร้องเรียน!N:N,"บางกอกน้อย",เรื่องร้องเรียน!AN:AN,"บางยี่ขัน",เรื่องร้องเรียน!CL:CL,"1")</f>
        <v>0</v>
      </c>
      <c r="I92" s="117">
        <f>COUNTIFS(เรื่องร้องเรียน!E:E,"4",เรื่องร้องเรียน!N:N,"บางกอกน้อย",เรื่องร้องเรียน!AN:AN,"บางยี่ขัน")</f>
        <v>0</v>
      </c>
      <c r="J92" s="152">
        <f>COUNTIFS(เรื่องร้องเรียน!E:E,"4",เรื่องร้องเรียน!N:N,"บางกอกน้อย",เรื่องร้องเรียน!AN:AN,"บางยี่ขัน",เรื่องร้องเรียน!CL:CL,"1")</f>
        <v>0</v>
      </c>
      <c r="K92" s="152"/>
      <c r="L92" s="152"/>
      <c r="M92" s="117">
        <f t="shared" si="35"/>
        <v>0</v>
      </c>
      <c r="N92" s="122">
        <f t="shared" si="35"/>
        <v>0</v>
      </c>
      <c r="O92" s="153">
        <f>COUNTIFS(เรื่องร้องเรียน!E:E,"1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P92" s="152">
        <f>COUNTIFS(เรื่องร้องเรียน!E:E,"2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Q92" s="152">
        <f>COUNTIFS(เรื่องร้องเรียน!E:E,"3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R92" s="152">
        <f>COUNTIFS(เรื่องร้องเรียน!E:E,"4",เรื่องร้องเรียน!N:N,"บางกอกน้อย",เรื่องร้องเรียน!AN:AN,"บางยี่ขัน",เรื่องร้องเรียน!AQ:AQ,"1",เรื่องร้องเรียน!CL:CL,"")</f>
        <v>0</v>
      </c>
      <c r="S92" s="152"/>
      <c r="T92" s="154">
        <f t="shared" si="32"/>
        <v>0</v>
      </c>
      <c r="U92" s="129">
        <f t="shared" si="29"/>
        <v>0</v>
      </c>
      <c r="W92" s="129">
        <f t="shared" si="25"/>
        <v>0</v>
      </c>
    </row>
    <row r="93" spans="1:25">
      <c r="A93" s="148"/>
      <c r="B93" s="171" t="s">
        <v>185</v>
      </c>
      <c r="C93" s="123">
        <f>COUNTIFS(เรื่องร้องเรียน!E:E,"1",เรื่องร้องเรียน!N:N,"บางกอกน้อย",เรื่องร้องเรียน!AN:AN,"ตลิ่งชัน")</f>
        <v>0</v>
      </c>
      <c r="D93" s="117">
        <f>COUNTIFS(เรื่องร้องเรียน!E:E,"1",เรื่องร้องเรียน!N:N,"บางกอกน้อย",เรื่องร้องเรียน!AN:AN,"ตลิ่งชัน",เรื่องร้องเรียน!CL:CL,"1")</f>
        <v>0</v>
      </c>
      <c r="E93" s="117">
        <f>COUNTIFS(เรื่องร้องเรียน!E:E,"2",เรื่องร้องเรียน!N:N,"บางกอกน้อย",เรื่องร้องเรียน!AN:AN,"ตลิ่งชัน")</f>
        <v>0</v>
      </c>
      <c r="F93" s="117">
        <f>COUNTIFS(เรื่องร้องเรียน!E:E,"2",เรื่องร้องเรียน!N:N,"บางกอกน้อย",เรื่องร้องเรียน!AN:AN,"ตลิ่งชัน",เรื่องร้องเรียน!CL:CL,"1")</f>
        <v>0</v>
      </c>
      <c r="G93" s="117">
        <f>COUNTIFS(เรื่องร้องเรียน!E:E,"3",เรื่องร้องเรียน!N:N,"บางกอกน้อย",เรื่องร้องเรียน!AN:AN,"ตลิ่งชัน")</f>
        <v>0</v>
      </c>
      <c r="H93" s="117">
        <f>COUNTIFS(เรื่องร้องเรียน!E:E,"3",เรื่องร้องเรียน!N:N,"บางกอกน้อย",เรื่องร้องเรียน!AN:AN,"ตลิ่งชัน",เรื่องร้องเรียน!CL:CL,"1")</f>
        <v>0</v>
      </c>
      <c r="I93" s="117">
        <f>COUNTIFS(เรื่องร้องเรียน!E:E,"4",เรื่องร้องเรียน!N:N,"บางกอกน้อย",เรื่องร้องเรียน!AN:AN,"ตลิ่งชัน")</f>
        <v>0</v>
      </c>
      <c r="J93" s="152">
        <f>COUNTIFS(เรื่องร้องเรียน!E:E,"4",เรื่องร้องเรียน!N:N,"บางกอกน้อย",เรื่องร้องเรียน!AN:AN,"ตลิ่งชัน",เรื่องร้องเรียน!CL:CL,"1")</f>
        <v>0</v>
      </c>
      <c r="K93" s="152"/>
      <c r="L93" s="152"/>
      <c r="M93" s="117">
        <f>SUM(C93,E93,G93,I93,K93)</f>
        <v>0</v>
      </c>
      <c r="N93" s="122">
        <f>SUM(D93,F93,H93,J93,L93)</f>
        <v>0</v>
      </c>
      <c r="O93" s="153">
        <f>COUNTIFS(เรื่องร้องเรียน!E:E,"1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P93" s="152">
        <f>COUNTIFS(เรื่องร้องเรียน!E:E,"2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Q93" s="152">
        <f>COUNTIFS(เรื่องร้องเรียน!E:E,"3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R93" s="152">
        <f>COUNTIFS(เรื่องร้องเรียน!E:E,"4",เรื่องร้องเรียน!N:N,"บางกอกน้อย",เรื่องร้องเรียน!AN:AN,"ตลิ่งชัน",เรื่องร้องเรียน!AQ:AQ,"1",เรื่องร้องเรียน!CL:CL,"")</f>
        <v>0</v>
      </c>
      <c r="S93" s="152"/>
      <c r="T93" s="154">
        <f>SUM(O93:S93)</f>
        <v>0</v>
      </c>
      <c r="U93" s="129">
        <f>M93-N93-T93</f>
        <v>0</v>
      </c>
      <c r="W93" s="129">
        <f t="shared" si="25"/>
        <v>0</v>
      </c>
    </row>
    <row r="94" spans="1:25" ht="21.6" thickBot="1">
      <c r="A94" s="174"/>
      <c r="B94" s="172" t="s">
        <v>190</v>
      </c>
      <c r="C94" s="123">
        <f>COUNTIFS(เรื่องร้องเรียน!E:E,"1",เรื่องร้องเรียน!N:N,"บางกอกน้อย",เรื่องร้องเรียน!AN:AN,"บางเสาธง")</f>
        <v>0</v>
      </c>
      <c r="D94" s="117">
        <f>COUNTIFS(เรื่องร้องเรียน!E:E,"1",เรื่องร้องเรียน!N:N,"บางกอกน้อย",เรื่องร้องเรียน!AN:AN,"บางเสาธง",เรื่องร้องเรียน!CL:CL,"1")</f>
        <v>0</v>
      </c>
      <c r="E94" s="117">
        <f>COUNTIFS(เรื่องร้องเรียน!E:E,"2",เรื่องร้องเรียน!N:N,"บางกอกน้อย",เรื่องร้องเรียน!AN:AN,"บางเสาธง")</f>
        <v>0</v>
      </c>
      <c r="F94" s="117">
        <f>COUNTIFS(เรื่องร้องเรียน!E:E,"2",เรื่องร้องเรียน!N:N,"บางกอกน้อย",เรื่องร้องเรียน!AN:AN,"บางเสาธง",เรื่องร้องเรียน!CL:CL,"1")</f>
        <v>0</v>
      </c>
      <c r="G94" s="117">
        <f>COUNTIFS(เรื่องร้องเรียน!E:E,"3",เรื่องร้องเรียน!N:N,"บางกอกน้อย",เรื่องร้องเรียน!AN:AN,"บางเสาธง")</f>
        <v>0</v>
      </c>
      <c r="H94" s="117">
        <f>COUNTIFS(เรื่องร้องเรียน!E:E,"3",เรื่องร้องเรียน!N:N,"บางกอกน้อย",เรื่องร้องเรียน!AN:AN,"บางเสาธง",เรื่องร้องเรียน!CL:CL,"1")</f>
        <v>0</v>
      </c>
      <c r="I94" s="117">
        <f>COUNTIFS(เรื่องร้องเรียน!E:E,"4",เรื่องร้องเรียน!N:N,"บางกอกน้อย",เรื่องร้องเรียน!AN:AN,"บางเสาธง")</f>
        <v>0</v>
      </c>
      <c r="J94" s="152">
        <f>COUNTIFS(เรื่องร้องเรียน!E:E,"4",เรื่องร้องเรียน!N:N,"บางกอกน้อย",เรื่องร้องเรียน!AN:AN,"บางเสาธง",เรื่องร้องเรียน!CL:CL,"1")</f>
        <v>0</v>
      </c>
      <c r="K94" s="152"/>
      <c r="L94" s="152"/>
      <c r="M94" s="117">
        <f>SUM(C94,E94,G94,I94,K94)</f>
        <v>0</v>
      </c>
      <c r="N94" s="122">
        <f>SUM(D94,F94,H94,J94,L94)</f>
        <v>0</v>
      </c>
      <c r="O94" s="153">
        <f>COUNTIFS(เรื่องร้องเรียน!E:E,"1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P94" s="152">
        <f>COUNTIFS(เรื่องร้องเรียน!E:E,"2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Q94" s="152">
        <f>COUNTIFS(เรื่องร้องเรียน!E:E,"3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R94" s="152">
        <f>COUNTIFS(เรื่องร้องเรียน!E:E,"4",เรื่องร้องเรียน!N:N,"บางกอกน้อย",เรื่องร้องเรียน!AN:AN,"บางเสาธง",เรื่องร้องเรียน!AQ:AQ,"1",เรื่องร้องเรียน!CL:CL,"")</f>
        <v>0</v>
      </c>
      <c r="S94" s="152"/>
      <c r="T94" s="154">
        <f>SUM(O94:S94)</f>
        <v>0</v>
      </c>
      <c r="U94" s="128">
        <f>M94-N94-T94</f>
        <v>0</v>
      </c>
      <c r="W94" s="129">
        <f t="shared" si="25"/>
        <v>0</v>
      </c>
    </row>
    <row r="95" spans="1:25" ht="21.6" thickBot="1">
      <c r="A95" s="130" t="s">
        <v>188</v>
      </c>
      <c r="B95" s="169" t="s">
        <v>152</v>
      </c>
      <c r="C95" s="132">
        <f>SUM(C96:C98 )</f>
        <v>0</v>
      </c>
      <c r="D95" s="131">
        <f t="shared" ref="D95:T95" si="36">SUM(D96:D98 )</f>
        <v>0</v>
      </c>
      <c r="E95" s="131">
        <f t="shared" si="36"/>
        <v>0</v>
      </c>
      <c r="F95" s="131">
        <f t="shared" si="36"/>
        <v>0</v>
      </c>
      <c r="G95" s="131">
        <f t="shared" si="36"/>
        <v>0</v>
      </c>
      <c r="H95" s="131">
        <f t="shared" si="36"/>
        <v>0</v>
      </c>
      <c r="I95" s="131">
        <f t="shared" si="36"/>
        <v>0</v>
      </c>
      <c r="J95" s="131">
        <f t="shared" si="36"/>
        <v>0</v>
      </c>
      <c r="K95" s="131">
        <f t="shared" si="36"/>
        <v>0</v>
      </c>
      <c r="L95" s="131">
        <f t="shared" si="36"/>
        <v>0</v>
      </c>
      <c r="M95" s="131">
        <f t="shared" si="36"/>
        <v>0</v>
      </c>
      <c r="N95" s="163">
        <f t="shared" si="36"/>
        <v>0</v>
      </c>
      <c r="O95" s="132">
        <f t="shared" si="36"/>
        <v>0</v>
      </c>
      <c r="P95" s="131">
        <f t="shared" si="36"/>
        <v>0</v>
      </c>
      <c r="Q95" s="131">
        <f t="shared" si="36"/>
        <v>0</v>
      </c>
      <c r="R95" s="131">
        <f t="shared" si="36"/>
        <v>0</v>
      </c>
      <c r="S95" s="131">
        <f t="shared" si="36"/>
        <v>0</v>
      </c>
      <c r="T95" s="133">
        <f t="shared" si="36"/>
        <v>0</v>
      </c>
      <c r="U95" s="134">
        <f t="shared" si="29"/>
        <v>0</v>
      </c>
      <c r="W95" s="135">
        <f t="shared" si="25"/>
        <v>0</v>
      </c>
    </row>
    <row r="96" spans="1:25">
      <c r="A96" s="165"/>
      <c r="B96" s="170" t="s">
        <v>20</v>
      </c>
      <c r="C96" s="140"/>
      <c r="D96" s="138"/>
      <c r="E96" s="138"/>
      <c r="F96" s="138"/>
      <c r="G96" s="138"/>
      <c r="H96" s="138"/>
      <c r="I96" s="138"/>
      <c r="J96" s="138"/>
      <c r="K96" s="138">
        <f>COUNTIFS(เรื่องร้องเรียน!E:E,"5",เรื่องร้องเรียน!N:N,"บางกอกใหญ่")</f>
        <v>0</v>
      </c>
      <c r="L96" s="138">
        <f>COUNTIFS(เรื่องร้องเรียน!E:E,"5",เรื่องร้องเรียน!N:N,"บางกอกใหญ่",เรื่องร้องเรียน!CL:CL,"1")</f>
        <v>0</v>
      </c>
      <c r="M96" s="138">
        <f t="shared" ref="M96:N98" si="37">SUM(C96,E96,G96,I96,K96)</f>
        <v>0</v>
      </c>
      <c r="N96" s="139">
        <f t="shared" si="37"/>
        <v>0</v>
      </c>
      <c r="O96" s="140"/>
      <c r="P96" s="138"/>
      <c r="Q96" s="138"/>
      <c r="R96" s="138"/>
      <c r="S96" s="138">
        <f>COUNTIFS(เรื่องร้องเรียน!E:E,"5",เรื่องร้องเรียน!N:N,"บางกอกใหญ่",เรื่องร้องเรียน!AQ:AQ,"1",เรื่องร้องเรียน!CL:CL,"")</f>
        <v>0</v>
      </c>
      <c r="T96" s="141">
        <f t="shared" si="32"/>
        <v>0</v>
      </c>
      <c r="U96" s="129">
        <f t="shared" si="29"/>
        <v>0</v>
      </c>
      <c r="W96" s="129">
        <f t="shared" si="25"/>
        <v>0</v>
      </c>
    </row>
    <row r="97" spans="1:23">
      <c r="A97" s="148"/>
      <c r="B97" s="171" t="s">
        <v>186</v>
      </c>
      <c r="C97" s="246">
        <f>COUNTIFS(เรื่องร้องเรียน!E:E,"1",เรื่องร้องเรียน!N:N,"บางกอกใหญ่",เรื่องร้องเรียน!AN:AN,"ท่าพระ")</f>
        <v>0</v>
      </c>
      <c r="D97" s="109">
        <f>COUNTIFS(เรื่องร้องเรียน!E:E,"1",เรื่องร้องเรียน!N:N,"บางกอกใหญ่",เรื่องร้องเรียน!AN:AN,"ท่าพระ",เรื่องร้องเรียน!CL:CL,"1")</f>
        <v>0</v>
      </c>
      <c r="E97" s="109">
        <f>COUNTIFS(เรื่องร้องเรียน!E:E,"2",เรื่องร้องเรียน!N:N,"บางกอกใหญ่",เรื่องร้องเรียน!AN:AN,"ท่าพระ")</f>
        <v>0</v>
      </c>
      <c r="F97" s="109">
        <f>COUNTIFS(เรื่องร้องเรียน!E:E,"2",เรื่องร้องเรียน!N:N,"บางกอกใหญ่",เรื่องร้องเรียน!AN:AN,"ท่าพระ",เรื่องร้องเรียน!CL:CL,"1")</f>
        <v>0</v>
      </c>
      <c r="G97" s="109">
        <f>COUNTIFS(เรื่องร้องเรียน!E:E,"3",เรื่องร้องเรียน!N:N,"บางกอกใหญ่",เรื่องร้องเรียน!AN:AN,"ท่าพระ")</f>
        <v>0</v>
      </c>
      <c r="H97" s="109">
        <f>COUNTIFS(เรื่องร้องเรียน!E:E,"3",เรื่องร้องเรียน!N:N,"บางกอกใหญ่",เรื่องร้องเรียน!AN:AN,"ท่าพระ",เรื่องร้องเรียน!CL:CL,"1")</f>
        <v>0</v>
      </c>
      <c r="I97" s="109">
        <f>COUNTIFS(เรื่องร้องเรียน!E:E,"4",เรื่องร้องเรียน!N:N,"บางกอกใหญ่",เรื่องร้องเรียน!AN:AN,"ท่าพระ")</f>
        <v>0</v>
      </c>
      <c r="J97" s="144">
        <f>COUNTIFS(เรื่องร้องเรียน!E:E,"4",เรื่องร้องเรียน!N:N,"บางกอกใหญ่",เรื่องร้องเรียน!AN:AN,"ท่าพระ",เรื่องร้องเรียน!CL:CL,"1")</f>
        <v>0</v>
      </c>
      <c r="K97" s="144"/>
      <c r="L97" s="144"/>
      <c r="M97" s="109">
        <f t="shared" si="37"/>
        <v>0</v>
      </c>
      <c r="N97" s="145">
        <f t="shared" si="37"/>
        <v>0</v>
      </c>
      <c r="O97" s="146">
        <f>COUNTIFS(เรื่องร้องเรียน!E:E,"1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P97" s="144">
        <f>COUNTIFS(เรื่องร้องเรียน!E:E,"2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Q97" s="144">
        <f>COUNTIFS(เรื่องร้องเรียน!E:E,"3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R97" s="144">
        <f>COUNTIFS(เรื่องร้องเรียน!E:E,"4",เรื่องร้องเรียน!N:N,"บางกอกใหญ่",เรื่องร้องเรียน!AN:AN,"ท่าพระ",เรื่องร้องเรียน!AQ:AQ,"1",เรื่องร้องเรียน!CL:CL,"")</f>
        <v>0</v>
      </c>
      <c r="S97" s="144"/>
      <c r="T97" s="147">
        <f t="shared" si="32"/>
        <v>0</v>
      </c>
      <c r="U97" s="129">
        <f t="shared" si="29"/>
        <v>0</v>
      </c>
      <c r="W97" s="129">
        <f t="shared" si="25"/>
        <v>0</v>
      </c>
    </row>
    <row r="98" spans="1:23" ht="21.6" thickBot="1">
      <c r="A98" s="150"/>
      <c r="B98" s="177" t="s">
        <v>188</v>
      </c>
      <c r="C98" s="123">
        <f>COUNTIFS(เรื่องร้องเรียน!E:E,"1",เรื่องร้องเรียน!N:N,"บางกอกใหญ่",เรื่องร้องเรียน!AN:AN,"บางกอกใหญ่")</f>
        <v>0</v>
      </c>
      <c r="D98" s="117">
        <f>COUNTIFS(เรื่องร้องเรียน!E:E,"1",เรื่องร้องเรียน!N:N,"บางกอกใหญ่",เรื่องร้องเรียน!AN:AN,"บางกอกใหญ่",เรื่องร้องเรียน!CL:CL,"1")</f>
        <v>0</v>
      </c>
      <c r="E98" s="117">
        <f>COUNTIFS(เรื่องร้องเรียน!E:E,"2",เรื่องร้องเรียน!N:N,"บางกอกใหญ่",เรื่องร้องเรียน!AN:AN,"บางกอกใหญ่")</f>
        <v>0</v>
      </c>
      <c r="F98" s="117">
        <f>COUNTIFS(เรื่องร้องเรียน!E:E,"2",เรื่องร้องเรียน!N:N,"บางกอกใหญ่",เรื่องร้องเรียน!AN:AN,"บางกอกใหญ่",เรื่องร้องเรียน!CL:CL,"1")</f>
        <v>0</v>
      </c>
      <c r="G98" s="117">
        <f>COUNTIFS(เรื่องร้องเรียน!E:E,"3",เรื่องร้องเรียน!N:N,"บางกอกใหญ่",เรื่องร้องเรียน!AN:AN,"บางกอกใหญ่")</f>
        <v>0</v>
      </c>
      <c r="H98" s="117">
        <f>COUNTIFS(เรื่องร้องเรียน!E:E,"3",เรื่องร้องเรียน!N:N,"บางกอกใหญ่",เรื่องร้องเรียน!AN:AN,"บางกอกใหญ่",เรื่องร้องเรียน!CL:CL,"1")</f>
        <v>0</v>
      </c>
      <c r="I98" s="117">
        <f>COUNTIFS(เรื่องร้องเรียน!E:E,"4",เรื่องร้องเรียน!N:N,"บางกอกใหญ่",เรื่องร้องเรียน!AN:AN,"บางกอกใหญ่")</f>
        <v>0</v>
      </c>
      <c r="J98" s="152">
        <f>COUNTIFS(เรื่องร้องเรียน!E:E,"4",เรื่องร้องเรียน!N:N,"บางกอกใหญ่",เรื่องร้องเรียน!AN:AN,"บางกอกใหญ่",เรื่องร้องเรียน!CL:CL,"1")</f>
        <v>0</v>
      </c>
      <c r="K98" s="152"/>
      <c r="L98" s="152"/>
      <c r="M98" s="117">
        <f t="shared" si="37"/>
        <v>0</v>
      </c>
      <c r="N98" s="122">
        <f t="shared" si="37"/>
        <v>0</v>
      </c>
      <c r="O98" s="153">
        <f>COUNTIFS(เรื่องร้องเรียน!E:E,"1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P98" s="152">
        <f>COUNTIFS(เรื่องร้องเรียน!E:E,"2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Q98" s="152">
        <f>COUNTIFS(เรื่องร้องเรียน!E:E,"3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R98" s="152">
        <f>COUNTIFS(เรื่องร้องเรียน!E:E,"4",เรื่องร้องเรียน!N:N,"บางกอกใหญ่",เรื่องร้องเรียน!AN:AN,"บางกอกใหญ่",เรื่องร้องเรียน!AQ:AQ,"1",เรื่องร้องเรียน!CL:CL,"")</f>
        <v>0</v>
      </c>
      <c r="S98" s="152"/>
      <c r="T98" s="154">
        <f t="shared" si="32"/>
        <v>0</v>
      </c>
      <c r="U98" s="129">
        <f t="shared" si="29"/>
        <v>0</v>
      </c>
      <c r="W98" s="129">
        <f t="shared" si="25"/>
        <v>0</v>
      </c>
    </row>
    <row r="99" spans="1:23" ht="21.6" thickBot="1">
      <c r="A99" s="130" t="s">
        <v>119</v>
      </c>
      <c r="B99" s="169" t="s">
        <v>152</v>
      </c>
      <c r="C99" s="132">
        <f>SUM(C100:C106 )</f>
        <v>0</v>
      </c>
      <c r="D99" s="131">
        <f>SUM(D100:D106)</f>
        <v>0</v>
      </c>
      <c r="E99" s="131">
        <f t="shared" ref="E99:N99" si="38">SUM(E100:E106 )</f>
        <v>0</v>
      </c>
      <c r="F99" s="131">
        <f t="shared" si="38"/>
        <v>0</v>
      </c>
      <c r="G99" s="131">
        <f t="shared" si="38"/>
        <v>0</v>
      </c>
      <c r="H99" s="131">
        <f t="shared" si="38"/>
        <v>0</v>
      </c>
      <c r="I99" s="131">
        <f t="shared" si="38"/>
        <v>0</v>
      </c>
      <c r="J99" s="131">
        <f t="shared" si="38"/>
        <v>0</v>
      </c>
      <c r="K99" s="131">
        <f t="shared" si="38"/>
        <v>0</v>
      </c>
      <c r="L99" s="131">
        <f t="shared" si="38"/>
        <v>0</v>
      </c>
      <c r="M99" s="131">
        <f t="shared" si="38"/>
        <v>0</v>
      </c>
      <c r="N99" s="163">
        <f t="shared" si="38"/>
        <v>0</v>
      </c>
      <c r="O99" s="132">
        <f t="shared" ref="O99:T99" si="39">SUM(O100:O106)</f>
        <v>0</v>
      </c>
      <c r="P99" s="132">
        <f t="shared" si="39"/>
        <v>0</v>
      </c>
      <c r="Q99" s="132">
        <f t="shared" si="39"/>
        <v>0</v>
      </c>
      <c r="R99" s="132">
        <f t="shared" si="39"/>
        <v>0</v>
      </c>
      <c r="S99" s="132">
        <f t="shared" si="39"/>
        <v>0</v>
      </c>
      <c r="T99" s="133">
        <f t="shared" si="39"/>
        <v>0</v>
      </c>
      <c r="U99" s="134">
        <f t="shared" si="29"/>
        <v>0</v>
      </c>
      <c r="W99" s="135">
        <f t="shared" si="25"/>
        <v>0</v>
      </c>
    </row>
    <row r="100" spans="1:23">
      <c r="A100" s="173"/>
      <c r="B100" s="170" t="s">
        <v>20</v>
      </c>
      <c r="C100" s="140"/>
      <c r="D100" s="138"/>
      <c r="E100" s="138"/>
      <c r="F100" s="138"/>
      <c r="G100" s="138"/>
      <c r="H100" s="138"/>
      <c r="I100" s="138"/>
      <c r="J100" s="138"/>
      <c r="K100" s="138">
        <f>COUNTIFS(เรื่องร้องเรียน!E:E,"5",เรื่องร้องเรียน!N:N,"บางกะปิ")</f>
        <v>0</v>
      </c>
      <c r="L100" s="138">
        <f>COUNTIFS(เรื่องร้องเรียน!E:E,"5",เรื่องร้องเรียน!N:N,"บางกะปิ",เรื่องร้องเรียน!CL:CL,"1")</f>
        <v>0</v>
      </c>
      <c r="M100" s="138">
        <f t="shared" ref="M100:N106" si="40">SUM(C100,E100,G100,I100,K100)</f>
        <v>0</v>
      </c>
      <c r="N100" s="139">
        <f t="shared" si="40"/>
        <v>0</v>
      </c>
      <c r="O100" s="140"/>
      <c r="P100" s="138"/>
      <c r="Q100" s="138"/>
      <c r="R100" s="138"/>
      <c r="S100" s="138">
        <f>COUNTIFS(เรื่องร้องเรียน!E:E,"5",เรื่องร้องเรียน!N:N,"บางกะปิ",เรื่องร้องเรียน!AQ:AQ,"1",เรื่องร้องเรียน!CL:CL,"")</f>
        <v>0</v>
      </c>
      <c r="T100" s="141">
        <f t="shared" si="32"/>
        <v>0</v>
      </c>
      <c r="U100" s="129">
        <f t="shared" si="29"/>
        <v>0</v>
      </c>
      <c r="V100" s="10" t="s">
        <v>179</v>
      </c>
      <c r="W100" s="129">
        <f t="shared" si="25"/>
        <v>0</v>
      </c>
    </row>
    <row r="101" spans="1:23">
      <c r="A101" s="148"/>
      <c r="B101" s="171" t="s">
        <v>120</v>
      </c>
      <c r="C101" s="246">
        <f>COUNTIFS(เรื่องร้องเรียน!E:E,"1",เรื่องร้องเรียน!N:N,"บางกะปิ",เรื่องร้องเรียน!AN:AN,"ลาดพร้าว")</f>
        <v>0</v>
      </c>
      <c r="D101" s="109">
        <f>COUNTIFS(เรื่องร้องเรียน!E:E,"1",เรื่องร้องเรียน!N:N,"บางกะปิ",เรื่องร้องเรียน!AN:AN,"ลาดพร้าว",เรื่องร้องเรียน!CL:CL,"1")</f>
        <v>0</v>
      </c>
      <c r="E101" s="109">
        <f>COUNTIFS(เรื่องร้องเรียน!E:E,"2",เรื่องร้องเรียน!N:N,"บางกะปิ",เรื่องร้องเรียน!AN:AN,"ลาดพร้าว")</f>
        <v>0</v>
      </c>
      <c r="F101" s="109">
        <f>COUNTIFS(เรื่องร้องเรียน!E:E,"2",เรื่องร้องเรียน!N:N,"บางกะปิ",เรื่องร้องเรียน!AN:AN,"ลาดพร้าว",เรื่องร้องเรียน!CL:CL,"1")</f>
        <v>0</v>
      </c>
      <c r="G101" s="109">
        <f>COUNTIFS(เรื่องร้องเรียน!E:E,"3",เรื่องร้องเรียน!N:N,"บางกะปิ",เรื่องร้องเรียน!AN:AN,"ลาดพร้าว")</f>
        <v>0</v>
      </c>
      <c r="H101" s="109">
        <f>COUNTIFS(เรื่องร้องเรียน!E:E,"3",เรื่องร้องเรียน!N:N,"บางกะปิ",เรื่องร้องเรียน!AN:AN,"ลาดพร้าว",เรื่องร้องเรียน!CL:CL,"1")</f>
        <v>0</v>
      </c>
      <c r="I101" s="109">
        <f>COUNTIFS(เรื่องร้องเรียน!E:E,"4",เรื่องร้องเรียน!N:N,"บางกะปิ",เรื่องร้องเรียน!AN:AN,"ลาดพร้าว")</f>
        <v>0</v>
      </c>
      <c r="J101" s="144">
        <f>COUNTIFS(เรื่องร้องเรียน!E:E,"4",เรื่องร้องเรียน!N:N,"บางกะปิ",เรื่องร้องเรียน!AN:AN,"ลาดพร้าว",เรื่องร้องเรียน!CL:CL,"1")</f>
        <v>0</v>
      </c>
      <c r="K101" s="144"/>
      <c r="L101" s="144"/>
      <c r="M101" s="109">
        <f t="shared" si="40"/>
        <v>0</v>
      </c>
      <c r="N101" s="145">
        <f t="shared" si="40"/>
        <v>0</v>
      </c>
      <c r="O101" s="146">
        <f>COUNTIFS(เรื่องร้องเรียน!E:E,"1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P101" s="144">
        <f>COUNTIFS(เรื่องร้องเรียน!E:E,"2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Q101" s="144">
        <f>COUNTIFS(เรื่องร้องเรียน!E:E,"3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R101" s="144">
        <f>COUNTIFS(เรื่องร้องเรียน!E:E,"4",เรื่องร้องเรียน!N:N,"บางกะปิ",เรื่องร้องเรียน!AN:AN,"ลาดพร้าว",เรื่องร้องเรียน!AQ:AQ,"1",เรื่องร้องเรียน!CL:CL,"")</f>
        <v>0</v>
      </c>
      <c r="S101" s="144"/>
      <c r="T101" s="147">
        <f t="shared" si="32"/>
        <v>0</v>
      </c>
      <c r="U101" s="129">
        <f t="shared" si="29"/>
        <v>0</v>
      </c>
      <c r="V101" s="10" t="s">
        <v>73</v>
      </c>
      <c r="W101" s="129">
        <f t="shared" si="25"/>
        <v>0</v>
      </c>
    </row>
    <row r="102" spans="1:23">
      <c r="A102" s="148"/>
      <c r="B102" s="171" t="s">
        <v>91</v>
      </c>
      <c r="C102" s="123">
        <f>COUNTIFS(เรื่องร้องเรียน!E:E,"1",เรื่องร้องเรียน!N:N,"บางกะปิ",เรื่องร้องเรียน!AN:AN,"หัวหมาก")</f>
        <v>0</v>
      </c>
      <c r="D102" s="117">
        <f>COUNTIFS(เรื่องร้องเรียน!E:E,"1",เรื่องร้องเรียน!N:N,"บางกะปิ",เรื่องร้องเรียน!AN:AN,"หัวหมาก",เรื่องร้องเรียน!CL:CL,"1")</f>
        <v>0</v>
      </c>
      <c r="E102" s="117">
        <f>COUNTIFS(เรื่องร้องเรียน!E:E,"2",เรื่องร้องเรียน!N:N,"บางกะปิ",เรื่องร้องเรียน!AN:AN,"หัวหมาก")</f>
        <v>0</v>
      </c>
      <c r="F102" s="117">
        <f>COUNTIFS(เรื่องร้องเรียน!E:E,"2",เรื่องร้องเรียน!N:N,"บางกะปิ",เรื่องร้องเรียน!AN:AN,"หัวหมาก",เรื่องร้องเรียน!CL:CL,"1")</f>
        <v>0</v>
      </c>
      <c r="G102" s="117">
        <f>COUNTIFS(เรื่องร้องเรียน!E:E,"3",เรื่องร้องเรียน!N:N,"บางกะปิ",เรื่องร้องเรียน!AN:AN,"หัวหมาก")</f>
        <v>0</v>
      </c>
      <c r="H102" s="117">
        <f>COUNTIFS(เรื่องร้องเรียน!E:E,"3",เรื่องร้องเรียน!N:N,"บางกะปิ",เรื่องร้องเรียน!AN:AN,"หัวหมาก",เรื่องร้องเรียน!CL:CL,"1")</f>
        <v>0</v>
      </c>
      <c r="I102" s="117">
        <f>COUNTIFS(เรื่องร้องเรียน!E:E,"4",เรื่องร้องเรียน!N:N,"บางกะปิ",เรื่องร้องเรียน!AN:AN,"หัวหมาก")</f>
        <v>0</v>
      </c>
      <c r="J102" s="152">
        <f>COUNTIFS(เรื่องร้องเรียน!E:E,"4",เรื่องร้องเรียน!N:N,"บางกะปิ",เรื่องร้องเรียน!AN:AN,"หัวหมาก",เรื่องร้องเรียน!CL:CL,"1")</f>
        <v>0</v>
      </c>
      <c r="K102" s="152"/>
      <c r="L102" s="152"/>
      <c r="M102" s="117">
        <f t="shared" si="40"/>
        <v>0</v>
      </c>
      <c r="N102" s="122">
        <f t="shared" si="40"/>
        <v>0</v>
      </c>
      <c r="O102" s="153">
        <f>COUNTIFS(เรื่องร้องเรียน!E:E,"1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P102" s="152">
        <f>COUNTIFS(เรื่องร้องเรียน!E:E,"2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Q102" s="152">
        <f>COUNTIFS(เรื่องร้องเรียน!E:E,"3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R102" s="152">
        <f>COUNTIFS(เรื่องร้องเรียน!E:E,"4",เรื่องร้องเรียน!N:N,"บางกะปิ",เรื่องร้องเรียน!AN:AN,"หัวหมาก",เรื่องร้องเรียน!AQ:AQ,"1",เรื่องร้องเรียน!CL:CL,"")</f>
        <v>0</v>
      </c>
      <c r="S102" s="152"/>
      <c r="T102" s="154">
        <f t="shared" si="32"/>
        <v>0</v>
      </c>
      <c r="U102" s="129">
        <f t="shared" si="29"/>
        <v>0</v>
      </c>
      <c r="V102" s="10" t="s">
        <v>132</v>
      </c>
      <c r="W102" s="129">
        <f t="shared" si="25"/>
        <v>0</v>
      </c>
    </row>
    <row r="103" spans="1:23">
      <c r="A103" s="148"/>
      <c r="B103" s="171" t="s">
        <v>179</v>
      </c>
      <c r="C103" s="123">
        <f>COUNTIFS(เรื่องร้องเรียน!E:E,"1",เรื่องร้องเรียน!N:N,"บางกะปิ",เรื่องร้องเรียน!AN:AN,"วังทองหลาง")</f>
        <v>0</v>
      </c>
      <c r="D103" s="117">
        <f>COUNTIFS(เรื่องร้องเรียน!E:E,"1",เรื่องร้องเรียน!N:N,"บางกะปิ",เรื่องร้องเรียน!AN:AN,"วังทองหลาง",เรื่องร้องเรียน!CL:CL,"1")</f>
        <v>0</v>
      </c>
      <c r="E103" s="117">
        <f>COUNTIFS(เรื่องร้องเรียน!E:E,"2",เรื่องร้องเรียน!N:N,"บางกะปิ",เรื่องร้องเรียน!AN:AN,"วังทองหลาง")</f>
        <v>0</v>
      </c>
      <c r="F103" s="117">
        <f>COUNTIFS(เรื่องร้องเรียน!E:E,"2",เรื่องร้องเรียน!N:N,"บางกะปิ",เรื่องร้องเรียน!AN:AN,"วังทองหลาง",เรื่องร้องเรียน!CL:CL,"1")</f>
        <v>0</v>
      </c>
      <c r="G103" s="117">
        <f>COUNTIFS(เรื่องร้องเรียน!E:E,"3",เรื่องร้องเรียน!N:N,"บางกะปิ",เรื่องร้องเรียน!AN:AN,"วังทองหลาง")</f>
        <v>0</v>
      </c>
      <c r="H103" s="117">
        <f>COUNTIFS(เรื่องร้องเรียน!E:E,"3",เรื่องร้องเรียน!N:N,"บางกะปิ",เรื่องร้องเรียน!AN:AN,"วังทองหลาง",เรื่องร้องเรียน!CL:CL,"1")</f>
        <v>0</v>
      </c>
      <c r="I103" s="117">
        <f>COUNTIFS(เรื่องร้องเรียน!E:E,"4",เรื่องร้องเรียน!N:N,"บางกะปิ",เรื่องร้องเรียน!AN:AN,"วังทองหลาง")</f>
        <v>0</v>
      </c>
      <c r="J103" s="152">
        <f>COUNTIFS(เรื่องร้องเรียน!E:E,"4",เรื่องร้องเรียน!N:N,"บางกะปิ",เรื่องร้องเรียน!AN:AN,"วังทองหลาง",เรื่องร้องเรียน!CL:CL,"1")</f>
        <v>0</v>
      </c>
      <c r="K103" s="152"/>
      <c r="L103" s="152"/>
      <c r="M103" s="117">
        <f t="shared" si="40"/>
        <v>0</v>
      </c>
      <c r="N103" s="122">
        <f t="shared" si="40"/>
        <v>0</v>
      </c>
      <c r="O103" s="153">
        <f>COUNTIFS(เรื่องร้องเรียน!E:E,"1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P103" s="152">
        <f>COUNTIFS(เรื่องร้องเรียน!E:E,"2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Q103" s="152">
        <f>COUNTIFS(เรื่องร้องเรียน!E:E,"3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R103" s="152">
        <f>COUNTIFS(เรื่องร้องเรียน!E:E,"4",เรื่องร้องเรียน!N:N,"บางกะปิ",เรื่องร้องเรียน!AN:AN,"วังทองหลาง",เรื่องร้องเรียน!AQ:AQ,"1",เรื่องร้องเรียน!CL:CL,"")</f>
        <v>0</v>
      </c>
      <c r="S103" s="152"/>
      <c r="T103" s="154">
        <f>SUM(O103:S103)</f>
        <v>0</v>
      </c>
      <c r="U103" s="129">
        <f>M103-N103-T103</f>
        <v>0</v>
      </c>
      <c r="V103" s="10" t="s">
        <v>67</v>
      </c>
      <c r="W103" s="129">
        <f t="shared" si="25"/>
        <v>0</v>
      </c>
    </row>
    <row r="104" spans="1:23">
      <c r="A104" s="148"/>
      <c r="B104" s="171" t="s">
        <v>73</v>
      </c>
      <c r="C104" s="123">
        <f>COUNTIFS(เรื่องร้องเรียน!E:E,"1",เรื่องร้องเรียน!N:N,"บางกะปิ",เรื่องร้องเรียน!AN:AN,"ประเวศ")</f>
        <v>0</v>
      </c>
      <c r="D104" s="117">
        <f>COUNTIFS(เรื่องร้องเรียน!E:E,"1",เรื่องร้องเรียน!N:N,"บางกะปิ",เรื่องร้องเรียน!AN:AN,"ประเวศ",เรื่องร้องเรียน!CL:CL,"1")</f>
        <v>0</v>
      </c>
      <c r="E104" s="117">
        <f>COUNTIFS(เรื่องร้องเรียน!E:E,"2",เรื่องร้องเรียน!N:N,"บางกะปิ",เรื่องร้องเรียน!AN:AN,"ประเวศ")</f>
        <v>0</v>
      </c>
      <c r="F104" s="117">
        <f>COUNTIFS(เรื่องร้องเรียน!E:E,"2",เรื่องร้องเรียน!N:N,"บางกะปิ",เรื่องร้องเรียน!AN:AN,"ประเวศ",เรื่องร้องเรียน!CL:CL,"1")</f>
        <v>0</v>
      </c>
      <c r="G104" s="117">
        <f>COUNTIFS(เรื่องร้องเรียน!E:E,"3",เรื่องร้องเรียน!N:N,"บางกะปิ",เรื่องร้องเรียน!AN:AN,"ประเวศ")</f>
        <v>0</v>
      </c>
      <c r="H104" s="117">
        <f>COUNTIFS(เรื่องร้องเรียน!E:E,"3",เรื่องร้องเรียน!N:N,"บางกะปิ",เรื่องร้องเรียน!AN:AN,"ประเวศ",เรื่องร้องเรียน!CL:CL,"1")</f>
        <v>0</v>
      </c>
      <c r="I104" s="117">
        <f>COUNTIFS(เรื่องร้องเรียน!E:E,"4",เรื่องร้องเรียน!N:N,"บางกะปิ",เรื่องร้องเรียน!AN:AN,"ประเวศ")</f>
        <v>0</v>
      </c>
      <c r="J104" s="152">
        <f>COUNTIFS(เรื่องร้องเรียน!E:E,"4",เรื่องร้องเรียน!N:N,"บางกะปิ",เรื่องร้องเรียน!AN:AN,"ประเวศ",เรื่องร้องเรียน!CL:CL,"1")</f>
        <v>0</v>
      </c>
      <c r="K104" s="152"/>
      <c r="L104" s="152"/>
      <c r="M104" s="117">
        <f t="shared" si="40"/>
        <v>0</v>
      </c>
      <c r="N104" s="122">
        <f t="shared" si="40"/>
        <v>0</v>
      </c>
      <c r="O104" s="153">
        <f>COUNTIFS(เรื่องร้องเรียน!E:E,"1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P104" s="152">
        <f>COUNTIFS(เรื่องร้องเรียน!E:E,"2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Q104" s="152">
        <f>COUNTIFS(เรื่องร้องเรียน!E:E,"3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R104" s="152">
        <f>COUNTIFS(เรื่องร้องเรียน!E:E,"4",เรื่องร้องเรียน!N:N,"บางกะปิ",เรื่องร้องเรียน!AN:AN,"ประเวศ",เรื่องร้องเรียน!AQ:AQ,"1",เรื่องร้องเรียน!CL:CL,"")</f>
        <v>0</v>
      </c>
      <c r="S104" s="152"/>
      <c r="T104" s="154">
        <f>SUM(O104:S104)</f>
        <v>0</v>
      </c>
      <c r="U104" s="129">
        <f>M104-N104-T104</f>
        <v>0</v>
      </c>
      <c r="W104" s="129">
        <f t="shared" si="25"/>
        <v>0</v>
      </c>
    </row>
    <row r="105" spans="1:23">
      <c r="A105" s="150"/>
      <c r="B105" s="177" t="s">
        <v>132</v>
      </c>
      <c r="C105" s="123">
        <f>COUNTIFS(เรื่องร้องเรียน!E:E,"1",เรื่องร้องเรียน!N:N,"บางกะปิ",เรื่องร้องเรียน!AN:AN,"โชคชัย")</f>
        <v>0</v>
      </c>
      <c r="D105" s="117">
        <f>COUNTIFS(เรื่องร้องเรียน!E:E,"1",เรื่องร้องเรียน!N:N,"บางกะปิ",เรื่องร้องเรียน!AN:AN,"โชคชัย",เรื่องร้องเรียน!CL:CL,"1")</f>
        <v>0</v>
      </c>
      <c r="E105" s="117">
        <f>COUNTIFS(เรื่องร้องเรียน!E:E,"2",เรื่องร้องเรียน!N:N,"บางกะปิ",เรื่องร้องเรียน!AN:AN,"โชคชัย")</f>
        <v>0</v>
      </c>
      <c r="F105" s="117">
        <f>COUNTIFS(เรื่องร้องเรียน!E:E,"2",เรื่องร้องเรียน!N:N,"บางกะปิ",เรื่องร้องเรียน!AN:AN,"โชคชัย",เรื่องร้องเรียน!CL:CL,"1")</f>
        <v>0</v>
      </c>
      <c r="G105" s="117">
        <f>COUNTIFS(เรื่องร้องเรียน!E:E,"3",เรื่องร้องเรียน!N:N,"บางกะปิ",เรื่องร้องเรียน!AN:AN,"โชคชัย")</f>
        <v>0</v>
      </c>
      <c r="H105" s="117">
        <f>COUNTIFS(เรื่องร้องเรียน!E:E,"3",เรื่องร้องเรียน!N:N,"บางกะปิ",เรื่องร้องเรียน!AN:AN,"โชคชัย",เรื่องร้องเรียน!CL:CL,"1")</f>
        <v>0</v>
      </c>
      <c r="I105" s="117">
        <f>COUNTIFS(เรื่องร้องเรียน!E:E,"4",เรื่องร้องเรียน!N:N,"บางกะปิ",เรื่องร้องเรียน!AN:AN,"โชคชัย")</f>
        <v>0</v>
      </c>
      <c r="J105" s="152">
        <f>COUNTIFS(เรื่องร้องเรียน!E:E,"4",เรื่องร้องเรียน!N:N,"บางกะปิ",เรื่องร้องเรียน!AN:AN,"โชคชัย",เรื่องร้องเรียน!CL:CL,"1")</f>
        <v>0</v>
      </c>
      <c r="K105" s="152"/>
      <c r="L105" s="152"/>
      <c r="M105" s="117">
        <f t="shared" si="40"/>
        <v>0</v>
      </c>
      <c r="N105" s="122">
        <f t="shared" si="40"/>
        <v>0</v>
      </c>
      <c r="O105" s="153">
        <f>COUNTIFS(เรื่องร้องเรียน!E:E,"1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P105" s="152">
        <f>COUNTIFS(เรื่องร้องเรียน!E:E,"2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Q105" s="152">
        <f>COUNTIFS(เรื่องร้องเรียน!E:E,"3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R105" s="152">
        <f>COUNTIFS(เรื่องร้องเรียน!E:E,"4",เรื่องร้องเรียน!N:N,"บางกะปิ",เรื่องร้องเรียน!AN:AN,"โชคชัย",เรื่องร้องเรียน!AQ:AQ,"1",เรื่องร้องเรียน!CL:CL,"")</f>
        <v>0</v>
      </c>
      <c r="S105" s="152"/>
      <c r="T105" s="154">
        <f>SUM(O105:S105)</f>
        <v>0</v>
      </c>
      <c r="U105" s="129">
        <f>M105-N105-T105</f>
        <v>0</v>
      </c>
      <c r="W105" s="129">
        <f t="shared" si="25"/>
        <v>0</v>
      </c>
    </row>
    <row r="106" spans="1:23" ht="21.6" thickBot="1">
      <c r="A106" s="168"/>
      <c r="B106" s="166" t="s">
        <v>67</v>
      </c>
      <c r="C106" s="123">
        <f>COUNTIFS(เรื่องร้องเรียน!E:E,"1",เรื่องร้องเรียน!N:N,"บางกะปิ",เรื่องร้องเรียน!AN:AN,"บึงกุ่ม")</f>
        <v>0</v>
      </c>
      <c r="D106" s="117">
        <f>COUNTIFS(เรื่องร้องเรียน!E:E,"1",เรื่องร้องเรียน!N:N,"บางกะปิ",เรื่องร้องเรียน!AN:AN,"บึงกุ่ม",เรื่องร้องเรียน!CL:CL,"1")</f>
        <v>0</v>
      </c>
      <c r="E106" s="117">
        <f>COUNTIFS(เรื่องร้องเรียน!E:E,"2",เรื่องร้องเรียน!N:N,"บางกะปิ",เรื่องร้องเรียน!AN:AN,"บึงกุ่ม")</f>
        <v>0</v>
      </c>
      <c r="F106" s="117">
        <f>COUNTIFS(เรื่องร้องเรียน!E:E,"2",เรื่องร้องเรียน!N:N,"บางกะปิ",เรื่องร้องเรียน!AN:AN,"บึงกุ่ม",เรื่องร้องเรียน!CL:CL,"1")</f>
        <v>0</v>
      </c>
      <c r="G106" s="117">
        <f>COUNTIFS(เรื่องร้องเรียน!E:E,"3",เรื่องร้องเรียน!N:N,"บางกะปิ",เรื่องร้องเรียน!AN:AN,"บึงกุ่ม")</f>
        <v>0</v>
      </c>
      <c r="H106" s="117">
        <f>COUNTIFS(เรื่องร้องเรียน!E:E,"3",เรื่องร้องเรียน!N:N,"บางกะปิ",เรื่องร้องเรียน!AN:AN,"บึงกุ่ม",เรื่องร้องเรียน!CL:CL,"1")</f>
        <v>0</v>
      </c>
      <c r="I106" s="117">
        <f>COUNTIFS(เรื่องร้องเรียน!E:E,"4",เรื่องร้องเรียน!N:N,"บางกะปิ",เรื่องร้องเรียน!AN:AN,"บึงกุ่ม")</f>
        <v>0</v>
      </c>
      <c r="J106" s="152">
        <f>COUNTIFS(เรื่องร้องเรียน!E:E,"4",เรื่องร้องเรียน!N:N,"บางกะปิ",เรื่องร้องเรียน!AN:AN,"บึงกุ่ม",เรื่องร้องเรียน!CL:CL,"1")</f>
        <v>0</v>
      </c>
      <c r="K106" s="152"/>
      <c r="L106" s="152"/>
      <c r="M106" s="117">
        <f t="shared" si="40"/>
        <v>0</v>
      </c>
      <c r="N106" s="122">
        <f t="shared" si="40"/>
        <v>0</v>
      </c>
      <c r="O106" s="153">
        <f>COUNTIFS(เรื่องร้องเรียน!E:E,"1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P106" s="152">
        <f>COUNTIFS(เรื่องร้องเรียน!E:E,"2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Q106" s="152">
        <f>COUNTIFS(เรื่องร้องเรียน!E:E,"3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R106" s="152">
        <f>COUNTIFS(เรื่องร้องเรียน!E:E,"4",เรื่องร้องเรียน!N:N,"บางกะปิ",เรื่องร้องเรียน!AN:AN,"บึงกุ่ม",เรื่องร้องเรียน!AQ:AQ,"1",เรื่องร้องเรียน!CL:CL,"")</f>
        <v>0</v>
      </c>
      <c r="S106" s="152"/>
      <c r="T106" s="154">
        <f>SUM(O106:S106)</f>
        <v>0</v>
      </c>
      <c r="U106" s="129">
        <f>M106-N106-T106</f>
        <v>0</v>
      </c>
      <c r="W106" s="129">
        <f t="shared" si="25"/>
        <v>0</v>
      </c>
    </row>
    <row r="107" spans="1:23" ht="21.6" thickBot="1">
      <c r="A107" s="130" t="s">
        <v>71</v>
      </c>
      <c r="B107" s="169" t="s">
        <v>152</v>
      </c>
      <c r="C107" s="132">
        <f>SUM(C108:C114 )</f>
        <v>0</v>
      </c>
      <c r="D107" s="131">
        <f>SUM(D108:D114 )</f>
        <v>0</v>
      </c>
      <c r="E107" s="131">
        <f>SUM(E108:E114 )</f>
        <v>0</v>
      </c>
      <c r="F107" s="131">
        <f>SUM(F108:F114 )</f>
        <v>0</v>
      </c>
      <c r="G107" s="131">
        <f>SUM(G108:G114)</f>
        <v>0</v>
      </c>
      <c r="H107" s="131">
        <f t="shared" ref="H107:N107" si="41">SUM(H108:H114 )</f>
        <v>0</v>
      </c>
      <c r="I107" s="131">
        <f t="shared" si="41"/>
        <v>0</v>
      </c>
      <c r="J107" s="131">
        <f t="shared" si="41"/>
        <v>0</v>
      </c>
      <c r="K107" s="131">
        <f t="shared" si="41"/>
        <v>0</v>
      </c>
      <c r="L107" s="131">
        <f t="shared" si="41"/>
        <v>0</v>
      </c>
      <c r="M107" s="131">
        <f t="shared" si="41"/>
        <v>0</v>
      </c>
      <c r="N107" s="163">
        <f t="shared" si="41"/>
        <v>0</v>
      </c>
      <c r="O107" s="132">
        <f t="shared" ref="O107:T107" si="42">SUM(O108:O114)</f>
        <v>0</v>
      </c>
      <c r="P107" s="132">
        <f t="shared" si="42"/>
        <v>0</v>
      </c>
      <c r="Q107" s="132">
        <f t="shared" si="42"/>
        <v>0</v>
      </c>
      <c r="R107" s="132">
        <f t="shared" si="42"/>
        <v>0</v>
      </c>
      <c r="S107" s="132">
        <f t="shared" si="42"/>
        <v>0</v>
      </c>
      <c r="T107" s="133">
        <f t="shared" si="42"/>
        <v>0</v>
      </c>
      <c r="U107" s="134">
        <f t="shared" si="29"/>
        <v>0</v>
      </c>
      <c r="W107" s="135">
        <f t="shared" si="25"/>
        <v>0</v>
      </c>
    </row>
    <row r="108" spans="1:23">
      <c r="A108" s="173"/>
      <c r="B108" s="170" t="s">
        <v>20</v>
      </c>
      <c r="C108" s="180"/>
      <c r="D108" s="178"/>
      <c r="E108" s="178"/>
      <c r="F108" s="178"/>
      <c r="G108" s="178"/>
      <c r="H108" s="178"/>
      <c r="I108" s="178"/>
      <c r="J108" s="178"/>
      <c r="K108" s="178">
        <f>COUNTIFS(เรื่องร้องเรียน!E:E,"5",เรื่องร้องเรียน!N:N,"บางขุนเทียน")</f>
        <v>0</v>
      </c>
      <c r="L108" s="178">
        <f>COUNTIFS(เรื่องร้องเรียน!E:E,"5",เรื่องร้องเรียน!N:N,"บางขุนเทียน",เรื่องร้องเรียน!CL:CL,"1")</f>
        <v>0</v>
      </c>
      <c r="M108" s="178">
        <f t="shared" ref="M108:N114" si="43">SUM(C108,E108,G108,I108,K108)</f>
        <v>0</v>
      </c>
      <c r="N108" s="179">
        <f t="shared" si="43"/>
        <v>0</v>
      </c>
      <c r="O108" s="180"/>
      <c r="P108" s="178"/>
      <c r="Q108" s="178"/>
      <c r="R108" s="178"/>
      <c r="S108" s="178">
        <f>COUNTIFS(เรื่องร้องเรียน!E:E,"5",เรื่องร้องเรียน!N:N,"บางขุนเทียน",เรื่องร้องเรียน!AQ:AQ,"1",เรื่องร้องเรียน!CL:CL,"")</f>
        <v>0</v>
      </c>
      <c r="T108" s="181">
        <f t="shared" si="32"/>
        <v>0</v>
      </c>
      <c r="U108" s="182">
        <f t="shared" si="29"/>
        <v>0</v>
      </c>
      <c r="V108" s="10" t="s">
        <v>190</v>
      </c>
      <c r="W108" s="129">
        <f t="shared" si="25"/>
        <v>0</v>
      </c>
    </row>
    <row r="109" spans="1:23">
      <c r="A109" s="148"/>
      <c r="B109" s="171" t="s">
        <v>112</v>
      </c>
      <c r="C109" s="246">
        <f>COUNTIFS(เรื่องร้องเรียน!E:E,"1",เรื่องร้องเรียน!N:N,"บางขุนเทียน",เรื่องร้องเรียน!AN:AN,"ท่าข้าม")</f>
        <v>0</v>
      </c>
      <c r="D109" s="109">
        <f>COUNTIFS(เรื่องร้องเรียน!E:E,"1",เรื่องร้องเรียน!N:N,"บางขุนเทียน",เรื่องร้องเรียน!AN:AN,"ท่าข้าม",เรื่องร้องเรียน!CL:CL,"1")</f>
        <v>0</v>
      </c>
      <c r="E109" s="109">
        <f>COUNTIFS(เรื่องร้องเรียน!E:E,"2",เรื่องร้องเรียน!N:N,"บางขุนเทียน",เรื่องร้องเรียน!AN:AN,"ท่าข้าม")</f>
        <v>0</v>
      </c>
      <c r="F109" s="109">
        <f>COUNTIFS(เรื่องร้องเรียน!E:E,"2",เรื่องร้องเรียน!N:N,"บางขุนเทียน",เรื่องร้องเรียน!AN:AN,"ท่าข้าม",เรื่องร้องเรียน!CL:CL,"1")</f>
        <v>0</v>
      </c>
      <c r="G109" s="109">
        <f>COUNTIFS(เรื่องร้องเรียน!E:E,"3",เรื่องร้องเรียน!N:N,"บางขุนเทียน",เรื่องร้องเรียน!AN:AN,"ท่าข้าม")</f>
        <v>0</v>
      </c>
      <c r="H109" s="109">
        <f>COUNTIFS(เรื่องร้องเรียน!E:E,"3",เรื่องร้องเรียน!N:N,"บางขุนเทียน",เรื่องร้องเรียน!AN:AN,"ท่าข้าม",เรื่องร้องเรียน!CL:CL,"1")</f>
        <v>0</v>
      </c>
      <c r="I109" s="109">
        <f>COUNTIFS(เรื่องร้องเรียน!E:E,"4",เรื่องร้องเรียน!N:N,"บางขุนเทียน",เรื่องร้องเรียน!AN:AN,"ท่าข้าม")</f>
        <v>0</v>
      </c>
      <c r="J109" s="144">
        <f>COUNTIFS(เรื่องร้องเรียน!E:E,"4",เรื่องร้องเรียน!N:N,"บางขุนเทียน",เรื่องร้องเรียน!AN:AN,"ท่าข้าม",เรื่องร้องเรียน!CL:CL,"1")</f>
        <v>0</v>
      </c>
      <c r="K109" s="144"/>
      <c r="L109" s="144"/>
      <c r="M109" s="109">
        <f t="shared" si="43"/>
        <v>0</v>
      </c>
      <c r="N109" s="145">
        <f t="shared" si="43"/>
        <v>0</v>
      </c>
      <c r="O109" s="146">
        <f>COUNTIFS(เรื่องร้องเรียน!E:E,"1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P109" s="144">
        <f>COUNTIFS(เรื่องร้องเรียน!E:E,"2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Q109" s="144">
        <f>COUNTIFS(เรื่องร้องเรียน!E:E,"3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R109" s="144">
        <f>COUNTIFS(เรื่องร้องเรียน!E:E,"4",เรื่องร้องเรียน!N:N,"บางขุนเทียน",เรื่องร้องเรียน!AN:AN,"ท่าข้าม",เรื่องร้องเรียน!AQ:AQ,"1",เรื่องร้องเรียน!CL:CL,"")</f>
        <v>0</v>
      </c>
      <c r="S109" s="144"/>
      <c r="T109" s="147">
        <f t="shared" si="32"/>
        <v>0</v>
      </c>
      <c r="U109" s="183">
        <f t="shared" si="29"/>
        <v>0</v>
      </c>
      <c r="V109" s="10" t="s">
        <v>110</v>
      </c>
      <c r="W109" s="129">
        <f t="shared" si="25"/>
        <v>0</v>
      </c>
    </row>
    <row r="110" spans="1:23">
      <c r="A110" s="148"/>
      <c r="B110" s="171" t="s">
        <v>121</v>
      </c>
      <c r="C110" s="246">
        <f>COUNTIFS(เรื่องร้องเรียน!E:E,"1",เรื่องร้องเรียน!N:N,"บางขุนเทียน",เรื่องร้องเรียน!AN:AN,"เทียนทะเล")</f>
        <v>0</v>
      </c>
      <c r="D110" s="109">
        <f>COUNTIFS(เรื่องร้องเรียน!E:E,"1",เรื่องร้องเรียน!N:N,"บางขุนเทียน",เรื่องร้องเรียน!AN:AN,"เทียนทะเล",เรื่องร้องเรียน!CL:CL,"1")</f>
        <v>0</v>
      </c>
      <c r="E110" s="109">
        <f>COUNTIFS(เรื่องร้องเรียน!E:E,"2",เรื่องร้องเรียน!N:N,"บางขุนเทียน",เรื่องร้องเรียน!AN:AN,"เทียนทะเล")</f>
        <v>0</v>
      </c>
      <c r="F110" s="109">
        <f>COUNTIFS(เรื่องร้องเรียน!E:E,"2",เรื่องร้องเรียน!N:N,"บางขุนเทียน",เรื่องร้องเรียน!AN:AN,"เทียนทะเล",เรื่องร้องเรียน!CL:CL,"1")</f>
        <v>0</v>
      </c>
      <c r="G110" s="109">
        <f>COUNTIFS(เรื่องร้องเรียน!E:E,"3",เรื่องร้องเรียน!N:N,"บางขุนเทียน",เรื่องร้องเรียน!AN:AN,"เทียนทะเล")</f>
        <v>0</v>
      </c>
      <c r="H110" s="109">
        <f>COUNTIFS(เรื่องร้องเรียน!E:E,"3",เรื่องร้องเรียน!N:N,"บางขุนเทียน",เรื่องร้องเรียน!AN:AN,"เทียนทะเล",เรื่องร้องเรียน!CL:CL,"1")</f>
        <v>0</v>
      </c>
      <c r="I110" s="109">
        <f>COUNTIFS(เรื่องร้องเรียน!E:E,"4",เรื่องร้องเรียน!N:N,"บางขุนเทียน",เรื่องร้องเรียน!AN:AN,"เทียนทะเล")</f>
        <v>0</v>
      </c>
      <c r="J110" s="144">
        <f>COUNTIFS(เรื่องร้องเรียน!E:E,"4",เรื่องร้องเรียน!N:N,"บางขุนเทียน",เรื่องร้องเรียน!AN:AN,"เทียนทะเล",เรื่องร้องเรียน!CL:CL,"1")</f>
        <v>0</v>
      </c>
      <c r="K110" s="144"/>
      <c r="L110" s="144"/>
      <c r="M110" s="109">
        <f t="shared" si="43"/>
        <v>0</v>
      </c>
      <c r="N110" s="145">
        <f t="shared" si="43"/>
        <v>0</v>
      </c>
      <c r="O110" s="146">
        <f>COUNTIFS(เรื่องร้องเรียน!E:E,"1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P110" s="144">
        <f>COUNTIFS(เรื่องร้องเรียน!E:E,"2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Q110" s="144">
        <f>COUNTIFS(เรื่องร้องเรียน!E:E,"3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R110" s="144">
        <f>COUNTIFS(เรื่องร้องเรียน!E:E,"4",เรื่องร้องเรียน!N:N,"บางขุนเทียน",เรื่องร้องเรียน!AN:AN,"เทียนทะเล",เรื่องร้องเรียน!AQ:AQ,"1",เรื่องร้องเรียน!CL:CL,"")</f>
        <v>0</v>
      </c>
      <c r="S110" s="144"/>
      <c r="T110" s="147">
        <f t="shared" si="32"/>
        <v>0</v>
      </c>
      <c r="U110" s="183">
        <f t="shared" si="29"/>
        <v>0</v>
      </c>
      <c r="W110" s="129">
        <f t="shared" si="25"/>
        <v>0</v>
      </c>
    </row>
    <row r="111" spans="1:23">
      <c r="A111" s="148"/>
      <c r="B111" s="171" t="s">
        <v>70</v>
      </c>
      <c r="C111" s="246">
        <f>COUNTIFS(เรื่องร้องเรียน!E:E,"1",เรื่องร้องเรียน!N:N,"บางขุนเทียน",เรื่องร้องเรียน!AN:AN,"แสมดำ")</f>
        <v>0</v>
      </c>
      <c r="D111" s="109">
        <f>COUNTIFS(เรื่องร้องเรียน!E:E,"1",เรื่องร้องเรียน!N:N,"บางขุนเทียน",เรื่องร้องเรียน!AN:AN,"แสมดำ",เรื่องร้องเรียน!CL:CL,"1")</f>
        <v>0</v>
      </c>
      <c r="E111" s="109">
        <f>COUNTIFS(เรื่องร้องเรียน!E:E,"2",เรื่องร้องเรียน!N:N,"บางขุนเทียน",เรื่องร้องเรียน!AN:AN,"แสมดำ")</f>
        <v>0</v>
      </c>
      <c r="F111" s="109">
        <f>COUNTIFS(เรื่องร้องเรียน!E:E,"2",เรื่องร้องเรียน!N:N,"บางขุนเทียน",เรื่องร้องเรียน!AN:AN,"แสมดำ",เรื่องร้องเรียน!CL:CL,"1")</f>
        <v>0</v>
      </c>
      <c r="G111" s="109">
        <f>COUNTIFS(เรื่องร้องเรียน!E:E,"3",เรื่องร้องเรียน!N:N,"บางขุนเทียน",เรื่องร้องเรียน!AN:AN,"แสมดำ")</f>
        <v>0</v>
      </c>
      <c r="H111" s="109">
        <f>COUNTIFS(เรื่องร้องเรียน!E:E,"3",เรื่องร้องเรียน!N:N,"บางขุนเทียน",เรื่องร้องเรียน!AN:AN,"แสมดำ",เรื่องร้องเรียน!CL:CL,"1")</f>
        <v>0</v>
      </c>
      <c r="I111" s="109">
        <f>COUNTIFS(เรื่องร้องเรียน!E:E,"4",เรื่องร้องเรียน!N:N,"บางขุนเทียน",เรื่องร้องเรียน!AN:AN,"แสมดำ")</f>
        <v>0</v>
      </c>
      <c r="J111" s="144">
        <f>COUNTIFS(เรื่องร้องเรียน!E:E,"4",เรื่องร้องเรียน!N:N,"บางขุนเทียน",เรื่องร้องเรียน!AN:AN,"แสมดำ",เรื่องร้องเรียน!CL:CL,"1")</f>
        <v>0</v>
      </c>
      <c r="K111" s="144"/>
      <c r="L111" s="144"/>
      <c r="M111" s="109">
        <f t="shared" si="43"/>
        <v>0</v>
      </c>
      <c r="N111" s="145">
        <f t="shared" si="43"/>
        <v>0</v>
      </c>
      <c r="O111" s="146">
        <f>COUNTIFS(เรื่องร้องเรียน!E:E,"1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P111" s="144">
        <f>COUNTIFS(เรื่องร้องเรียน!E:E,"2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Q111" s="144">
        <f>COUNTIFS(เรื่องร้องเรียน!E:E,"3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R111" s="144">
        <f>COUNTIFS(เรื่องร้องเรียน!E:E,"4",เรื่องร้องเรียน!N:N,"บางขุนเทียน",เรื่องร้องเรียน!AN:AN,"แสมดำ",เรื่องร้องเรียน!AQ:AQ,"1",เรื่องร้องเรียน!CL:CL,"")</f>
        <v>0</v>
      </c>
      <c r="S111" s="144"/>
      <c r="T111" s="147">
        <f t="shared" si="32"/>
        <v>0</v>
      </c>
      <c r="U111" s="183">
        <f t="shared" si="29"/>
        <v>0</v>
      </c>
      <c r="W111" s="129">
        <f t="shared" si="25"/>
        <v>0</v>
      </c>
    </row>
    <row r="112" spans="1:23">
      <c r="A112" s="148"/>
      <c r="B112" s="171" t="s">
        <v>190</v>
      </c>
      <c r="C112" s="246">
        <f>COUNTIFS(เรื่องร้องเรียน!E:E,"1",เรื่องร้องเรียน!N:N,"บางขุนเทียน",เรื่องร้องเรียน!AN:AN,"บางเสาธง")</f>
        <v>0</v>
      </c>
      <c r="D112" s="109">
        <f>COUNTIFS(เรื่องร้องเรียน!E:E,"1",เรื่องร้องเรียน!N:N,"บางขุนเทียน",เรื่องร้องเรียน!AN:AN,"บางเสาธง",เรื่องร้องเรียน!CL:CL,"1")</f>
        <v>0</v>
      </c>
      <c r="E112" s="109">
        <f>COUNTIFS(เรื่องร้องเรียน!E:E,"2",เรื่องร้องเรียน!N:N,"บางขุนเทียน",เรื่องร้องเรียน!AN:AN,"บางเสาธง")</f>
        <v>0</v>
      </c>
      <c r="F112" s="109">
        <f>COUNTIFS(เรื่องร้องเรียน!E:E,"2",เรื่องร้องเรียน!N:N,"บางขุนเทียน",เรื่องร้องเรียน!AN:AN,"บางเสาธง",เรื่องร้องเรียน!CL:CL,"1")</f>
        <v>0</v>
      </c>
      <c r="G112" s="109">
        <f>COUNTIFS(เรื่องร้องเรียน!E:E,"3",เรื่องร้องเรียน!N:N,"บางขุนเทียน",เรื่องร้องเรียน!AN:AN,"บางเสาธง")</f>
        <v>0</v>
      </c>
      <c r="H112" s="109">
        <f>COUNTIFS(เรื่องร้องเรียน!E:E,"3",เรื่องร้องเรียน!N:N,"บางขุนเทียน",เรื่องร้องเรียน!AN:AN,"บางเสาธง",เรื่องร้องเรียน!CL:CL,"1")</f>
        <v>0</v>
      </c>
      <c r="I112" s="109">
        <f>COUNTIFS(เรื่องร้องเรียน!E:E,"4",เรื่องร้องเรียน!N:N,"บางขุนเทียน",เรื่องร้องเรียน!AN:AN,"บางเสาธง")</f>
        <v>0</v>
      </c>
      <c r="J112" s="144">
        <f>COUNTIFS(เรื่องร้องเรียน!E:E,"4",เรื่องร้องเรียน!N:N,"บางขุนเทียน",เรื่องร้องเรียน!AN:AN,"บางเสาธง",เรื่องร้องเรียน!CL:CL,"1")</f>
        <v>0</v>
      </c>
      <c r="K112" s="144"/>
      <c r="L112" s="144"/>
      <c r="M112" s="109">
        <f t="shared" si="43"/>
        <v>0</v>
      </c>
      <c r="N112" s="145">
        <f t="shared" si="43"/>
        <v>0</v>
      </c>
      <c r="O112" s="146">
        <f>COUNTIFS(เรื่องร้องเรียน!E:E,"1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P112" s="144">
        <f>COUNTIFS(เรื่องร้องเรียน!E:E,"2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Q112" s="144">
        <f>COUNTIFS(เรื่องร้องเรียน!E:E,"3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R112" s="144">
        <f>COUNTIFS(เรื่องร้องเรียน!E:E,"4",เรื่องร้องเรียน!N:N,"บางขุนเทียน",เรื่องร้องเรียน!AN:AN,"บางเสาธง",เรื่องร้องเรียน!AQ:AQ,"1",เรื่องร้องเรียน!CL:CL,"")</f>
        <v>0</v>
      </c>
      <c r="S112" s="144"/>
      <c r="T112" s="147">
        <f>SUM(O112:S112)</f>
        <v>0</v>
      </c>
      <c r="U112" s="183">
        <f>M112-N112-T112</f>
        <v>0</v>
      </c>
      <c r="W112" s="129">
        <f t="shared" si="25"/>
        <v>0</v>
      </c>
    </row>
    <row r="113" spans="1:23">
      <c r="A113" s="148"/>
      <c r="B113" s="171" t="s">
        <v>110</v>
      </c>
      <c r="C113" s="246">
        <f>COUNTIFS(เรื่องร้องเรียน!E:E,"1",เรื่องร้องเรียน!N:N,"บางขุนเทียน",เรื่องร้องเรียน!AN:AN,"บางมด")</f>
        <v>0</v>
      </c>
      <c r="D113" s="109">
        <f>COUNTIFS(เรื่องร้องเรียน!E:E,"1",เรื่องร้องเรียน!N:N,"บางขุนเทียน",เรื่องร้องเรียน!AN:AN,"บางมด",เรื่องร้องเรียน!CL:CL,"1")</f>
        <v>0</v>
      </c>
      <c r="E113" s="109">
        <f>COUNTIFS(เรื่องร้องเรียน!E:E,"2",เรื่องร้องเรียน!N:N,"บางขุนเทียน",เรื่องร้องเรียน!AN:AN,"บางมด")</f>
        <v>0</v>
      </c>
      <c r="F113" s="109">
        <f>COUNTIFS(เรื่องร้องเรียน!E:E,"2",เรื่องร้องเรียน!N:N,"บางขุนเทียน",เรื่องร้องเรียน!AN:AN,"บางมด",เรื่องร้องเรียน!CL:CL,"1")</f>
        <v>0</v>
      </c>
      <c r="G113" s="109">
        <f>COUNTIFS(เรื่องร้องเรียน!E:E,"3",เรื่องร้องเรียน!N:N,"บางขุนเทียน",เรื่องร้องเรียน!AN:AN,"บางมด")</f>
        <v>0</v>
      </c>
      <c r="H113" s="109">
        <f>COUNTIFS(เรื่องร้องเรียน!E:E,"3",เรื่องร้องเรียน!N:N,"บางขุนเทียน",เรื่องร้องเรียน!AN:AN,"บางมด",เรื่องร้องเรียน!CL:CL,"1")</f>
        <v>0</v>
      </c>
      <c r="I113" s="109">
        <f>COUNTIFS(เรื่องร้องเรียน!E:E,"4",เรื่องร้องเรียน!N:N,"บางขุนเทียน",เรื่องร้องเรียน!AN:AN,"บางมด")</f>
        <v>0</v>
      </c>
      <c r="J113" s="144">
        <f>COUNTIFS(เรื่องร้องเรียน!E:E,"4",เรื่องร้องเรียน!N:N,"บางขุนเทียน",เรื่องร้องเรียน!AN:AN,"บางมด",เรื่องร้องเรียน!CL:CL,"1")</f>
        <v>0</v>
      </c>
      <c r="K113" s="144"/>
      <c r="L113" s="144"/>
      <c r="M113" s="109">
        <f t="shared" si="43"/>
        <v>0</v>
      </c>
      <c r="N113" s="145">
        <f t="shared" si="43"/>
        <v>0</v>
      </c>
      <c r="O113" s="146">
        <f>COUNTIFS(เรื่องร้องเรียน!E:E,"1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P113" s="144">
        <f>COUNTIFS(เรื่องร้องเรียน!E:E,"2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Q113" s="144">
        <f>COUNTIFS(เรื่องร้องเรียน!E:E,"3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R113" s="144">
        <f>COUNTIFS(เรื่องร้องเรียน!E:E,"4",เรื่องร้องเรียน!N:N,"บางขุนเทียน",เรื่องร้องเรียน!AN:AN,"บางมด",เรื่องร้องเรียน!AQ:AQ,"1",เรื่องร้องเรียน!CL:CL,"")</f>
        <v>0</v>
      </c>
      <c r="S113" s="144"/>
      <c r="T113" s="147">
        <f>SUM(O113:S113)</f>
        <v>0</v>
      </c>
      <c r="U113" s="183">
        <f>M113-N113-T113</f>
        <v>0</v>
      </c>
      <c r="W113" s="129">
        <f t="shared" si="25"/>
        <v>0</v>
      </c>
    </row>
    <row r="114" spans="1:23" ht="21.6" thickBot="1">
      <c r="A114" s="155"/>
      <c r="B114" s="162" t="s">
        <v>71</v>
      </c>
      <c r="C114" s="492">
        <f>COUNTIFS(เรื่องร้องเรียน!E:E,"1",เรื่องร้องเรียน!N:N,"บางขุนเทียน",เรื่องร้องเรียน!AN:AN,"บางขุนเทียน")</f>
        <v>0</v>
      </c>
      <c r="D114" s="493">
        <f>COUNTIFS(เรื่องร้องเรียน!E:E,"1",เรื่องร้องเรียน!N:N,"บางขุนเทียน",เรื่องร้องเรียน!AN:AN,"บางขุนเทียน",เรื่องร้องเรียน!CL:CL,"1")</f>
        <v>0</v>
      </c>
      <c r="E114" s="493">
        <f>COUNTIFS(เรื่องร้องเรียน!E:E,"2",เรื่องร้องเรียน!N:N,"บางขุนเทียน",เรื่องร้องเรียน!AN:AN,"บางขุนเทียน")</f>
        <v>0</v>
      </c>
      <c r="F114" s="493">
        <f>COUNTIFS(เรื่องร้องเรียน!E:E,"2",เรื่องร้องเรียน!N:N,"บางขุนเทียน",เรื่องร้องเรียน!AN:AN,"บางขุนเทียน",เรื่องร้องเรียน!CL:CL,"1")</f>
        <v>0</v>
      </c>
      <c r="G114" s="493">
        <f>COUNTIFS(เรื่องร้องเรียน!E:E,"3",เรื่องร้องเรียน!N:N,"บางขุนเทียน",เรื่องร้องเรียน!AN:AN,"บางขุนเทียน")</f>
        <v>0</v>
      </c>
      <c r="H114" s="493">
        <f>COUNTIFS(เรื่องร้องเรียน!E:E,"3",เรื่องร้องเรียน!N:N,"บางขุนเทียน",เรื่องร้องเรียน!AN:AN,"บางขุนเทียน",เรื่องร้องเรียน!CL:CL,"1")</f>
        <v>0</v>
      </c>
      <c r="I114" s="493">
        <f>COUNTIFS(เรื่องร้องเรียน!E:E,"4",เรื่องร้องเรียน!N:N,"บางขุนเทียน",เรื่องร้องเรียน!AN:AN,"บางขุนเทียน")</f>
        <v>0</v>
      </c>
      <c r="J114" s="197">
        <f>COUNTIFS(เรื่องร้องเรียน!E:E,"4",เรื่องร้องเรียน!N:N,"บางขุนเทียน",เรื่องร้องเรียน!AN:AN,"บางขุนเทียน",เรื่องร้องเรียน!CL:CL,"1")</f>
        <v>0</v>
      </c>
      <c r="K114" s="197"/>
      <c r="L114" s="197"/>
      <c r="M114" s="493">
        <f t="shared" si="43"/>
        <v>0</v>
      </c>
      <c r="N114" s="494">
        <f t="shared" si="43"/>
        <v>0</v>
      </c>
      <c r="O114" s="164">
        <f>COUNTIFS(เรื่องร้องเรียน!E:E,"1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P114" s="197">
        <f>COUNTIFS(เรื่องร้องเรียน!E:E,"2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Q114" s="197">
        <f>COUNTIFS(เรื่องร้องเรียน!E:E,"3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R114" s="197">
        <f>COUNTIFS(เรื่องร้องเรียน!E:E,"4",เรื่องร้องเรียน!N:N,"บางขุนเทียน",เรื่องร้องเรียน!AN:AN,"บางขุนเทียน",เรื่องร้องเรียน!AQ:AQ,"1",เรื่องร้องเรียน!CL:CL,"")</f>
        <v>0</v>
      </c>
      <c r="S114" s="197"/>
      <c r="T114" s="198">
        <f>SUM(O114:S114)</f>
        <v>0</v>
      </c>
      <c r="U114" s="128">
        <f>M114-N114-T114</f>
        <v>0</v>
      </c>
      <c r="W114" s="129"/>
    </row>
    <row r="115" spans="1:23" ht="21.6" thickBot="1">
      <c r="A115" s="130" t="s">
        <v>107</v>
      </c>
      <c r="B115" s="169" t="s">
        <v>152</v>
      </c>
      <c r="C115" s="132">
        <f>SUM(C116:C120)</f>
        <v>0</v>
      </c>
      <c r="D115" s="131">
        <f t="shared" ref="D115:T115" si="44">SUM(D116:D120)</f>
        <v>0</v>
      </c>
      <c r="E115" s="131">
        <f t="shared" si="44"/>
        <v>0</v>
      </c>
      <c r="F115" s="131">
        <f t="shared" si="44"/>
        <v>0</v>
      </c>
      <c r="G115" s="131">
        <f t="shared" si="44"/>
        <v>0</v>
      </c>
      <c r="H115" s="131">
        <f t="shared" si="44"/>
        <v>0</v>
      </c>
      <c r="I115" s="131">
        <f t="shared" si="44"/>
        <v>0</v>
      </c>
      <c r="J115" s="131">
        <f t="shared" si="44"/>
        <v>0</v>
      </c>
      <c r="K115" s="131">
        <f t="shared" si="44"/>
        <v>0</v>
      </c>
      <c r="L115" s="131">
        <f t="shared" si="44"/>
        <v>0</v>
      </c>
      <c r="M115" s="131">
        <f t="shared" si="44"/>
        <v>0</v>
      </c>
      <c r="N115" s="163">
        <f t="shared" si="44"/>
        <v>0</v>
      </c>
      <c r="O115" s="132">
        <f t="shared" si="44"/>
        <v>0</v>
      </c>
      <c r="P115" s="132">
        <f t="shared" si="44"/>
        <v>0</v>
      </c>
      <c r="Q115" s="132">
        <f t="shared" si="44"/>
        <v>0</v>
      </c>
      <c r="R115" s="132">
        <f t="shared" si="44"/>
        <v>0</v>
      </c>
      <c r="S115" s="132">
        <f t="shared" si="44"/>
        <v>0</v>
      </c>
      <c r="T115" s="133">
        <f t="shared" si="44"/>
        <v>0</v>
      </c>
      <c r="U115" s="134">
        <f t="shared" si="29"/>
        <v>0</v>
      </c>
      <c r="W115" s="135">
        <f t="shared" si="25"/>
        <v>0</v>
      </c>
    </row>
    <row r="116" spans="1:23">
      <c r="A116" s="173"/>
      <c r="B116" s="170" t="s">
        <v>20</v>
      </c>
      <c r="C116" s="140"/>
      <c r="D116" s="138"/>
      <c r="E116" s="138"/>
      <c r="F116" s="138"/>
      <c r="G116" s="138"/>
      <c r="H116" s="138"/>
      <c r="I116" s="138"/>
      <c r="J116" s="138"/>
      <c r="K116" s="138">
        <f>COUNTIFS(เรื่องร้องเรียน!E:E,"5",เรื่องร้องเรียน!N:N,"บางเขน")</f>
        <v>0</v>
      </c>
      <c r="L116" s="138">
        <f>COUNTIFS(เรื่องร้องเรียน!E:E,"5",เรื่องร้องเรียน!N:N,"บางเขน",เรื่องร้องเรียน!CL:CL,"1")</f>
        <v>0</v>
      </c>
      <c r="M116" s="138">
        <f t="shared" ref="M116:N119" si="45">SUM(C116,E116,G116,I116,K116)</f>
        <v>0</v>
      </c>
      <c r="N116" s="139">
        <f t="shared" si="45"/>
        <v>0</v>
      </c>
      <c r="O116" s="140"/>
      <c r="P116" s="138"/>
      <c r="Q116" s="138"/>
      <c r="R116" s="138"/>
      <c r="S116" s="138">
        <f>COUNTIFS(เรื่องร้องเรียน!E:E,"5",เรื่องร้องเรียน!N:N,"บางเขน",เรื่องร้องเรียน!AQ:AQ,"1",เรื่องร้องเรียน!CL:CL,"")</f>
        <v>0</v>
      </c>
      <c r="T116" s="141">
        <f t="shared" si="32"/>
        <v>0</v>
      </c>
      <c r="U116" s="129">
        <f t="shared" si="29"/>
        <v>0</v>
      </c>
      <c r="W116" s="129">
        <f t="shared" si="25"/>
        <v>0</v>
      </c>
    </row>
    <row r="117" spans="1:23">
      <c r="A117" s="148"/>
      <c r="B117" s="171" t="s">
        <v>77</v>
      </c>
      <c r="C117" s="246">
        <f>COUNTIFS(เรื่องร้องเรียน!E:E,"1",เรื่องร้องเรียน!N:N,"บางเขน",เรื่องร้องเรียน!AN:AN,"คันนายาว")</f>
        <v>0</v>
      </c>
      <c r="D117" s="109">
        <f>COUNTIFS(เรื่องร้องเรียน!E:E,"1",เรื่องร้องเรียน!N:N,"บางเขน",เรื่องร้องเรียน!AN:AN,"คันนายาว",เรื่องร้องเรียน!CL:CL,"1")</f>
        <v>0</v>
      </c>
      <c r="E117" s="109">
        <f>COUNTIFS(เรื่องร้องเรียน!E:E,"2",เรื่องร้องเรียน!N:N,"บางเขน",เรื่องร้องเรียน!AN:AN,"คันนายาว")</f>
        <v>0</v>
      </c>
      <c r="F117" s="109">
        <f>COUNTIFS(เรื่องร้องเรียน!E:E,"2",เรื่องร้องเรียน!N:N,"บางเขน",เรื่องร้องเรียน!AN:AN,"คันนายาว",เรื่องร้องเรียน!CL:CL,"1")</f>
        <v>0</v>
      </c>
      <c r="G117" s="109">
        <f>COUNTIFS(เรื่องร้องเรียน!E:E,"3",เรื่องร้องเรียน!N:N,"บางเขน",เรื่องร้องเรียน!AN:AN,"คันนายาว")</f>
        <v>0</v>
      </c>
      <c r="H117" s="109">
        <f>COUNTIFS(เรื่องร้องเรียน!E:E,"3",เรื่องร้องเรียน!N:N,"บางเขน",เรื่องร้องเรียน!AN:AN,"คันนายาว",เรื่องร้องเรียน!CL:CL,"1")</f>
        <v>0</v>
      </c>
      <c r="I117" s="109">
        <f>COUNTIFS(เรื่องร้องเรียน!E:E,"4",เรื่องร้องเรียน!N:N,"บางเขน",เรื่องร้องเรียน!AN:AN,"คันนายาว")</f>
        <v>0</v>
      </c>
      <c r="J117" s="144">
        <f>COUNTIFS(เรื่องร้องเรียน!E:E,"4",เรื่องร้องเรียน!N:N,"บางเขน",เรื่องร้องเรียน!AN:AN,"คันนายาว",เรื่องร้องเรียน!CL:CL,"1")</f>
        <v>0</v>
      </c>
      <c r="K117" s="144"/>
      <c r="L117" s="144"/>
      <c r="M117" s="109">
        <f t="shared" si="45"/>
        <v>0</v>
      </c>
      <c r="N117" s="145">
        <f t="shared" si="45"/>
        <v>0</v>
      </c>
      <c r="O117" s="146">
        <f>COUNTIFS(เรื่องร้องเรียน!E:E,"1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P117" s="144">
        <f>COUNTIFS(เรื่องร้องเรียน!E:E,"2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Q117" s="144">
        <f>COUNTIFS(เรื่องร้องเรียน!E:E,"3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R117" s="144">
        <f>COUNTIFS(เรื่องร้องเรียน!E:E,"4",เรื่องร้องเรียน!N:N,"บางเขน",เรื่องร้องเรียน!AN:AN,"คันนายาว",เรื่องร้องเรียน!AQ:AQ,"1",เรื่องร้องเรียน!CL:CL,"")</f>
        <v>0</v>
      </c>
      <c r="S117" s="144"/>
      <c r="T117" s="147">
        <f t="shared" si="32"/>
        <v>0</v>
      </c>
      <c r="U117" s="129">
        <f t="shared" si="29"/>
        <v>0</v>
      </c>
      <c r="V117" s="10" t="s">
        <v>143</v>
      </c>
      <c r="W117" s="129">
        <f t="shared" si="25"/>
        <v>0</v>
      </c>
    </row>
    <row r="118" spans="1:23">
      <c r="A118" s="148"/>
      <c r="B118" s="177" t="s">
        <v>69</v>
      </c>
      <c r="C118" s="123">
        <f>COUNTIFS(เรื่องร้องเรียน!E:E,"1",เรื่องร้องเรียน!N:N,"บางเขน",เรื่องร้องเรียน!AN:AN,"โคกคราม")</f>
        <v>0</v>
      </c>
      <c r="D118" s="117">
        <f>COUNTIFS(เรื่องร้องเรียน!E:E,"1",เรื่องร้องเรียน!N:N,"บางเขน",เรื่องร้องเรียน!AN:AN,"โคกคราม",เรื่องร้องเรียน!CL:CL,"1")</f>
        <v>0</v>
      </c>
      <c r="E118" s="117">
        <f>COUNTIFS(เรื่องร้องเรียน!E:E,"2",เรื่องร้องเรียน!N:N,"บางเขน",เรื่องร้องเรียน!AN:AN,"โคกคราม")</f>
        <v>0</v>
      </c>
      <c r="F118" s="117">
        <f>COUNTIFS(เรื่องร้องเรียน!E:E,"2",เรื่องร้องเรียน!N:N,"บางเขน",เรื่องร้องเรียน!AN:AN,"โคกคราม",เรื่องร้องเรียน!CL:CL,"1")</f>
        <v>0</v>
      </c>
      <c r="G118" s="117">
        <f>COUNTIFS(เรื่องร้องเรียน!E:E,"3",เรื่องร้องเรียน!N:N,"บางเขน",เรื่องร้องเรียน!AN:AN,"โคกคราม")</f>
        <v>0</v>
      </c>
      <c r="H118" s="117">
        <f>COUNTIFS(เรื่องร้องเรียน!E:E,"3",เรื่องร้องเรียน!N:N,"บางเขน",เรื่องร้องเรียน!AN:AN,"โคกคราม",เรื่องร้องเรียน!CL:CL,"1")</f>
        <v>0</v>
      </c>
      <c r="I118" s="117">
        <f>COUNTIFS(เรื่องร้องเรียน!E:E,"4",เรื่องร้องเรียน!N:N,"บางเขน",เรื่องร้องเรียน!AN:AN,"โคกคราม")</f>
        <v>0</v>
      </c>
      <c r="J118" s="152">
        <f>COUNTIFS(เรื่องร้องเรียน!E:E,"4",เรื่องร้องเรียน!N:N,"บางเขน",เรื่องร้องเรียน!AN:AN,"โคกคราม",เรื่องร้องเรียน!CL:CL,"1")</f>
        <v>0</v>
      </c>
      <c r="K118" s="152"/>
      <c r="L118" s="152"/>
      <c r="M118" s="117">
        <f t="shared" si="45"/>
        <v>0</v>
      </c>
      <c r="N118" s="122">
        <f t="shared" si="45"/>
        <v>0</v>
      </c>
      <c r="O118" s="153">
        <f>COUNTIFS(เรื่องร้องเรียน!E:E,"1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P118" s="152">
        <f>COUNTIFS(เรื่องร้องเรียน!E:E,"2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Q118" s="152">
        <f>COUNTIFS(เรื่องร้องเรียน!E:E,"3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R118" s="152">
        <f>COUNTIFS(เรื่องร้องเรียน!E:E,"4",เรื่องร้องเรียน!N:N,"บางเขน",เรื่องร้องเรียน!AN:AN,"โคกคราม",เรื่องร้องเรียน!AQ:AQ,"1",เรื่องร้องเรียน!CL:CL,"")</f>
        <v>0</v>
      </c>
      <c r="S118" s="152"/>
      <c r="T118" s="154">
        <f t="shared" si="32"/>
        <v>0</v>
      </c>
      <c r="U118" s="129">
        <f t="shared" si="29"/>
        <v>0</v>
      </c>
      <c r="W118" s="129">
        <f t="shared" si="25"/>
        <v>0</v>
      </c>
    </row>
    <row r="119" spans="1:23">
      <c r="A119" s="148"/>
      <c r="B119" s="171" t="s">
        <v>107</v>
      </c>
      <c r="C119" s="246">
        <f>COUNTIFS(เรื่องร้องเรียน!E:E,"1",เรื่องร้องเรียน!N:N,"บางเขน",เรื่องร้องเรียน!AN:AN,"บางเขน")</f>
        <v>0</v>
      </c>
      <c r="D119" s="109">
        <f>COUNTIFS(เรื่องร้องเรียน!E:E,"1",เรื่องร้องเรียน!N:N,"บางเขน",เรื่องร้องเรียน!AN:AN,"บางเขน",เรื่องร้องเรียน!CL:CL,"1")</f>
        <v>0</v>
      </c>
      <c r="E119" s="109">
        <f>COUNTIFS(เรื่องร้องเรียน!E:E,"2",เรื่องร้องเรียน!N:N,"บางเขน",เรื่องร้องเรียน!AN:AN,"บางเขน")</f>
        <v>0</v>
      </c>
      <c r="F119" s="109">
        <f>COUNTIFS(เรื่องร้องเรียน!E:E,"2",เรื่องร้องเรียน!N:N,"บางเขน",เรื่องร้องเรียน!AN:AN,"บางเขน",เรื่องร้องเรียน!CL:CL,"1")</f>
        <v>0</v>
      </c>
      <c r="G119" s="109">
        <f>COUNTIFS(เรื่องร้องเรียน!E:E,"3",เรื่องร้องเรียน!N:N,"บางเขน",เรื่องร้องเรียน!AN:AN,"บางเขน")</f>
        <v>0</v>
      </c>
      <c r="H119" s="109">
        <f>COUNTIFS(เรื่องร้องเรียน!E:E,"3",เรื่องร้องเรียน!N:N,"บางเขน",เรื่องร้องเรียน!AN:AN,"บางเขน",เรื่องร้องเรียน!CL:CL,"1")</f>
        <v>0</v>
      </c>
      <c r="I119" s="109">
        <f>COUNTIFS(เรื่องร้องเรียน!E:E,"4",เรื่องร้องเรียน!N:N,"บางเขน",เรื่องร้องเรียน!AN:AN,"บางเขน")</f>
        <v>0</v>
      </c>
      <c r="J119" s="144">
        <f>COUNTIFS(เรื่องร้องเรียน!E:E,"4",เรื่องร้องเรียน!N:N,"บางเขน",เรื่องร้องเรียน!AN:AN,"บางเขน",เรื่องร้องเรียน!CL:CL,"1")</f>
        <v>0</v>
      </c>
      <c r="K119" s="144"/>
      <c r="L119" s="144"/>
      <c r="M119" s="109">
        <f t="shared" si="45"/>
        <v>0</v>
      </c>
      <c r="N119" s="145">
        <f t="shared" si="45"/>
        <v>0</v>
      </c>
      <c r="O119" s="146">
        <f>COUNTIFS(เรื่องร้องเรียน!E:E,"1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P119" s="144">
        <f>COUNTIFS(เรื่องร้องเรียน!E:E,"2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Q119" s="144">
        <f>COUNTIFS(เรื่องร้องเรียน!E:E,"3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R119" s="144">
        <f>COUNTIFS(เรื่องร้องเรียน!E:E,"4",เรื่องร้องเรียน!N:N,"บางเขน",เรื่องร้องเรียน!AN:AN,"บางเขน",เรื่องร้องเรียน!AQ:AQ,"1",เรื่องร้องเรียน!CL:CL,"")</f>
        <v>0</v>
      </c>
      <c r="S119" s="144"/>
      <c r="T119" s="147">
        <f t="shared" si="32"/>
        <v>0</v>
      </c>
      <c r="U119" s="183">
        <f t="shared" si="29"/>
        <v>0</v>
      </c>
      <c r="W119" s="129">
        <f t="shared" si="25"/>
        <v>0</v>
      </c>
    </row>
    <row r="120" spans="1:23" ht="21.6" thickBot="1">
      <c r="A120" s="174"/>
      <c r="B120" s="172" t="s">
        <v>143</v>
      </c>
      <c r="C120" s="231">
        <f>COUNTIFS(เรื่องร้องเรียน!E:E,"1",เรื่องร้องเรียน!N:N,"บางเขน",เรื่องร้องเรียน!AN:AN,"สายไหม")</f>
        <v>0</v>
      </c>
      <c r="D120" s="124">
        <f>COUNTIFS(เรื่องร้องเรียน!E:E,"1",เรื่องร้องเรียน!N:N,"บางเขน",เรื่องร้องเรียน!AN:AN,"สายไหม",เรื่องร้องเรียน!CL:CL,"1")</f>
        <v>0</v>
      </c>
      <c r="E120" s="124">
        <f>COUNTIFS(เรื่องร้องเรียน!E:E,"2",เรื่องร้องเรียน!N:N,"บางเขน",เรื่องร้องเรียน!AN:AN,"สายไหม")</f>
        <v>0</v>
      </c>
      <c r="F120" s="124">
        <f>COUNTIFS(เรื่องร้องเรียน!E:E,"2",เรื่องร้องเรียน!N:N,"บางเขน",เรื่องร้องเรียน!AN:AN,"สายไหม",เรื่องร้องเรียน!CL:CL,"1")</f>
        <v>0</v>
      </c>
      <c r="G120" s="124">
        <f>COUNTIFS(เรื่องร้องเรียน!E:E,"3",เรื่องร้องเรียน!N:N,"บางเขน",เรื่องร้องเรียน!AN:AN,"สายไหม")</f>
        <v>0</v>
      </c>
      <c r="H120" s="124">
        <f>COUNTIFS(เรื่องร้องเรียน!E:E,"3",เรื่องร้องเรียน!N:N,"บางเขน",เรื่องร้องเรียน!AN:AN,"สายไหม",เรื่องร้องเรียน!CL:CL,"1")</f>
        <v>0</v>
      </c>
      <c r="I120" s="124">
        <f>COUNTIFS(เรื่องร้องเรียน!E:E,"4",เรื่องร้องเรียน!N:N,"บางเขน",เรื่องร้องเรียน!AN:AN,"สายไหม")</f>
        <v>0</v>
      </c>
      <c r="J120" s="157">
        <f>COUNTIFS(เรื่องร้องเรียน!E:E,"4",เรื่องร้องเรียน!N:N,"บางเขน",เรื่องร้องเรียน!AN:AN,"สายไหม",เรื่องร้องเรียน!CL:CL,"1")</f>
        <v>0</v>
      </c>
      <c r="K120" s="157"/>
      <c r="L120" s="157"/>
      <c r="M120" s="124">
        <f>SUM(C120,E120,G120,I120,K120)</f>
        <v>0</v>
      </c>
      <c r="N120" s="158">
        <f>SUM(D120,F120,H120,J120,L120)</f>
        <v>0</v>
      </c>
      <c r="O120" s="159">
        <f>COUNTIFS(เรื่องร้องเรียน!E:E,"1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P120" s="157">
        <f>COUNTIFS(เรื่องร้องเรียน!E:E,"2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Q120" s="157">
        <f>COUNTIFS(เรื่องร้องเรียน!E:E,"3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R120" s="157">
        <f>COUNTIFS(เรื่องร้องเรียน!E:E,"4",เรื่องร้องเรียน!N:N,"บางเขน",เรื่องร้องเรียน!AN:AN,"สายไหม",เรื่องร้องเรียน!AQ:AQ,"1",เรื่องร้องเรียน!CL:CL,"")</f>
        <v>0</v>
      </c>
      <c r="S120" s="157"/>
      <c r="T120" s="160">
        <f>SUM(O120:S120)</f>
        <v>0</v>
      </c>
      <c r="U120" s="184">
        <f>M120-N120-T120</f>
        <v>0</v>
      </c>
      <c r="W120" s="129">
        <f t="shared" si="25"/>
        <v>0</v>
      </c>
    </row>
    <row r="121" spans="1:23" ht="21.6" thickBot="1">
      <c r="A121" s="175" t="s">
        <v>105</v>
      </c>
      <c r="B121" s="169" t="s">
        <v>152</v>
      </c>
      <c r="C121" s="95">
        <f>SUM(C122:C124)</f>
        <v>0</v>
      </c>
      <c r="D121" s="92">
        <f t="shared" ref="D121:T121" si="46">SUM(D122:D124)</f>
        <v>0</v>
      </c>
      <c r="E121" s="92">
        <f t="shared" si="46"/>
        <v>0</v>
      </c>
      <c r="F121" s="92">
        <f t="shared" si="46"/>
        <v>0</v>
      </c>
      <c r="G121" s="92">
        <f t="shared" si="46"/>
        <v>0</v>
      </c>
      <c r="H121" s="92">
        <f t="shared" si="46"/>
        <v>0</v>
      </c>
      <c r="I121" s="92">
        <f t="shared" si="46"/>
        <v>0</v>
      </c>
      <c r="J121" s="92">
        <f t="shared" si="46"/>
        <v>0</v>
      </c>
      <c r="K121" s="92">
        <f t="shared" si="46"/>
        <v>0</v>
      </c>
      <c r="L121" s="92">
        <f t="shared" si="46"/>
        <v>0</v>
      </c>
      <c r="M121" s="92">
        <f t="shared" si="46"/>
        <v>0</v>
      </c>
      <c r="N121" s="94">
        <f t="shared" si="46"/>
        <v>0</v>
      </c>
      <c r="O121" s="95">
        <f t="shared" si="46"/>
        <v>0</v>
      </c>
      <c r="P121" s="95">
        <f t="shared" si="46"/>
        <v>0</v>
      </c>
      <c r="Q121" s="95">
        <f t="shared" si="46"/>
        <v>0</v>
      </c>
      <c r="R121" s="95">
        <f t="shared" si="46"/>
        <v>0</v>
      </c>
      <c r="S121" s="95">
        <f t="shared" si="46"/>
        <v>0</v>
      </c>
      <c r="T121" s="176">
        <f t="shared" si="46"/>
        <v>0</v>
      </c>
      <c r="U121" s="134">
        <f t="shared" si="29"/>
        <v>0</v>
      </c>
      <c r="W121" s="135">
        <f t="shared" si="25"/>
        <v>0</v>
      </c>
    </row>
    <row r="122" spans="1:23">
      <c r="A122" s="173"/>
      <c r="B122" s="170" t="s">
        <v>20</v>
      </c>
      <c r="C122" s="140"/>
      <c r="D122" s="138"/>
      <c r="E122" s="138"/>
      <c r="F122" s="138"/>
      <c r="G122" s="138"/>
      <c r="H122" s="138"/>
      <c r="I122" s="138"/>
      <c r="J122" s="138"/>
      <c r="K122" s="138">
        <f>COUNTIFS(เรื่องร้องเรียน!E:E,"5",เรื่องร้องเรียน!N:N,"บางคอแหลม")</f>
        <v>0</v>
      </c>
      <c r="L122" s="138">
        <f>COUNTIFS(เรื่องร้องเรียน!E:E,"5",เรื่องร้องเรียน!N:N,"บางคอแหลม",เรื่องร้องเรียน!CL:CL,"1")</f>
        <v>0</v>
      </c>
      <c r="M122" s="138">
        <f t="shared" ref="M122:N124" si="47">SUM(C122,E122,G122,I122,K122)</f>
        <v>0</v>
      </c>
      <c r="N122" s="139">
        <f t="shared" si="47"/>
        <v>0</v>
      </c>
      <c r="O122" s="140"/>
      <c r="P122" s="138"/>
      <c r="Q122" s="138"/>
      <c r="R122" s="138"/>
      <c r="S122" s="138">
        <f>COUNTIFS(เรื่องร้องเรียน!E:E,"5",เรื่องร้องเรียน!N:N,"บางคอแหลม",เรื่องร้องเรียน!AQ:AQ,"1",เรื่องร้องเรียน!CL:CL,"")</f>
        <v>0</v>
      </c>
      <c r="T122" s="141">
        <f t="shared" si="32"/>
        <v>0</v>
      </c>
      <c r="U122" s="129">
        <f t="shared" si="29"/>
        <v>0</v>
      </c>
      <c r="V122" s="10" t="s">
        <v>80</v>
      </c>
      <c r="W122" s="129">
        <f t="shared" si="25"/>
        <v>0</v>
      </c>
    </row>
    <row r="123" spans="1:23">
      <c r="A123" s="148"/>
      <c r="B123" s="171" t="s">
        <v>104</v>
      </c>
      <c r="C123" s="123">
        <f>COUNTIFS(เรื่องร้องเรียน!E:E,"1",เรื่องร้องเรียน!N:N,"บางคอแหลม",เรื่องร้องเรียน!AN:AN,"วัดพระยาไกร")</f>
        <v>0</v>
      </c>
      <c r="D123" s="117">
        <f>COUNTIFS(เรื่องร้องเรียน!E:E,"1",เรื่องร้องเรียน!N:N,"บางคอแหลม",เรื่องร้องเรียน!AN:AN,"วัดพระยาไกร",เรื่องร้องเรียน!CL:CL,"1")</f>
        <v>0</v>
      </c>
      <c r="E123" s="117">
        <f>COUNTIFS(เรื่องร้องเรียน!E:E,"2",เรื่องร้องเรียน!N:N,"บางคอแหลม",เรื่องร้องเรียน!AN:AN,"วัดพระยาไกร")</f>
        <v>0</v>
      </c>
      <c r="F123" s="117">
        <f>COUNTIFS(เรื่องร้องเรียน!E:E,"2",เรื่องร้องเรียน!N:N,"บางคอแหลม",เรื่องร้องเรียน!AN:AN,"วัดพระยาไกร",เรื่องร้องเรียน!CL:CL,"1")</f>
        <v>0</v>
      </c>
      <c r="G123" s="117">
        <f>COUNTIFS(เรื่องร้องเรียน!E:E,"3",เรื่องร้องเรียน!N:N,"บางคอแหลม",เรื่องร้องเรียน!AN:AN,"วัดพระยาไกร")</f>
        <v>0</v>
      </c>
      <c r="H123" s="117">
        <f>COUNTIFS(เรื่องร้องเรียน!E:E,"3",เรื่องร้องเรียน!N:N,"บางคอแหลม",เรื่องร้องเรียน!AN:AN,"วัดพระยาไกร",เรื่องร้องเรียน!CL:CL,"1")</f>
        <v>0</v>
      </c>
      <c r="I123" s="117">
        <f>COUNTIFS(เรื่องร้องเรียน!E:E,"4",เรื่องร้องเรียน!N:N,"บางคอแหลม",เรื่องร้องเรียน!AN:AN,"วัดพระยาไกร")</f>
        <v>0</v>
      </c>
      <c r="J123" s="152">
        <f>COUNTIFS(เรื่องร้องเรียน!E:E,"4",เรื่องร้องเรียน!N:N,"บางคอแหลม",เรื่องร้องเรียน!AN:AN,"วัดพระยาไกร",เรื่องร้องเรียน!CL:CL,"1")</f>
        <v>0</v>
      </c>
      <c r="K123" s="152"/>
      <c r="L123" s="152"/>
      <c r="M123" s="117">
        <f t="shared" si="47"/>
        <v>0</v>
      </c>
      <c r="N123" s="122">
        <f t="shared" si="47"/>
        <v>0</v>
      </c>
      <c r="O123" s="153">
        <f>COUNTIFS(เรื่องร้องเรียน!E:E,"1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P123" s="152">
        <f>COUNTIFS(เรื่องร้องเรียน!E:E,"2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Q123" s="152">
        <f>COUNTIFS(เรื่องร้องเรียน!E:E,"3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R123" s="152">
        <f>COUNTIFS(เรื่องร้องเรียน!E:E,"4",เรื่องร้องเรียน!N:N,"บางคอแหลม",เรื่องร้องเรียน!AN:AN,"วัดพระยาไกร",เรื่องร้องเรียน!AQ:AQ,"1",เรื่องร้องเรียน!CL:CL,"")</f>
        <v>0</v>
      </c>
      <c r="S123" s="152"/>
      <c r="T123" s="154">
        <f t="shared" si="32"/>
        <v>0</v>
      </c>
      <c r="U123" s="129">
        <f t="shared" si="29"/>
        <v>0</v>
      </c>
      <c r="W123" s="129">
        <f t="shared" si="25"/>
        <v>0</v>
      </c>
    </row>
    <row r="124" spans="1:23" ht="21.6" thickBot="1">
      <c r="A124" s="150"/>
      <c r="B124" s="177" t="s">
        <v>80</v>
      </c>
      <c r="C124" s="123">
        <f>COUNTIFS(เรื่องร้องเรียน!E:E,"1",เรื่องร้องเรียน!N:N,"บางคอแหลม",เรื่องร้องเรียน!AN:AN,"ยานนาวา")</f>
        <v>0</v>
      </c>
      <c r="D124" s="117">
        <f>COUNTIFS(เรื่องร้องเรียน!E:E,"1",เรื่องร้องเรียน!N:N,"บางคอแหลม",เรื่องร้องเรียน!AN:AN,"ยานนาวา",เรื่องร้องเรียน!CL:CL,"1")</f>
        <v>0</v>
      </c>
      <c r="E124" s="117">
        <f>COUNTIFS(เรื่องร้องเรียน!E:E,"2",เรื่องร้องเรียน!N:N,"บางคอแหลม",เรื่องร้องเรียน!AN:AN,"ยานนาวา")</f>
        <v>0</v>
      </c>
      <c r="F124" s="117">
        <f>COUNTIFS(เรื่องร้องเรียน!E:E,"2",เรื่องร้องเรียน!N:N,"บางคอแหลม",เรื่องร้องเรียน!AN:AN,"ยานนาวา",เรื่องร้องเรียน!CL:CL,"1")</f>
        <v>0</v>
      </c>
      <c r="G124" s="117">
        <f>COUNTIFS(เรื่องร้องเรียน!E:E,"3",เรื่องร้องเรียน!N:N,"บางคอแหลม",เรื่องร้องเรียน!AN:AN,"ยานนาวา")</f>
        <v>0</v>
      </c>
      <c r="H124" s="117">
        <f>COUNTIFS(เรื่องร้องเรียน!E:E,"3",เรื่องร้องเรียน!N:N,"บางคอแหลม",เรื่องร้องเรียน!AN:AN,"ยานนาวา",เรื่องร้องเรียน!CL:CL,"1")</f>
        <v>0</v>
      </c>
      <c r="I124" s="117">
        <f>COUNTIFS(เรื่องร้องเรียน!E:E,"4",เรื่องร้องเรียน!N:N,"บางคอแหลม",เรื่องร้องเรียน!AN:AN,"ยานนาวา")</f>
        <v>0</v>
      </c>
      <c r="J124" s="152">
        <f>COUNTIFS(เรื่องร้องเรียน!E:E,"4",เรื่องร้องเรียน!N:N,"บางคอแหลม",เรื่องร้องเรียน!AN:AN,"ยานนาวา",เรื่องร้องเรียน!CL:CL,"1")</f>
        <v>0</v>
      </c>
      <c r="K124" s="152"/>
      <c r="L124" s="152"/>
      <c r="M124" s="117">
        <f t="shared" si="47"/>
        <v>0</v>
      </c>
      <c r="N124" s="122">
        <f t="shared" si="47"/>
        <v>0</v>
      </c>
      <c r="O124" s="153">
        <f>COUNTIFS(เรื่องร้องเรียน!E:E,"1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P124" s="152">
        <f>COUNTIFS(เรื่องร้องเรียน!E:E,"2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Q124" s="152">
        <f>COUNTIFS(เรื่องร้องเรียน!E:E,"3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R124" s="152">
        <f>COUNTIFS(เรื่องร้องเรียน!E:E,"4",เรื่องร้องเรียน!N:N,"บางคอแหลม",เรื่องร้องเรียน!AN:AN,"ยานนาวา",เรื่องร้องเรียน!AQ:AQ,"1",เรื่องร้องเรียน!CL:CL,"")</f>
        <v>0</v>
      </c>
      <c r="S124" s="152"/>
      <c r="T124" s="154">
        <f>SUM(O124:S124)</f>
        <v>0</v>
      </c>
      <c r="U124" s="129">
        <f>M124-N124-T124</f>
        <v>0</v>
      </c>
      <c r="W124" s="129">
        <f t="shared" si="25"/>
        <v>0</v>
      </c>
    </row>
    <row r="125" spans="1:23" ht="21.6" thickBot="1">
      <c r="A125" s="130" t="s">
        <v>75</v>
      </c>
      <c r="B125" s="169" t="s">
        <v>152</v>
      </c>
      <c r="C125" s="132">
        <f t="shared" ref="C125:U125" si="48">SUM(C126:C131)</f>
        <v>0</v>
      </c>
      <c r="D125" s="131">
        <f t="shared" si="48"/>
        <v>0</v>
      </c>
      <c r="E125" s="131">
        <f t="shared" si="48"/>
        <v>0</v>
      </c>
      <c r="F125" s="131">
        <f t="shared" si="48"/>
        <v>0</v>
      </c>
      <c r="G125" s="131">
        <f t="shared" si="48"/>
        <v>0</v>
      </c>
      <c r="H125" s="131">
        <f t="shared" si="48"/>
        <v>0</v>
      </c>
      <c r="I125" s="131">
        <f t="shared" si="48"/>
        <v>0</v>
      </c>
      <c r="J125" s="131">
        <f t="shared" si="48"/>
        <v>0</v>
      </c>
      <c r="K125" s="131">
        <f t="shared" si="48"/>
        <v>0</v>
      </c>
      <c r="L125" s="131">
        <f t="shared" si="48"/>
        <v>0</v>
      </c>
      <c r="M125" s="131">
        <f t="shared" si="48"/>
        <v>0</v>
      </c>
      <c r="N125" s="163">
        <f t="shared" si="48"/>
        <v>0</v>
      </c>
      <c r="O125" s="132">
        <f t="shared" si="48"/>
        <v>0</v>
      </c>
      <c r="P125" s="131">
        <f t="shared" si="48"/>
        <v>0</v>
      </c>
      <c r="Q125" s="131">
        <f t="shared" si="48"/>
        <v>0</v>
      </c>
      <c r="R125" s="131">
        <f t="shared" si="48"/>
        <v>0</v>
      </c>
      <c r="S125" s="131">
        <f t="shared" si="48"/>
        <v>0</v>
      </c>
      <c r="T125" s="131">
        <f t="shared" si="48"/>
        <v>0</v>
      </c>
      <c r="U125" s="131">
        <f t="shared" si="48"/>
        <v>0</v>
      </c>
      <c r="W125" s="135">
        <f t="shared" si="25"/>
        <v>0</v>
      </c>
    </row>
    <row r="126" spans="1:23">
      <c r="A126" s="173"/>
      <c r="B126" s="170" t="s">
        <v>20</v>
      </c>
      <c r="C126" s="140"/>
      <c r="D126" s="138"/>
      <c r="E126" s="138"/>
      <c r="F126" s="138"/>
      <c r="G126" s="138"/>
      <c r="H126" s="138"/>
      <c r="I126" s="138"/>
      <c r="J126" s="138"/>
      <c r="K126" s="138">
        <f>COUNTIFS(เรื่องร้องเรียน!E:E,"5",เรื่องร้องเรียน!N:N,"บางแค")</f>
        <v>0</v>
      </c>
      <c r="L126" s="138">
        <f>COUNTIFS(เรื่องร้องเรียน!E:E,"5",เรื่องร้องเรียน!N:N,"บางแค",เรื่องร้องเรียน!CL:CL,"1")</f>
        <v>0</v>
      </c>
      <c r="M126" s="138">
        <f t="shared" ref="M126:N131" si="49">SUM(C126,E126,G126,I126,K126)</f>
        <v>0</v>
      </c>
      <c r="N126" s="139">
        <f t="shared" si="49"/>
        <v>0</v>
      </c>
      <c r="O126" s="140"/>
      <c r="P126" s="138"/>
      <c r="Q126" s="138"/>
      <c r="R126" s="138"/>
      <c r="S126" s="138">
        <f>COUNTIFS(เรื่องร้องเรียน!E:E,"5",เรื่องร้องเรียน!N:N,"บางแค",เรื่องร้องเรียน!AQ:AQ,"1",เรื่องร้องเรียน!CL:CL,"")</f>
        <v>0</v>
      </c>
      <c r="T126" s="141">
        <f t="shared" si="32"/>
        <v>0</v>
      </c>
      <c r="U126" s="129">
        <f t="shared" si="29"/>
        <v>0</v>
      </c>
      <c r="W126" s="129">
        <f t="shared" si="25"/>
        <v>0</v>
      </c>
    </row>
    <row r="127" spans="1:23">
      <c r="A127" s="148"/>
      <c r="B127" s="171" t="s">
        <v>76</v>
      </c>
      <c r="C127" s="246">
        <f>COUNTIFS(เรื่องร้องเรียน!E:E,"1",เรื่องร้องเรียน!N:N,"บางแค",เรื่องร้องเรียน!AN:AN,"เพชรเกษม")</f>
        <v>0</v>
      </c>
      <c r="D127" s="109">
        <f>COUNTIFS(เรื่องร้องเรียน!E:E,"1",เรื่องร้องเรียน!N:N,"บางแค",เรื่องร้องเรียน!AN:AN,"เพชรเกษม",เรื่องร้องเรียน!CL:CL,"1")</f>
        <v>0</v>
      </c>
      <c r="E127" s="109">
        <f>COUNTIFS(เรื่องร้องเรียน!E:E,"2",เรื่องร้องเรียน!N:N,"บางแค",เรื่องร้องเรียน!AN:AN,"เพชรเกษม")</f>
        <v>0</v>
      </c>
      <c r="F127" s="109">
        <f>COUNTIFS(เรื่องร้องเรียน!E:E,"2",เรื่องร้องเรียน!N:N,"บางแค",เรื่องร้องเรียน!AN:AN,"เพชรเกษม",เรื่องร้องเรียน!CL:CL,"1")</f>
        <v>0</v>
      </c>
      <c r="G127" s="109">
        <f>COUNTIFS(เรื่องร้องเรียน!E:E,"3",เรื่องร้องเรียน!N:N,"บางแค",เรื่องร้องเรียน!AN:AN,"เพชรเกษม")</f>
        <v>0</v>
      </c>
      <c r="H127" s="109">
        <f>COUNTIFS(เรื่องร้องเรียน!E:E,"3",เรื่องร้องเรียน!N:N,"บางแค",เรื่องร้องเรียน!AN:AN,"เพชรเกษม",เรื่องร้องเรียน!CL:CL,"1")</f>
        <v>0</v>
      </c>
      <c r="I127" s="109">
        <f>COUNTIFS(เรื่องร้องเรียน!E:E,"4",เรื่องร้องเรียน!N:N,"บางแค",เรื่องร้องเรียน!AN:AN,"เพชรเกษม")</f>
        <v>0</v>
      </c>
      <c r="J127" s="144">
        <f>COUNTIFS(เรื่องร้องเรียน!E:E,"4",เรื่องร้องเรียน!N:N,"บางแค",เรื่องร้องเรียน!AN:AN,"เพชรเกษม",เรื่องร้องเรียน!CL:CL,"1")</f>
        <v>0</v>
      </c>
      <c r="K127" s="144"/>
      <c r="L127" s="144"/>
      <c r="M127" s="109">
        <f t="shared" si="49"/>
        <v>0</v>
      </c>
      <c r="N127" s="145">
        <f t="shared" si="49"/>
        <v>0</v>
      </c>
      <c r="O127" s="146">
        <f>COUNTIFS(เรื่องร้องเรียน!E:E,"1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P127" s="144">
        <f>COUNTIFS(เรื่องร้องเรียน!E:E,"2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Q127" s="144">
        <f>COUNTIFS(เรื่องร้องเรียน!E:E,"3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R127" s="144">
        <f>COUNTIFS(เรื่องร้องเรียน!E:E,"4",เรื่องร้องเรียน!N:N,"บางแค",เรื่องร้องเรียน!AN:AN,"เพชรเกษม",เรื่องร้องเรียน!AQ:AQ,"1",เรื่องร้องเรียน!CL:CL,"")</f>
        <v>0</v>
      </c>
      <c r="S127" s="144"/>
      <c r="T127" s="147">
        <f t="shared" si="32"/>
        <v>0</v>
      </c>
      <c r="U127" s="129">
        <f t="shared" si="29"/>
        <v>0</v>
      </c>
      <c r="V127" s="10" t="s">
        <v>191</v>
      </c>
      <c r="W127" s="129">
        <f t="shared" si="25"/>
        <v>0</v>
      </c>
    </row>
    <row r="128" spans="1:23">
      <c r="A128" s="148"/>
      <c r="B128" s="171" t="s">
        <v>92</v>
      </c>
      <c r="C128" s="123">
        <f>COUNTIFS(เรื่องร้องเรียน!E:E,"1",เรื่องร้องเรียน!N:N,"บางแค",เรื่องร้องเรียน!AN:AN,"หลักสอง")</f>
        <v>0</v>
      </c>
      <c r="D128" s="117">
        <f>COUNTIFS(เรื่องร้องเรียน!E:E,"1",เรื่องร้องเรียน!N:N,"บางแค",เรื่องร้องเรียน!AN:AN,"หลักสอง",เรื่องร้องเรียน!CL:CL,"1")</f>
        <v>0</v>
      </c>
      <c r="E128" s="117">
        <f>COUNTIFS(เรื่องร้องเรียน!E:E,"2",เรื่องร้องเรียน!N:N,"บางแค",เรื่องร้องเรียน!AN:AN,"หลักสอง")</f>
        <v>0</v>
      </c>
      <c r="F128" s="117">
        <f>COUNTIFS(เรื่องร้องเรียน!E:E,"2",เรื่องร้องเรียน!N:N,"บางแค",เรื่องร้องเรียน!AN:AN,"หลักสอง",เรื่องร้องเรียน!CL:CL,"1")</f>
        <v>0</v>
      </c>
      <c r="G128" s="117">
        <f>COUNTIFS(เรื่องร้องเรียน!E:E,"3",เรื่องร้องเรียน!N:N,"บางแค",เรื่องร้องเรียน!AN:AN,"หลักสอง")</f>
        <v>0</v>
      </c>
      <c r="H128" s="117">
        <f>COUNTIFS(เรื่องร้องเรียน!E:E,"3",เรื่องร้องเรียน!N:N,"บางแค",เรื่องร้องเรียน!AN:AN,"หลักสอง",เรื่องร้องเรียน!CL:CL,"1")</f>
        <v>0</v>
      </c>
      <c r="I128" s="117">
        <f>COUNTIFS(เรื่องร้องเรียน!E:E,"4",เรื่องร้องเรียน!N:N,"บางแค",เรื่องร้องเรียน!AN:AN,"หลักสอง")</f>
        <v>0</v>
      </c>
      <c r="J128" s="152">
        <f>COUNTIFS(เรื่องร้องเรียน!E:E,"4",เรื่องร้องเรียน!N:N,"บางแค",เรื่องร้องเรียน!AN:AN,"หลักสอง",เรื่องร้องเรียน!CL:CL,"1")</f>
        <v>0</v>
      </c>
      <c r="K128" s="152"/>
      <c r="L128" s="152"/>
      <c r="M128" s="117">
        <f t="shared" si="49"/>
        <v>0</v>
      </c>
      <c r="N128" s="122">
        <f t="shared" si="49"/>
        <v>0</v>
      </c>
      <c r="O128" s="153">
        <f>COUNTIFS(เรื่องร้องเรียน!E:E,"1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P128" s="152">
        <f>COUNTIFS(เรื่องร้องเรียน!E:E,"2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Q128" s="152">
        <f>COUNTIFS(เรื่องร้องเรียน!E:E,"3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R128" s="152">
        <f>COUNTIFS(เรื่องร้องเรียน!E:E,"4",เรื่องร้องเรียน!N:N,"บางแค",เรื่องร้องเรียน!AN:AN,"หลักสอง",เรื่องร้องเรียน!AQ:AQ,"1",เรื่องร้องเรียน!CL:CL,"")</f>
        <v>0</v>
      </c>
      <c r="S128" s="152"/>
      <c r="T128" s="154">
        <f t="shared" si="32"/>
        <v>0</v>
      </c>
      <c r="U128" s="129">
        <f t="shared" si="29"/>
        <v>0</v>
      </c>
      <c r="V128" s="10" t="s">
        <v>190</v>
      </c>
      <c r="W128" s="129">
        <f t="shared" si="25"/>
        <v>0</v>
      </c>
    </row>
    <row r="129" spans="1:25">
      <c r="A129" s="150"/>
      <c r="B129" s="177" t="s">
        <v>191</v>
      </c>
      <c r="C129" s="123">
        <f>COUNTIFS(เรื่องร้องเรียน!E:E,"1",เรื่องร้องเรียน!N:N,"บางแค",เรื่องร้องเรียน!AN:AN,"ศาลาแดง")</f>
        <v>0</v>
      </c>
      <c r="D129" s="117">
        <f>COUNTIFS(เรื่องร้องเรียน!E:E,"1",เรื่องร้องเรียน!N:N,"บางแค",เรื่องร้องเรียน!AN:AN,"ศาลาแดง",เรื่องร้องเรียน!CL:CL,"1")</f>
        <v>0</v>
      </c>
      <c r="E129" s="117">
        <f>COUNTIFS(เรื่องร้องเรียน!E:E,"2",เรื่องร้องเรียน!N:N,"บางแค",เรื่องร้องเรียน!AN:AN,"ศาลาแดง")</f>
        <v>0</v>
      </c>
      <c r="F129" s="117">
        <f>COUNTIFS(เรื่องร้องเรียน!E:E,"2",เรื่องร้องเรียน!N:N,"บางแค",เรื่องร้องเรียน!AN:AN,"ศาลาแดง",เรื่องร้องเรียน!CL:CL,"1")</f>
        <v>0</v>
      </c>
      <c r="G129" s="117">
        <f>COUNTIFS(เรื่องร้องเรียน!E:E,"3",เรื่องร้องเรียน!N:N,"บางแค",เรื่องร้องเรียน!AN:AN,"ศาลาแดง")</f>
        <v>0</v>
      </c>
      <c r="H129" s="117">
        <f>COUNTIFS(เรื่องร้องเรียน!E:E,"3",เรื่องร้องเรียน!N:N,"บางแค",เรื่องร้องเรียน!AN:AN,"ศาลาแดง",เรื่องร้องเรียน!CL:CL,"1")</f>
        <v>0</v>
      </c>
      <c r="I129" s="117">
        <f>COUNTIFS(เรื่องร้องเรียน!E:E,"4",เรื่องร้องเรียน!N:N,"บางแค",เรื่องร้องเรียน!AN:AN,"ศาลาแดง")</f>
        <v>0</v>
      </c>
      <c r="J129" s="152">
        <f>COUNTIFS(เรื่องร้องเรียน!E:E,"4",เรื่องร้องเรียน!N:N,"บางแค",เรื่องร้องเรียน!AN:AN,"ศาลาแดง",เรื่องร้องเรียน!CL:CL,"1")</f>
        <v>0</v>
      </c>
      <c r="K129" s="152"/>
      <c r="L129" s="152"/>
      <c r="M129" s="117">
        <f t="shared" si="49"/>
        <v>0</v>
      </c>
      <c r="N129" s="122">
        <f t="shared" si="49"/>
        <v>0</v>
      </c>
      <c r="O129" s="153">
        <f>COUNTIFS(เรื่องร้องเรียน!E:E,"1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P129" s="152">
        <f>COUNTIFS(เรื่องร้องเรียน!E:E,"2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Q129" s="152">
        <f>COUNTIFS(เรื่องร้องเรียน!E:E,"3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R129" s="152">
        <f>COUNTIFS(เรื่องร้องเรียน!E:E,"4",เรื่องร้องเรียน!N:N,"บางแค",เรื่องร้องเรียน!AN:AN,"ศาลาแดง",เรื่องร้องเรียน!AQ:AQ,"1",เรื่องร้องเรียน!CL:CL,"")</f>
        <v>0</v>
      </c>
      <c r="S129" s="152"/>
      <c r="T129" s="154">
        <f>SUM(O129:S129)</f>
        <v>0</v>
      </c>
      <c r="U129" s="129">
        <f>M129-N129-T129</f>
        <v>0</v>
      </c>
      <c r="W129" s="129">
        <f t="shared" si="25"/>
        <v>0</v>
      </c>
    </row>
    <row r="130" spans="1:25">
      <c r="A130" s="168"/>
      <c r="B130" s="166" t="s">
        <v>190</v>
      </c>
      <c r="C130" s="123">
        <f>COUNTIFS(เรื่องร้องเรียน!E:E,"1",เรื่องร้องเรียน!N:N,"บางแค",เรื่องร้องเรียน!AN:AN,"บางเสาธง")</f>
        <v>0</v>
      </c>
      <c r="D130" s="117">
        <f>COUNTIFS(เรื่องร้องเรียน!E:E,"1",เรื่องร้องเรียน!N:N,"บางแค",เรื่องร้องเรียน!AN:AN,"บางเสาธง",เรื่องร้องเรียน!CL:CL,"1")</f>
        <v>0</v>
      </c>
      <c r="E130" s="117">
        <f>COUNTIFS(เรื่องร้องเรียน!E:E,"2",เรื่องร้องเรียน!N:N,"บางแค",เรื่องร้องเรียน!AN:AN,"บางเสาธง")</f>
        <v>0</v>
      </c>
      <c r="F130" s="117">
        <f>COUNTIFS(เรื่องร้องเรียน!E:E,"2",เรื่องร้องเรียน!N:N,"บางแค",เรื่องร้องเรียน!AN:AN,"บางเสาธง",เรื่องร้องเรียน!CL:CL,"1")</f>
        <v>0</v>
      </c>
      <c r="G130" s="117">
        <f>COUNTIFS(เรื่องร้องเรียน!E:E,"3",เรื่องร้องเรียน!N:N,"บางแค",เรื่องร้องเรียน!AN:AN,"บางเสาธง")</f>
        <v>0</v>
      </c>
      <c r="H130" s="117">
        <f>COUNTIFS(เรื่องร้องเรียน!E:E,"3",เรื่องร้องเรียน!N:N,"บางแค",เรื่องร้องเรียน!AN:AN,"บางเสาธง",เรื่องร้องเรียน!CL:CL,"1")</f>
        <v>0</v>
      </c>
      <c r="I130" s="117">
        <f>COUNTIFS(เรื่องร้องเรียน!E:E,"4",เรื่องร้องเรียน!N:N,"บางแค",เรื่องร้องเรียน!AN:AN,"บางเสาธง")</f>
        <v>0</v>
      </c>
      <c r="J130" s="152">
        <f>COUNTIFS(เรื่องร้องเรียน!E:E,"4",เรื่องร้องเรียน!N:N,"บางแค",เรื่องร้องเรียน!AN:AN,"บางเสาธง",เรื่องร้องเรียน!CL:CL,"1")</f>
        <v>0</v>
      </c>
      <c r="K130" s="152"/>
      <c r="L130" s="152"/>
      <c r="M130" s="117">
        <f t="shared" si="49"/>
        <v>0</v>
      </c>
      <c r="N130" s="122">
        <f t="shared" si="49"/>
        <v>0</v>
      </c>
      <c r="O130" s="153">
        <f>COUNTIFS(เรื่องร้องเรียน!E:E,"1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P130" s="152">
        <f>COUNTIFS(เรื่องร้องเรียน!E:E,"2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Q130" s="152">
        <f>COUNTIFS(เรื่องร้องเรียน!E:E,"3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R130" s="152">
        <f>COUNTIFS(เรื่องร้องเรียน!E:E,"4",เรื่องร้องเรียน!N:N,"บางแค",เรื่องร้องเรียน!AN:AN,"บางเสาธง",เรื่องร้องเรียน!AQ:AQ,"1",เรื่องร้องเรียน!CL:CL,"")</f>
        <v>0</v>
      </c>
      <c r="S130" s="152"/>
      <c r="T130" s="154">
        <f>SUM(O130:S130)</f>
        <v>0</v>
      </c>
      <c r="U130" s="129">
        <f>M130-N130-T130</f>
        <v>0</v>
      </c>
      <c r="W130" s="129">
        <f t="shared" si="25"/>
        <v>0</v>
      </c>
    </row>
    <row r="131" spans="1:25" ht="21.6" thickBot="1">
      <c r="A131" s="168"/>
      <c r="B131" s="166" t="s">
        <v>199</v>
      </c>
      <c r="C131" s="123">
        <f>COUNTIFS(เรื่องร้องเรียน!E:E,"1",เรื่องร้องเรียน!N:N,"บางแค",เรื่องร้องเรียน!AN:AN,"ภาษีเจริญ")</f>
        <v>0</v>
      </c>
      <c r="D131" s="117">
        <f>COUNTIFS(เรื่องร้องเรียน!E:E,"1",เรื่องร้องเรียน!N:N,"บางแค",เรื่องร้องเรียน!AN:AN,"ภาษีเจริญ",เรื่องร้องเรียน!CL:CL,"1")</f>
        <v>0</v>
      </c>
      <c r="E131" s="117">
        <f>COUNTIFS(เรื่องร้องเรียน!E:E,"2",เรื่องร้องเรียน!N:N,"บางแค",เรื่องร้องเรียน!AN:AN,"ภาษีเจริญ")</f>
        <v>0</v>
      </c>
      <c r="F131" s="117">
        <f>COUNTIFS(เรื่องร้องเรียน!E:E,"2",เรื่องร้องเรียน!N:N,"บางแค",เรื่องร้องเรียน!AN:AN,"ภาษีเจริญ",เรื่องร้องเรียน!CL:CL,"1")</f>
        <v>0</v>
      </c>
      <c r="G131" s="117">
        <f>COUNTIFS(เรื่องร้องเรียน!E:E,"3",เรื่องร้องเรียน!N:N,"บางแค",เรื่องร้องเรียน!AN:AN,"ภาษีเจริญ")</f>
        <v>0</v>
      </c>
      <c r="H131" s="117">
        <f>COUNTIFS(เรื่องร้องเรียน!E:E,"3",เรื่องร้องเรียน!N:N,"บางแค",เรื่องร้องเรียน!AN:AN,"ภาษีเจริญ",เรื่องร้องเรียน!CL:CL,"1")</f>
        <v>0</v>
      </c>
      <c r="I131" s="117">
        <f>COUNTIFS(เรื่องร้องเรียน!E:E,"4",เรื่องร้องเรียน!N:N,"บางแค",เรื่องร้องเรียน!AN:AN,"ภาษีเจริญ")</f>
        <v>0</v>
      </c>
      <c r="J131" s="152">
        <f>COUNTIFS(เรื่องร้องเรียน!E:E,"4",เรื่องร้องเรียน!N:N,"บางแค",เรื่องร้องเรียน!AN:AN,"ภาษีเจริญ",เรื่องร้องเรียน!CL:CL,"1")</f>
        <v>0</v>
      </c>
      <c r="K131" s="152"/>
      <c r="L131" s="152"/>
      <c r="M131" s="117">
        <f t="shared" si="49"/>
        <v>0</v>
      </c>
      <c r="N131" s="122">
        <f t="shared" si="49"/>
        <v>0</v>
      </c>
      <c r="O131" s="153">
        <f>COUNTIFS(เรื่องร้องเรียน!E:E,"1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P131" s="152">
        <f>COUNTIFS(เรื่องร้องเรียน!E:E,"2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Q131" s="152">
        <f>COUNTIFS(เรื่องร้องเรียน!E:E,"3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R131" s="152">
        <f>COUNTIFS(เรื่องร้องเรียน!E:E,"4",เรื่องร้องเรียน!N:N,"บางแค",เรื่องร้องเรียน!AN:AN,"ภาษีเจริญ",เรื่องร้องเรียน!AQ:AQ,"1",เรื่องร้องเรียน!CL:CL,"")</f>
        <v>0</v>
      </c>
      <c r="S131" s="152"/>
      <c r="T131" s="154">
        <f>SUM(O131:S131)</f>
        <v>0</v>
      </c>
      <c r="U131" s="129">
        <f>M131-N131-T131</f>
        <v>0</v>
      </c>
      <c r="W131" s="129">
        <f t="shared" si="25"/>
        <v>0</v>
      </c>
    </row>
    <row r="132" spans="1:25" ht="21.6" thickBot="1">
      <c r="A132" s="130" t="s">
        <v>133</v>
      </c>
      <c r="B132" s="169" t="s">
        <v>152</v>
      </c>
      <c r="C132" s="132">
        <f>SUM(C133:C136 )</f>
        <v>0</v>
      </c>
      <c r="D132" s="131">
        <f t="shared" ref="D132:T132" si="50">SUM(D133:D136 )</f>
        <v>0</v>
      </c>
      <c r="E132" s="131">
        <f t="shared" si="50"/>
        <v>0</v>
      </c>
      <c r="F132" s="131">
        <f t="shared" si="50"/>
        <v>0</v>
      </c>
      <c r="G132" s="131">
        <f t="shared" si="50"/>
        <v>0</v>
      </c>
      <c r="H132" s="131">
        <f t="shared" si="50"/>
        <v>0</v>
      </c>
      <c r="I132" s="131">
        <f t="shared" si="50"/>
        <v>0</v>
      </c>
      <c r="J132" s="131">
        <f t="shared" si="50"/>
        <v>0</v>
      </c>
      <c r="K132" s="131">
        <f t="shared" si="50"/>
        <v>0</v>
      </c>
      <c r="L132" s="131">
        <f t="shared" si="50"/>
        <v>0</v>
      </c>
      <c r="M132" s="131">
        <f t="shared" si="50"/>
        <v>0</v>
      </c>
      <c r="N132" s="163">
        <f t="shared" si="50"/>
        <v>0</v>
      </c>
      <c r="O132" s="132">
        <f t="shared" si="50"/>
        <v>0</v>
      </c>
      <c r="P132" s="131">
        <f t="shared" si="50"/>
        <v>0</v>
      </c>
      <c r="Q132" s="131">
        <f t="shared" si="50"/>
        <v>0</v>
      </c>
      <c r="R132" s="131">
        <f t="shared" si="50"/>
        <v>0</v>
      </c>
      <c r="S132" s="131">
        <f>SUM(S133:S136 )</f>
        <v>0</v>
      </c>
      <c r="T132" s="133">
        <f t="shared" si="50"/>
        <v>0</v>
      </c>
      <c r="U132" s="134">
        <f t="shared" si="29"/>
        <v>0</v>
      </c>
      <c r="W132" s="135">
        <f t="shared" si="25"/>
        <v>0</v>
      </c>
    </row>
    <row r="133" spans="1:25">
      <c r="A133" s="173"/>
      <c r="B133" s="170" t="s">
        <v>20</v>
      </c>
      <c r="C133" s="140"/>
      <c r="D133" s="138"/>
      <c r="E133" s="138"/>
      <c r="F133" s="138"/>
      <c r="G133" s="138"/>
      <c r="H133" s="138"/>
      <c r="I133" s="138"/>
      <c r="J133" s="138"/>
      <c r="K133" s="138">
        <f>COUNTIFS(เรื่องร้องเรียน!E:E,"5",เรื่องร้องเรียน!N:N,"บางซื่อ")</f>
        <v>0</v>
      </c>
      <c r="L133" s="138">
        <f>COUNTIFS(เรื่องร้องเรียน!E:E,"5",เรื่องร้องเรียน!N:N,"บางซื่อ",เรื่องร้องเรียน!CL:CL,"1")</f>
        <v>0</v>
      </c>
      <c r="M133" s="138">
        <f t="shared" ref="M133:N136" si="51">SUM(C133,E133,G133,I133,K133)</f>
        <v>0</v>
      </c>
      <c r="N133" s="139">
        <f t="shared" si="51"/>
        <v>0</v>
      </c>
      <c r="O133" s="140"/>
      <c r="P133" s="138"/>
      <c r="Q133" s="138"/>
      <c r="R133" s="138"/>
      <c r="S133" s="138">
        <f>COUNTIFS(เรื่องร้องเรียน!E:E,"5",เรื่องร้องเรียน!N:N,"บางซื่อ",เรื่องร้องเรียน!AQ:AQ,"1",เรื่องร้องเรียน!CL:CL,"")</f>
        <v>0</v>
      </c>
      <c r="T133" s="141">
        <f t="shared" si="32"/>
        <v>0</v>
      </c>
      <c r="U133" s="129">
        <f t="shared" si="29"/>
        <v>0</v>
      </c>
      <c r="V133" s="10" t="s">
        <v>204</v>
      </c>
      <c r="W133" s="129">
        <f t="shared" si="25"/>
        <v>0</v>
      </c>
    </row>
    <row r="134" spans="1:25">
      <c r="A134" s="148"/>
      <c r="B134" s="171" t="s">
        <v>134</v>
      </c>
      <c r="C134" s="246">
        <f>COUNTIFS(เรื่องร้องเรียน!E:E,"1",เรื่องร้องเรียน!N:N,"บางซื่อ",เรื่องร้องเรียน!AN:AN,"เตาปูน")</f>
        <v>0</v>
      </c>
      <c r="D134" s="109">
        <f>COUNTIFS(เรื่องร้องเรียน!E:E,"1",เรื่องร้องเรียน!N:N,"บางซื่อ",เรื่องร้องเรียน!AN:AN,"เตาปูน",เรื่องร้องเรียน!CL:CL,"1")</f>
        <v>0</v>
      </c>
      <c r="E134" s="109">
        <f>COUNTIFS(เรื่องร้องเรียน!E:E,"2",เรื่องร้องเรียน!N:N,"บางซื่อ",เรื่องร้องเรียน!AN:AN,"เตาปูน")</f>
        <v>0</v>
      </c>
      <c r="F134" s="109">
        <f>COUNTIFS(เรื่องร้องเรียน!E:E,"2",เรื่องร้องเรียน!N:N,"บางซื่อ",เรื่องร้องเรียน!AN:AN,"เตาปูน",เรื่องร้องเรียน!CL:CL,"1")</f>
        <v>0</v>
      </c>
      <c r="G134" s="109">
        <f>COUNTIFS(เรื่องร้องเรียน!E:E,"3",เรื่องร้องเรียน!N:N,"บางซื่อ",เรื่องร้องเรียน!AN:AN,"เตาปูน")</f>
        <v>0</v>
      </c>
      <c r="H134" s="109">
        <f>COUNTIFS(เรื่องร้องเรียน!E:E,"3",เรื่องร้องเรียน!N:N,"บางซื่อ",เรื่องร้องเรียน!AN:AN,"เตาปูน",เรื่องร้องเรียน!CL:CL,"1")</f>
        <v>0</v>
      </c>
      <c r="I134" s="109">
        <f>COUNTIFS(เรื่องร้องเรียน!E:E,"4",เรื่องร้องเรียน!N:N,"บางซื่อ",เรื่องร้องเรียน!AN:AN,"เตาปูน")</f>
        <v>0</v>
      </c>
      <c r="J134" s="144">
        <f>COUNTIFS(เรื่องร้องเรียน!E:E,"4",เรื่องร้องเรียน!N:N,"บางซื่อ",เรื่องร้องเรียน!AN:AN,"เตาปูน",เรื่องร้องเรียน!CL:CL,"1")</f>
        <v>0</v>
      </c>
      <c r="K134" s="144"/>
      <c r="L134" s="144"/>
      <c r="M134" s="109">
        <f t="shared" si="51"/>
        <v>0</v>
      </c>
      <c r="N134" s="145">
        <f t="shared" si="51"/>
        <v>0</v>
      </c>
      <c r="O134" s="146">
        <f>COUNTIFS(เรื่องร้องเรียน!E:E,"1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P134" s="144">
        <f>COUNTIFS(เรื่องร้องเรียน!E:E,"2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Q134" s="144">
        <f>COUNTIFS(เรื่องร้องเรียน!E:E,"3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R134" s="144">
        <f>COUNTIFS(เรื่องร้องเรียน!E:E,"4",เรื่องร้องเรียน!N:N,"บางซื่อ",เรื่องร้องเรียน!AN:AN,"เตาปูน",เรื่องร้องเรียน!AQ:AQ,"1",เรื่องร้องเรียน!CL:CL,"")</f>
        <v>0</v>
      </c>
      <c r="S134" s="144"/>
      <c r="T134" s="147">
        <f t="shared" si="32"/>
        <v>0</v>
      </c>
      <c r="U134" s="129">
        <f t="shared" si="29"/>
        <v>0</v>
      </c>
      <c r="W134" s="129">
        <f t="shared" si="25"/>
        <v>0</v>
      </c>
    </row>
    <row r="135" spans="1:25">
      <c r="A135" s="148"/>
      <c r="B135" s="171" t="s">
        <v>172</v>
      </c>
      <c r="C135" s="246">
        <f>COUNTIFS(เรื่องร้องเรียน!E:E,"1",เรื่องร้องเรียน!N:N,"บางซื่อ",เรื่องร้องเรียน!AN:AN,"บางโพ")</f>
        <v>0</v>
      </c>
      <c r="D135" s="109">
        <f>COUNTIFS(เรื่องร้องเรียน!E:E,"1",เรื่องร้องเรียน!N:N,"บางซื่อ",เรื่องร้องเรียน!AN:AN,"บางโพ",เรื่องร้องเรียน!CL:CL,"1")</f>
        <v>0</v>
      </c>
      <c r="E135" s="109">
        <f>COUNTIFS(เรื่องร้องเรียน!E:E,"2",เรื่องร้องเรียน!N:N,"บางซื่อ",เรื่องร้องเรียน!AN:AN,"บางโพ")</f>
        <v>0</v>
      </c>
      <c r="F135" s="109">
        <f>COUNTIFS(เรื่องร้องเรียน!E:E,"2",เรื่องร้องเรียน!N:N,"บางซื่อ",เรื่องร้องเรียน!AN:AN,"บางโพ",เรื่องร้องเรียน!CL:CL,"1")</f>
        <v>0</v>
      </c>
      <c r="G135" s="109">
        <f>COUNTIFS(เรื่องร้องเรียน!E:E,"3",เรื่องร้องเรียน!N:N,"บางซื่อ",เรื่องร้องเรียน!AN:AN,"บางโพ")</f>
        <v>0</v>
      </c>
      <c r="H135" s="109">
        <f>COUNTIFS(เรื่องร้องเรียน!E:E,"3",เรื่องร้องเรียน!N:N,"บางซื่อ",เรื่องร้องเรียน!AN:AN,"บางโพ",เรื่องร้องเรียน!CL:CL,"1")</f>
        <v>0</v>
      </c>
      <c r="I135" s="109">
        <f>COUNTIFS(เรื่องร้องเรียน!E:E,"4",เรื่องร้องเรียน!N:N,"บางซื่อ",เรื่องร้องเรียน!AN:AN,"บางโพ")</f>
        <v>0</v>
      </c>
      <c r="J135" s="144">
        <f>COUNTIFS(เรื่องร้องเรียน!E:E,"4",เรื่องร้องเรียน!N:N,"บางซื่อ",เรื่องร้องเรียน!AN:AN,"บางโพ",เรื่องร้องเรียน!CL:CL,"1")</f>
        <v>0</v>
      </c>
      <c r="K135" s="144"/>
      <c r="L135" s="144"/>
      <c r="M135" s="109">
        <f t="shared" si="51"/>
        <v>0</v>
      </c>
      <c r="N135" s="145">
        <f t="shared" si="51"/>
        <v>0</v>
      </c>
      <c r="O135" s="146">
        <f>COUNTIFS(เรื่องร้องเรียน!E:E,"1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P135" s="144">
        <f>COUNTIFS(เรื่องร้องเรียน!E:E,"2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Q135" s="144">
        <f>COUNTIFS(เรื่องร้องเรียน!E:E,"3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R135" s="144">
        <f>COUNTIFS(เรื่องร้องเรียน!E:E,"4",เรื่องร้องเรียน!N:N,"บางซื่อ",เรื่องร้องเรียน!AN:AN,"บางโพ",เรื่องร้องเรียน!AQ:AQ,"1",เรื่องร้องเรียน!CL:CL,"")</f>
        <v>0</v>
      </c>
      <c r="S135" s="144"/>
      <c r="T135" s="147">
        <f>SUM(O135:S135)</f>
        <v>0</v>
      </c>
      <c r="U135" s="129">
        <f t="shared" si="29"/>
        <v>0</v>
      </c>
      <c r="W135" s="129">
        <f t="shared" si="25"/>
        <v>0</v>
      </c>
    </row>
    <row r="136" spans="1:25" ht="21.6" thickBot="1">
      <c r="A136" s="150"/>
      <c r="B136" s="177" t="s">
        <v>173</v>
      </c>
      <c r="C136" s="123">
        <f>COUNTIFS(เรื่องร้องเรียน!E:E,"1",เรื่องร้องเรียน!N:N,"บางซื่อ",เรื่องร้องเรียน!AN:AN,"ประชาชื่น")</f>
        <v>0</v>
      </c>
      <c r="D136" s="117">
        <f>COUNTIFS(เรื่องร้องเรียน!E:E,"1",เรื่องร้องเรียน!N:N,"บางซื่อ",เรื่องร้องเรียน!AN:AN,"ประชาชื่น",เรื่องร้องเรียน!CL:CL,"1")</f>
        <v>0</v>
      </c>
      <c r="E136" s="117">
        <f>COUNTIFS(เรื่องร้องเรียน!E:E,"2",เรื่องร้องเรียน!N:N,"บางซื่อ",เรื่องร้องเรียน!AN:AN,"ประชาชื่น")</f>
        <v>0</v>
      </c>
      <c r="F136" s="117">
        <f>COUNTIFS(เรื่องร้องเรียน!E:E,"2",เรื่องร้องเรียน!N:N,"บางซื่อ",เรื่องร้องเรียน!AN:AN,"ประชาชื่น",เรื่องร้องเรียน!CL:CL,"1")</f>
        <v>0</v>
      </c>
      <c r="G136" s="117">
        <f>COUNTIFS(เรื่องร้องเรียน!E:E,"3",เรื่องร้องเรียน!N:N,"บางซื่อ",เรื่องร้องเรียน!AN:AN,"ประชาชื่น")</f>
        <v>0</v>
      </c>
      <c r="H136" s="117">
        <f>COUNTIFS(เรื่องร้องเรียน!E:E,"3",เรื่องร้องเรียน!N:N,"บางซื่อ",เรื่องร้องเรียน!AN:AN,"ประชาชื่น",เรื่องร้องเรียน!CL:CL,"1")</f>
        <v>0</v>
      </c>
      <c r="I136" s="117">
        <f>COUNTIFS(เรื่องร้องเรียน!E:E,"4",เรื่องร้องเรียน!N:N,"บางซื่อ",เรื่องร้องเรียน!AN:AN,"ประชาชื่น")</f>
        <v>0</v>
      </c>
      <c r="J136" s="152">
        <f>COUNTIFS(เรื่องร้องเรียน!E:E,"4",เรื่องร้องเรียน!N:N,"บางซื่อ",เรื่องร้องเรียน!AN:AN,"ประชาชื่น",เรื่องร้องเรียน!CL:CL,"1")</f>
        <v>0</v>
      </c>
      <c r="K136" s="152"/>
      <c r="L136" s="152"/>
      <c r="M136" s="117">
        <f t="shared" si="51"/>
        <v>0</v>
      </c>
      <c r="N136" s="122">
        <f t="shared" si="51"/>
        <v>0</v>
      </c>
      <c r="O136" s="153">
        <f>COUNTIFS(เรื่องร้องเรียน!E:E,"1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P136" s="144">
        <f>COUNTIFS(เรื่องร้องเรียน!E:E,"2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Q136" s="152">
        <f>COUNTIFS(เรื่องร้องเรียน!E:E,"3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R136" s="152">
        <f>COUNTIFS(เรื่องร้องเรียน!E:E,"4",เรื่องร้องเรียน!N:N,"บางซื่อ",เรื่องร้องเรียน!AN:AN,"ประชาชื่น",เรื่องร้องเรียน!AQ:AQ,"1",เรื่องร้องเรียน!CL:CL,"")</f>
        <v>0</v>
      </c>
      <c r="S136" s="152"/>
      <c r="T136" s="154">
        <f>SUM(O136:S136)</f>
        <v>0</v>
      </c>
      <c r="U136" s="129">
        <f t="shared" si="29"/>
        <v>0</v>
      </c>
      <c r="W136" s="129">
        <f t="shared" si="25"/>
        <v>0</v>
      </c>
    </row>
    <row r="137" spans="1:25" ht="21.6" thickBot="1">
      <c r="A137" s="175" t="s">
        <v>108</v>
      </c>
      <c r="B137" s="169" t="s">
        <v>152</v>
      </c>
      <c r="C137" s="95">
        <f>SUM(C138:C139)</f>
        <v>0</v>
      </c>
      <c r="D137" s="92">
        <f t="shared" ref="D137:T137" si="52">SUM(D138:D139)</f>
        <v>0</v>
      </c>
      <c r="E137" s="92">
        <f t="shared" si="52"/>
        <v>0</v>
      </c>
      <c r="F137" s="92">
        <f t="shared" si="52"/>
        <v>0</v>
      </c>
      <c r="G137" s="92">
        <f t="shared" si="52"/>
        <v>0</v>
      </c>
      <c r="H137" s="92">
        <f t="shared" si="52"/>
        <v>0</v>
      </c>
      <c r="I137" s="92">
        <f t="shared" si="52"/>
        <v>0</v>
      </c>
      <c r="J137" s="92">
        <f t="shared" si="52"/>
        <v>0</v>
      </c>
      <c r="K137" s="92">
        <f t="shared" si="52"/>
        <v>0</v>
      </c>
      <c r="L137" s="92">
        <f t="shared" si="52"/>
        <v>0</v>
      </c>
      <c r="M137" s="92">
        <f t="shared" si="52"/>
        <v>0</v>
      </c>
      <c r="N137" s="94">
        <f t="shared" si="52"/>
        <v>0</v>
      </c>
      <c r="O137" s="95">
        <f t="shared" si="52"/>
        <v>0</v>
      </c>
      <c r="P137" s="92">
        <f t="shared" si="52"/>
        <v>0</v>
      </c>
      <c r="Q137" s="92">
        <f t="shared" si="52"/>
        <v>0</v>
      </c>
      <c r="R137" s="92">
        <f t="shared" si="52"/>
        <v>0</v>
      </c>
      <c r="S137" s="92">
        <f t="shared" si="52"/>
        <v>0</v>
      </c>
      <c r="T137" s="176">
        <f t="shared" si="52"/>
        <v>0</v>
      </c>
      <c r="U137" s="134">
        <f t="shared" si="29"/>
        <v>0</v>
      </c>
      <c r="W137" s="135">
        <f t="shared" si="25"/>
        <v>0</v>
      </c>
    </row>
    <row r="138" spans="1:25">
      <c r="A138" s="173"/>
      <c r="B138" s="170" t="s">
        <v>20</v>
      </c>
      <c r="C138" s="140"/>
      <c r="D138" s="138"/>
      <c r="E138" s="138"/>
      <c r="F138" s="138"/>
      <c r="G138" s="138"/>
      <c r="H138" s="138"/>
      <c r="I138" s="138"/>
      <c r="J138" s="138"/>
      <c r="K138" s="138">
        <f>COUNTIFS(เรื่องร้องเรียน!E:E,"5",เรื่องร้องเรียน!N:N,"บางนา")</f>
        <v>0</v>
      </c>
      <c r="L138" s="138">
        <f>COUNTIFS(เรื่องร้องเรียน!E:E,"5",เรื่องร้องเรียน!N:N,"บางนา",เรื่องร้องเรียน!CL:CL,"1")</f>
        <v>0</v>
      </c>
      <c r="M138" s="138">
        <f>SUM(C138,E138,G138,I138,K138)</f>
        <v>0</v>
      </c>
      <c r="N138" s="139">
        <f>SUM(D138,F138,H138,J138,L138)</f>
        <v>0</v>
      </c>
      <c r="O138" s="140"/>
      <c r="P138" s="138"/>
      <c r="Q138" s="138"/>
      <c r="R138" s="138"/>
      <c r="S138" s="138">
        <f>COUNTIFS(เรื่องร้องเรียน!E:E,"5",เรื่องร้องเรียน!N:N,"บางนา",เรื่องร้องเรียน!AQ:AQ,"1",เรื่องร้องเรียน!CL:CL,"")</f>
        <v>0</v>
      </c>
      <c r="T138" s="141">
        <f t="shared" si="32"/>
        <v>0</v>
      </c>
      <c r="U138" s="129">
        <f t="shared" si="29"/>
        <v>0</v>
      </c>
      <c r="W138" s="129">
        <f t="shared" si="25"/>
        <v>0</v>
      </c>
    </row>
    <row r="139" spans="1:25" ht="21.6" thickBot="1">
      <c r="A139" s="150"/>
      <c r="B139" s="177" t="s">
        <v>108</v>
      </c>
      <c r="C139" s="123">
        <f>COUNTIFS(เรื่องร้องเรียน!E:E,"1",เรื่องร้องเรียน!N:N,"บางนา",เรื่องร้องเรียน!AN:AN,"บางนา")</f>
        <v>0</v>
      </c>
      <c r="D139" s="117">
        <f>COUNTIFS(เรื่องร้องเรียน!E:E,"1",เรื่องร้องเรียน!N:N,"บางนา",เรื่องร้องเรียน!AN:AN,"บางนา",เรื่องร้องเรียน!CL:CL,"1")</f>
        <v>0</v>
      </c>
      <c r="E139" s="117">
        <f>COUNTIFS(เรื่องร้องเรียน!E:E,"2",เรื่องร้องเรียน!N:N,"บางนา",เรื่องร้องเรียน!AN:AN,"บางนา")</f>
        <v>0</v>
      </c>
      <c r="F139" s="117">
        <f>COUNTIFS(เรื่องร้องเรียน!E:E,"2",เรื่องร้องเรียน!N:N,"บางนา",เรื่องร้องเรียน!AN:AN,"บางนา",เรื่องร้องเรียน!CL:CL,"1")</f>
        <v>0</v>
      </c>
      <c r="G139" s="117">
        <f>COUNTIFS(เรื่องร้องเรียน!E:E,"3",เรื่องร้องเรียน!N:N,"บางนา",เรื่องร้องเรียน!AN:AN,"บางนา")</f>
        <v>0</v>
      </c>
      <c r="H139" s="117">
        <f>COUNTIFS(เรื่องร้องเรียน!E:E,"3",เรื่องร้องเรียน!N:N,"บางนา",เรื่องร้องเรียน!AN:AN,"บางนา",เรื่องร้องเรียน!CL:CL,"1")</f>
        <v>0</v>
      </c>
      <c r="I139" s="117">
        <f>COUNTIFS(เรื่องร้องเรียน!E:E,"4",เรื่องร้องเรียน!N:N,"บางนา",เรื่องร้องเรียน!AN:AN,"บางนา")</f>
        <v>0</v>
      </c>
      <c r="J139" s="152">
        <f>COUNTIFS(เรื่องร้องเรียน!E:E,"4",เรื่องร้องเรียน!N:N,"บางนา",เรื่องร้องเรียน!AN:AN,"บางนา",เรื่องร้องเรียน!CL:CL,"1")</f>
        <v>0</v>
      </c>
      <c r="K139" s="152"/>
      <c r="L139" s="152"/>
      <c r="M139" s="117">
        <f>SUM(C139,E139,G139,I139,K139)</f>
        <v>0</v>
      </c>
      <c r="N139" s="122">
        <f>SUM(D139,F139,H139,J139,L139)</f>
        <v>0</v>
      </c>
      <c r="O139" s="153">
        <f>COUNTIFS(เรื่องร้องเรียน!E:E,"1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P139" s="152">
        <f>COUNTIFS(เรื่องร้องเรียน!E:E,"2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Q139" s="152">
        <f>COUNTIFS(เรื่องร้องเรียน!E:E,"3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R139" s="152">
        <f>COUNTIFS(เรื่องร้องเรียน!E:E,"4",เรื่องร้องเรียน!N:N,"บางนา",เรื่องร้องเรียน!AN:AN,"บางนา",เรื่องร้องเรียน!AQ:AQ,"1",เรื่องร้องเรียน!CL:CL,"")</f>
        <v>0</v>
      </c>
      <c r="S139" s="152"/>
      <c r="T139" s="154">
        <f t="shared" si="32"/>
        <v>0</v>
      </c>
      <c r="U139" s="129">
        <f t="shared" si="29"/>
        <v>0</v>
      </c>
      <c r="W139" s="129">
        <f t="shared" si="25"/>
        <v>0</v>
      </c>
    </row>
    <row r="140" spans="1:25" ht="21.6" thickBot="1">
      <c r="A140" s="130" t="s">
        <v>94</v>
      </c>
      <c r="B140" s="169" t="s">
        <v>152</v>
      </c>
      <c r="C140" s="132">
        <f>SUM(C141:C146)</f>
        <v>0</v>
      </c>
      <c r="D140" s="131">
        <f t="shared" ref="D140:T140" si="53">SUM(D141:D146)</f>
        <v>0</v>
      </c>
      <c r="E140" s="131">
        <f t="shared" si="53"/>
        <v>0</v>
      </c>
      <c r="F140" s="131">
        <f t="shared" si="53"/>
        <v>0</v>
      </c>
      <c r="G140" s="131">
        <f t="shared" si="53"/>
        <v>0</v>
      </c>
      <c r="H140" s="131">
        <f t="shared" si="53"/>
        <v>0</v>
      </c>
      <c r="I140" s="131">
        <f t="shared" si="53"/>
        <v>0</v>
      </c>
      <c r="J140" s="131">
        <f t="shared" si="53"/>
        <v>0</v>
      </c>
      <c r="K140" s="131">
        <f t="shared" si="53"/>
        <v>0</v>
      </c>
      <c r="L140" s="131">
        <f t="shared" si="53"/>
        <v>0</v>
      </c>
      <c r="M140" s="131">
        <f t="shared" si="53"/>
        <v>0</v>
      </c>
      <c r="N140" s="163">
        <f t="shared" si="53"/>
        <v>0</v>
      </c>
      <c r="O140" s="132">
        <f t="shared" si="53"/>
        <v>0</v>
      </c>
      <c r="P140" s="132">
        <f t="shared" si="53"/>
        <v>0</v>
      </c>
      <c r="Q140" s="132">
        <f t="shared" si="53"/>
        <v>0</v>
      </c>
      <c r="R140" s="132">
        <f t="shared" si="53"/>
        <v>0</v>
      </c>
      <c r="S140" s="132">
        <f t="shared" si="53"/>
        <v>0</v>
      </c>
      <c r="T140" s="133">
        <f t="shared" si="53"/>
        <v>0</v>
      </c>
      <c r="U140" s="134">
        <f t="shared" si="29"/>
        <v>0</v>
      </c>
      <c r="W140" s="135">
        <f t="shared" si="25"/>
        <v>0</v>
      </c>
    </row>
    <row r="141" spans="1:25">
      <c r="A141" s="173"/>
      <c r="B141" s="170" t="s">
        <v>20</v>
      </c>
      <c r="C141" s="140"/>
      <c r="D141" s="138"/>
      <c r="E141" s="138"/>
      <c r="F141" s="138"/>
      <c r="G141" s="138"/>
      <c r="H141" s="138"/>
      <c r="I141" s="138"/>
      <c r="J141" s="138"/>
      <c r="K141" s="138">
        <f>COUNTIFS(เรื่องร้องเรียน!E:E,"5",เรื่องร้องเรียน!N:N,"บางบอน")</f>
        <v>0</v>
      </c>
      <c r="L141" s="138">
        <f>COUNTIFS(เรื่องร้องเรียน!E:E,"5",เรื่องร้องเรียน!N:N,"บางบอน",เรื่องร้องเรียน!CL:CL,"1")</f>
        <v>0</v>
      </c>
      <c r="M141" s="138">
        <f t="shared" ref="M141:N144" si="54">SUM(C141,E141,G141,I141,K141)</f>
        <v>0</v>
      </c>
      <c r="N141" s="139">
        <f t="shared" si="54"/>
        <v>0</v>
      </c>
      <c r="O141" s="140"/>
      <c r="P141" s="138"/>
      <c r="Q141" s="138"/>
      <c r="R141" s="138"/>
      <c r="S141" s="138">
        <f>COUNTIFS(เรื่องร้องเรียน!E:E,"5",เรื่องร้องเรียน!N:N,"บางบอน",เรื่องร้องเรียน!AQ:AQ,"1",เรื่องร้องเรียน!CL:CL,"")</f>
        <v>0</v>
      </c>
      <c r="T141" s="141">
        <f t="shared" si="32"/>
        <v>0</v>
      </c>
      <c r="U141" s="129">
        <f t="shared" si="29"/>
        <v>0</v>
      </c>
      <c r="V141" s="10" t="s">
        <v>112</v>
      </c>
      <c r="W141" s="129">
        <f t="shared" ref="W141:W207" si="55">SUM(M141-N141)</f>
        <v>0</v>
      </c>
    </row>
    <row r="142" spans="1:25">
      <c r="A142" s="148"/>
      <c r="B142" s="171" t="s">
        <v>71</v>
      </c>
      <c r="C142" s="246">
        <f>COUNTIFS(เรื่องร้องเรียน!E:E,"1",เรื่องร้องเรียน!N:N,"บางบอน",เรื่องร้องเรียน!AN:AN,"บางขุนเทียน")</f>
        <v>0</v>
      </c>
      <c r="D142" s="109">
        <f>COUNTIFS(เรื่องร้องเรียน!E:E,"1",เรื่องร้องเรียน!N:N,"บางบอน",เรื่องร้องเรียน!AN:AN,"บางขุนเทียน",เรื่องร้องเรียน!CL:CL,"1")</f>
        <v>0</v>
      </c>
      <c r="E142" s="109">
        <f>COUNTIFS(เรื่องร้องเรียน!E:E,"2",เรื่องร้องเรียน!N:N,"บางบอน",เรื่องร้องเรียน!AN:AN,"บางขุนเทียน")</f>
        <v>0</v>
      </c>
      <c r="F142" s="109">
        <f>COUNTIFS(เรื่องร้องเรียน!E:E,"2",เรื่องร้องเรียน!N:N,"บางบอน",เรื่องร้องเรียน!AN:AN,"บางขุนเทียน",เรื่องร้องเรียน!CL:CL,"1")</f>
        <v>0</v>
      </c>
      <c r="G142" s="109">
        <f>COUNTIFS(เรื่องร้องเรียน!E:E,"3",เรื่องร้องเรียน!N:N,"บางบอน",เรื่องร้องเรียน!AN:AN,"บางขุนเทียน")</f>
        <v>0</v>
      </c>
      <c r="H142" s="109">
        <f>COUNTIFS(เรื่องร้องเรียน!E:E,"3",เรื่องร้องเรียน!N:N,"บางบอน",เรื่องร้องเรียน!AN:AN,"บางขุนเทียน",เรื่องร้องเรียน!CL:CL,"1")</f>
        <v>0</v>
      </c>
      <c r="I142" s="109">
        <f>COUNTIFS(เรื่องร้องเรียน!E:E,"4",เรื่องร้องเรียน!N:N,"บางบอน",เรื่องร้องเรียน!AN:AN,"บางขุนเทียน")</f>
        <v>0</v>
      </c>
      <c r="J142" s="144">
        <f>COUNTIFS(เรื่องร้องเรียน!E:E,"4",เรื่องร้องเรียน!N:N,"บางบอน",เรื่องร้องเรียน!AN:AN,"บางขุนเทียน",เรื่องร้องเรียน!CL:CL,"1")</f>
        <v>0</v>
      </c>
      <c r="K142" s="144"/>
      <c r="L142" s="144"/>
      <c r="M142" s="109">
        <f t="shared" si="54"/>
        <v>0</v>
      </c>
      <c r="N142" s="145">
        <f t="shared" si="54"/>
        <v>0</v>
      </c>
      <c r="O142" s="146">
        <f>COUNTIFS(เรื่องร้องเรียน!E:E,"1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P142" s="144">
        <f>COUNTIFS(เรื่องร้องเรียน!E:E,"2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Q142" s="144">
        <f>COUNTIFS(เรื่องร้องเรียน!E:E,"3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R142" s="144">
        <f>COUNTIFS(เรื่องร้องเรียน!E:E,"4",เรื่องร้องเรียน!N:N,"บางบอน",เรื่องร้องเรียน!AN:AN,"บางขุนเทียน",เรื่องร้องเรียน!AQ:AQ,"1",เรื่องร้องเรียน!CL:CL,"")</f>
        <v>0</v>
      </c>
      <c r="S142" s="144"/>
      <c r="T142" s="147">
        <f t="shared" si="32"/>
        <v>0</v>
      </c>
      <c r="U142" s="129">
        <f t="shared" si="29"/>
        <v>0</v>
      </c>
      <c r="V142" s="10" t="s">
        <v>76</v>
      </c>
      <c r="W142" s="129">
        <f t="shared" si="55"/>
        <v>0</v>
      </c>
      <c r="Y142" s="10" t="s">
        <v>112</v>
      </c>
    </row>
    <row r="143" spans="1:25">
      <c r="A143" s="148"/>
      <c r="B143" s="171" t="s">
        <v>94</v>
      </c>
      <c r="C143" s="246">
        <f>COUNTIFS(เรื่องร้องเรียน!E:E,"1",เรื่องร้องเรียน!N:N,"บางบอน",เรื่องร้องเรียน!AN:AN,"บางบอน")</f>
        <v>0</v>
      </c>
      <c r="D143" s="109">
        <f>COUNTIFS(เรื่องร้องเรียน!E:E,"1",เรื่องร้องเรียน!N:N,"บางบอน",เรื่องร้องเรียน!AN:AN,"บางบอน",เรื่องร้องเรียน!CL:CL,"1")</f>
        <v>0</v>
      </c>
      <c r="E143" s="109">
        <f>COUNTIFS(เรื่องร้องเรียน!E:E,"2",เรื่องร้องเรียน!N:N,"บางบอน",เรื่องร้องเรียน!AN:AN,"บางบอน")</f>
        <v>0</v>
      </c>
      <c r="F143" s="109">
        <f>COUNTIFS(เรื่องร้องเรียน!E:E,"2",เรื่องร้องเรียน!N:N,"บางบอน",เรื่องร้องเรียน!AN:AN,"บางบอน",เรื่องร้องเรียน!CL:CL,"1")</f>
        <v>0</v>
      </c>
      <c r="G143" s="109">
        <f>COUNTIFS(เรื่องร้องเรียน!E:E,"3",เรื่องร้องเรียน!N:N,"บางบอน",เรื่องร้องเรียน!AN:AN,"บางบอน")</f>
        <v>0</v>
      </c>
      <c r="H143" s="109">
        <f>COUNTIFS(เรื่องร้องเรียน!E:E,"3",เรื่องร้องเรียน!N:N,"บางบอน",เรื่องร้องเรียน!AN:AN,"บางบอน",เรื่องร้องเรียน!CL:CL,"1")</f>
        <v>0</v>
      </c>
      <c r="I143" s="109">
        <f>COUNTIFS(เรื่องร้องเรียน!E:E,"4",เรื่องร้องเรียน!N:N,"บางบอน",เรื่องร้องเรียน!AN:AN,"บางบอน")</f>
        <v>0</v>
      </c>
      <c r="J143" s="144">
        <f>COUNTIFS(เรื่องร้องเรียน!E:E,"4",เรื่องร้องเรียน!N:N,"บางบอน",เรื่องร้องเรียน!AN:AN,"บางบอน",เรื่องร้องเรียน!CL:CL,"1")</f>
        <v>0</v>
      </c>
      <c r="K143" s="144"/>
      <c r="L143" s="144"/>
      <c r="M143" s="109">
        <f t="shared" si="54"/>
        <v>0</v>
      </c>
      <c r="N143" s="145">
        <f t="shared" si="54"/>
        <v>0</v>
      </c>
      <c r="O143" s="146">
        <f>COUNTIFS(เรื่องร้องเรียน!E:E,"1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P143" s="144">
        <f>COUNTIFS(เรื่องร้องเรียน!E:E,"2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Q143" s="144">
        <f>COUNTIFS(เรื่องร้องเรียน!E:E,"3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R143" s="144">
        <f>COUNTIFS(เรื่องร้องเรียน!E:E,"4",เรื่องร้องเรียน!N:N,"บางบอน",เรื่องร้องเรียน!AN:AN,"บางบอน",เรื่องร้องเรียน!AQ:AQ,"1",เรื่องร้องเรียน!CL:CL,"")</f>
        <v>0</v>
      </c>
      <c r="S143" s="144"/>
      <c r="T143" s="147">
        <f t="shared" si="32"/>
        <v>0</v>
      </c>
      <c r="U143" s="129">
        <f t="shared" si="29"/>
        <v>0</v>
      </c>
      <c r="W143" s="129">
        <f t="shared" si="55"/>
        <v>0</v>
      </c>
    </row>
    <row r="144" spans="1:25">
      <c r="A144" s="148"/>
      <c r="B144" s="171" t="s">
        <v>70</v>
      </c>
      <c r="C144" s="123">
        <f>COUNTIFS(เรื่องร้องเรียน!E:E,"1",เรื่องร้องเรียน!N:N,"บางบอน",เรื่องร้องเรียน!AN:AN,"แสมดำ")</f>
        <v>0</v>
      </c>
      <c r="D144" s="117">
        <f>COUNTIFS(เรื่องร้องเรียน!E:E,"1",เรื่องร้องเรียน!N:N,"บางบอน",เรื่องร้องเรียน!AN:AN,"แสมดำ",เรื่องร้องเรียน!CL:CL,"1")</f>
        <v>0</v>
      </c>
      <c r="E144" s="117">
        <f>COUNTIFS(เรื่องร้องเรียน!E:E,"2",เรื่องร้องเรียน!N:N,"บางบอน",เรื่องร้องเรียน!AN:AN,"แสมดำ")</f>
        <v>0</v>
      </c>
      <c r="F144" s="117">
        <f>COUNTIFS(เรื่องร้องเรียน!E:E,"2",เรื่องร้องเรียน!N:N,"บางบอน",เรื่องร้องเรียน!AN:AN,"แสมดำ",เรื่องร้องเรียน!CL:CL,"1")</f>
        <v>0</v>
      </c>
      <c r="G144" s="117">
        <f>COUNTIFS(เรื่องร้องเรียน!E:E,"3",เรื่องร้องเรียน!N:N,"บางบอน",เรื่องร้องเรียน!AN:AN,"แสมดำ")</f>
        <v>0</v>
      </c>
      <c r="H144" s="117">
        <f>COUNTIFS(เรื่องร้องเรียน!E:E,"3",เรื่องร้องเรียน!N:N,"บางบอน",เรื่องร้องเรียน!AN:AN,"แสมดำ",เรื่องร้องเรียน!CL:CL,"1")</f>
        <v>0</v>
      </c>
      <c r="I144" s="117">
        <f>COUNTIFS(เรื่องร้องเรียน!E:E,"4",เรื่องร้องเรียน!N:N,"บางบอน",เรื่องร้องเรียน!AN:AN,"แสมดำ")</f>
        <v>0</v>
      </c>
      <c r="J144" s="152">
        <f>COUNTIFS(เรื่องร้องเรียน!E:E,"4",เรื่องร้องเรียน!N:N,"บางบอน",เรื่องร้องเรียน!AN:AN,"แสมดำ",เรื่องร้องเรียน!CL:CL,"1")</f>
        <v>0</v>
      </c>
      <c r="K144" s="152"/>
      <c r="L144" s="152"/>
      <c r="M144" s="117">
        <f t="shared" si="54"/>
        <v>0</v>
      </c>
      <c r="N144" s="122">
        <f t="shared" si="54"/>
        <v>0</v>
      </c>
      <c r="O144" s="153">
        <f>COUNTIFS(เรื่องร้องเรียน!E:E,"1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P144" s="152">
        <f>COUNTIFS(เรื่องร้องเรียน!E:E,"2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Q144" s="152">
        <f>COUNTIFS(เรื่องร้องเรียน!E:E,"3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R144" s="152">
        <f>COUNTIFS(เรื่องร้องเรียน!E:E,"4",เรื่องร้องเรียน!N:N,"บางบอน",เรื่องร้องเรียน!AN:AN,"แสมดำ",เรื่องร้องเรียน!AQ:AQ,"1",เรื่องร้องเรียน!CL:CL,"")</f>
        <v>0</v>
      </c>
      <c r="S144" s="152"/>
      <c r="T144" s="154">
        <f t="shared" si="32"/>
        <v>0</v>
      </c>
      <c r="U144" s="129">
        <f t="shared" si="29"/>
        <v>0</v>
      </c>
      <c r="W144" s="129">
        <f t="shared" si="55"/>
        <v>0</v>
      </c>
    </row>
    <row r="145" spans="1:23">
      <c r="A145" s="148"/>
      <c r="B145" s="171" t="s">
        <v>112</v>
      </c>
      <c r="C145" s="123">
        <f>COUNTIFS(เรื่องร้องเรียน!E:E,"1",เรื่องร้องเรียน!N:N,"บางบอน",เรื่องร้องเรียน!AN:AN,"ท่าข้าม")</f>
        <v>0</v>
      </c>
      <c r="D145" s="117">
        <f>COUNTIFS(เรื่องร้องเรียน!E:E,"1",เรื่องร้องเรียน!N:N,"บางบอน",เรื่องร้องเรียน!AN:AN,"ท่าข้าม",เรื่องร้องเรียน!CL:CL,"1")</f>
        <v>0</v>
      </c>
      <c r="E145" s="117">
        <f>COUNTIFS(เรื่องร้องเรียน!E:E,"2",เรื่องร้องเรียน!N:N,"บางบอน",เรื่องร้องเรียน!AN:AN,"ท่าข้าม")</f>
        <v>0</v>
      </c>
      <c r="F145" s="117">
        <f>COUNTIFS(เรื่องร้องเรียน!E:E,"2",เรื่องร้องเรียน!N:N,"บางบอน",เรื่องร้องเรียน!AN:AN,"ท่าข้าม",เรื่องร้องเรียน!CL:CL,"1")</f>
        <v>0</v>
      </c>
      <c r="G145" s="117">
        <f>COUNTIFS(เรื่องร้องเรียน!E:E,"3",เรื่องร้องเรียน!N:N,"บางบอน",เรื่องร้องเรียน!AN:AN,"ท่าข้าม")</f>
        <v>0</v>
      </c>
      <c r="H145" s="117">
        <f>COUNTIFS(เรื่องร้องเรียน!E:E,"3",เรื่องร้องเรียน!N:N,"บางบอน",เรื่องร้องเรียน!AN:AN,"ท่าข้าม",เรื่องร้องเรียน!CL:CL,"1")</f>
        <v>0</v>
      </c>
      <c r="I145" s="117">
        <f>COUNTIFS(เรื่องร้องเรียน!E:E,"4",เรื่องร้องเรียน!N:N,"บางบอน",เรื่องร้องเรียน!AN:AN,"ท่าข้าม")</f>
        <v>0</v>
      </c>
      <c r="J145" s="152">
        <f>COUNTIFS(เรื่องร้องเรียน!E:E,"4",เรื่องร้องเรียน!N:N,"บางบอน",เรื่องร้องเรียน!AN:AN,"ท่าข้าม",เรื่องร้องเรียน!CL:CL,"1")</f>
        <v>0</v>
      </c>
      <c r="K145" s="152"/>
      <c r="L145" s="152"/>
      <c r="M145" s="117">
        <f>SUM(C145,E145,G145,I145,K145)</f>
        <v>0</v>
      </c>
      <c r="N145" s="122">
        <f>SUM(D145,F145,H145,J145,L145)</f>
        <v>0</v>
      </c>
      <c r="O145" s="153">
        <f>COUNTIFS(เรื่องร้องเรียน!E:E,"1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P145" s="152">
        <f>COUNTIFS(เรื่องร้องเรียน!E:E,"2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Q145" s="152">
        <f>COUNTIFS(เรื่องร้องเรียน!E:E,"3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R145" s="152">
        <f>COUNTIFS(เรื่องร้องเรียน!E:E,"4",เรื่องร้องเรียน!N:N,"บางบอน",เรื่องร้องเรียน!AN:AN,"ท่าข้าม",เรื่องร้องเรียน!AQ:AQ,"1",เรื่องร้องเรียน!CL:CL,"")</f>
        <v>0</v>
      </c>
      <c r="S145" s="152"/>
      <c r="T145" s="154">
        <f>SUM(O145:S145)</f>
        <v>0</v>
      </c>
      <c r="U145" s="129">
        <f>M145-N145-T145</f>
        <v>0</v>
      </c>
      <c r="W145" s="129">
        <f t="shared" si="55"/>
        <v>0</v>
      </c>
    </row>
    <row r="146" spans="1:23" ht="21.6" thickBot="1">
      <c r="A146" s="150"/>
      <c r="B146" s="177" t="s">
        <v>76</v>
      </c>
      <c r="C146" s="123">
        <f>COUNTIFS(เรื่องร้องเรียน!E:E,"1",เรื่องร้องเรียน!N:N,"บางบอน",เรื่องร้องเรียน!AN:AN,"เพชรเกษม")</f>
        <v>0</v>
      </c>
      <c r="D146" s="117">
        <f>COUNTIFS(เรื่องร้องเรียน!E:E,"1",เรื่องร้องเรียน!N:N,"บางบอน",เรื่องร้องเรียน!AN:AN,"เพชรเกษม",เรื่องร้องเรียน!CL:CL,"1")</f>
        <v>0</v>
      </c>
      <c r="E146" s="117">
        <f>COUNTIFS(เรื่องร้องเรียน!E:E,"2",เรื่องร้องเรียน!N:N,"บางบอน",เรื่องร้องเรียน!AN:AN,"เพชรเกษม")</f>
        <v>0</v>
      </c>
      <c r="F146" s="117">
        <f>COUNTIFS(เรื่องร้องเรียน!E:E,"2",เรื่องร้องเรียน!N:N,"บางบอน",เรื่องร้องเรียน!AN:AN,"เพชรเกษม",เรื่องร้องเรียน!CL:CL,"1")</f>
        <v>0</v>
      </c>
      <c r="G146" s="117">
        <f>COUNTIFS(เรื่องร้องเรียน!E:E,"3",เรื่องร้องเรียน!N:N,"บางบอน",เรื่องร้องเรียน!AN:AN,"เพชรเกษม")</f>
        <v>0</v>
      </c>
      <c r="H146" s="117">
        <f>COUNTIFS(เรื่องร้องเรียน!E:E,"3",เรื่องร้องเรียน!N:N,"บางบอน",เรื่องร้องเรียน!AN:AN,"เพชรเกษม",เรื่องร้องเรียน!CL:CL,"1")</f>
        <v>0</v>
      </c>
      <c r="I146" s="117">
        <f>COUNTIFS(เรื่องร้องเรียน!E:E,"4",เรื่องร้องเรียน!N:N,"บางบอน",เรื่องร้องเรียน!AN:AN,"เพชรเกษม")</f>
        <v>0</v>
      </c>
      <c r="J146" s="152">
        <f>COUNTIFS(เรื่องร้องเรียน!E:E,"4",เรื่องร้องเรียน!N:N,"บางบอน",เรื่องร้องเรียน!AN:AN,"เพชรเกษม",เรื่องร้องเรียน!CL:CL,"1")</f>
        <v>0</v>
      </c>
      <c r="K146" s="152"/>
      <c r="L146" s="152"/>
      <c r="M146" s="117">
        <f>SUM(C146,E146,G146,I146,K146)</f>
        <v>0</v>
      </c>
      <c r="N146" s="122">
        <f>SUM(D146,F146,H146,J146,L146)</f>
        <v>0</v>
      </c>
      <c r="O146" s="153">
        <f>COUNTIFS(เรื่องร้องเรียน!E:E,"1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P146" s="152">
        <f>COUNTIFS(เรื่องร้องเรียน!E:E,"2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Q146" s="152">
        <f>COUNTIFS(เรื่องร้องเรียน!E:E,"3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R146" s="152">
        <f>COUNTIFS(เรื่องร้องเรียน!E:E,"4",เรื่องร้องเรียน!N:N,"บางบอน",เรื่องร้องเรียน!AN:AN,"เพชรเกษม",เรื่องร้องเรียน!AQ:AQ,"1",เรื่องร้องเรียน!CL:CL,"")</f>
        <v>0</v>
      </c>
      <c r="S146" s="152"/>
      <c r="T146" s="154">
        <f>SUM(O146:S146)</f>
        <v>0</v>
      </c>
      <c r="U146" s="129">
        <f>M146-N146-T146</f>
        <v>0</v>
      </c>
      <c r="W146" s="129">
        <f t="shared" si="55"/>
        <v>0</v>
      </c>
    </row>
    <row r="147" spans="1:23" ht="21.6" thickBot="1">
      <c r="A147" s="130" t="s">
        <v>106</v>
      </c>
      <c r="B147" s="169" t="s">
        <v>152</v>
      </c>
      <c r="C147" s="132">
        <f>SUM(C148:C152 )</f>
        <v>0</v>
      </c>
      <c r="D147" s="131">
        <f t="shared" ref="D147:U147" si="56">SUM(D148:D152 )</f>
        <v>0</v>
      </c>
      <c r="E147" s="131">
        <f t="shared" si="56"/>
        <v>0</v>
      </c>
      <c r="F147" s="131">
        <f t="shared" si="56"/>
        <v>0</v>
      </c>
      <c r="G147" s="131">
        <f t="shared" si="56"/>
        <v>0</v>
      </c>
      <c r="H147" s="131">
        <f t="shared" si="56"/>
        <v>0</v>
      </c>
      <c r="I147" s="131">
        <f t="shared" si="56"/>
        <v>0</v>
      </c>
      <c r="J147" s="131">
        <f t="shared" si="56"/>
        <v>0</v>
      </c>
      <c r="K147" s="131">
        <f t="shared" si="56"/>
        <v>0</v>
      </c>
      <c r="L147" s="131">
        <f t="shared" si="56"/>
        <v>0</v>
      </c>
      <c r="M147" s="131">
        <f t="shared" si="56"/>
        <v>0</v>
      </c>
      <c r="N147" s="163">
        <f t="shared" si="56"/>
        <v>0</v>
      </c>
      <c r="O147" s="132">
        <f t="shared" si="56"/>
        <v>0</v>
      </c>
      <c r="P147" s="131">
        <f t="shared" si="56"/>
        <v>0</v>
      </c>
      <c r="Q147" s="131">
        <f t="shared" si="56"/>
        <v>0</v>
      </c>
      <c r="R147" s="131">
        <f t="shared" si="56"/>
        <v>0</v>
      </c>
      <c r="S147" s="131">
        <f t="shared" si="56"/>
        <v>0</v>
      </c>
      <c r="T147" s="133">
        <f t="shared" si="56"/>
        <v>0</v>
      </c>
      <c r="U147" s="185">
        <f t="shared" si="56"/>
        <v>0</v>
      </c>
      <c r="W147" s="135">
        <f t="shared" si="55"/>
        <v>0</v>
      </c>
    </row>
    <row r="148" spans="1:23">
      <c r="A148" s="173"/>
      <c r="B148" s="170" t="s">
        <v>20</v>
      </c>
      <c r="C148" s="140"/>
      <c r="D148" s="138"/>
      <c r="E148" s="138"/>
      <c r="F148" s="138"/>
      <c r="G148" s="138"/>
      <c r="H148" s="138"/>
      <c r="I148" s="138"/>
      <c r="J148" s="138"/>
      <c r="K148" s="138">
        <f>COUNTIFS(เรื่องร้องเรียน!E:E,"5",เรื่องร้องเรียน!N:N,"บางพลัด")</f>
        <v>0</v>
      </c>
      <c r="L148" s="138">
        <f>COUNTIFS(เรื่องร้องเรียน!E:E,"5",เรื่องร้องเรียน!N:N,"บางพลัด",เรื่องร้องเรียน!CL:CL,"1")</f>
        <v>0</v>
      </c>
      <c r="M148" s="138">
        <f t="shared" ref="M148:N152" si="57">SUM(C148,E148,G148,I148,K148)</f>
        <v>0</v>
      </c>
      <c r="N148" s="139">
        <f t="shared" si="57"/>
        <v>0</v>
      </c>
      <c r="O148" s="140"/>
      <c r="P148" s="138"/>
      <c r="Q148" s="138"/>
      <c r="R148" s="138"/>
      <c r="S148" s="138">
        <f>COUNTIFS(เรื่องร้องเรียน!E:E,"5",เรื่องร้องเรียน!N:N,"บางพลัด",เรื่องร้องเรียน!AQ:AQ,"1",เรื่องร้องเรียน!CL:CL,"")</f>
        <v>0</v>
      </c>
      <c r="T148" s="141">
        <f t="shared" si="32"/>
        <v>0</v>
      </c>
      <c r="U148" s="129">
        <f t="shared" si="29"/>
        <v>0</v>
      </c>
      <c r="V148" s="10" t="s">
        <v>185</v>
      </c>
      <c r="W148" s="129">
        <f t="shared" si="55"/>
        <v>0</v>
      </c>
    </row>
    <row r="149" spans="1:23">
      <c r="A149" s="148"/>
      <c r="B149" s="171" t="s">
        <v>192</v>
      </c>
      <c r="C149" s="246">
        <f>COUNTIFS(เรื่องร้องเรียน!E:E,"1",เรื่องร้องเรียน!N:N,"บางพลัด",เรื่องร้องเรียน!AN:AN,"บวรมงคล")</f>
        <v>0</v>
      </c>
      <c r="D149" s="109">
        <f>COUNTIFS(เรื่องร้องเรียน!E:E,"1",เรื่องร้องเรียน!N:N,"บางพลัด",เรื่องร้องเรียน!AN:AN,"บวรมงคล",เรื่องร้องเรียน!CL:CL,"1")</f>
        <v>0</v>
      </c>
      <c r="E149" s="109">
        <f>COUNTIFS(เรื่องร้องเรียน!E:E,"2",เรื่องร้องเรียน!N:N,"บางพลัด",เรื่องร้องเรียน!AN:AN,"บวรมงคล")</f>
        <v>0</v>
      </c>
      <c r="F149" s="109">
        <f>COUNTIFS(เรื่องร้องเรียน!E:E,"2",เรื่องร้องเรียน!N:N,"บางพลัด",เรื่องร้องเรียน!AN:AN,"บวรมงคล",เรื่องร้องเรียน!CL:CL,"1")</f>
        <v>0</v>
      </c>
      <c r="G149" s="109">
        <f>COUNTIFS(เรื่องร้องเรียน!E:E,"3",เรื่องร้องเรียน!N:N,"บางพลัด",เรื่องร้องเรียน!AN:AN,"บวรมงคล")</f>
        <v>0</v>
      </c>
      <c r="H149" s="109">
        <f>COUNTIFS(เรื่องร้องเรียน!E:E,"3",เรื่องร้องเรียน!N:N,"บางพลัด",เรื่องร้องเรียน!AN:AN,"บวรมงคล",เรื่องร้องเรียน!CL:CL,"1")</f>
        <v>0</v>
      </c>
      <c r="I149" s="109">
        <f>COUNTIFS(เรื่องร้องเรียน!E:E,"4",เรื่องร้องเรียน!N:N,"บางพลัด",เรื่องร้องเรียน!AN:AN,"บวรมงคล")</f>
        <v>0</v>
      </c>
      <c r="J149" s="144">
        <f>COUNTIFS(เรื่องร้องเรียน!E:E,"4",เรื่องร้องเรียน!N:N,"บางพลัด",เรื่องร้องเรียน!AN:AN,"บวรมงคล",เรื่องร้องเรียน!CL:CL,"1")</f>
        <v>0</v>
      </c>
      <c r="K149" s="144"/>
      <c r="L149" s="144"/>
      <c r="M149" s="109">
        <f t="shared" si="57"/>
        <v>0</v>
      </c>
      <c r="N149" s="145">
        <f t="shared" si="57"/>
        <v>0</v>
      </c>
      <c r="O149" s="146">
        <f>COUNTIFS(เรื่องร้องเรียน!E:E,"1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P149" s="144">
        <f>COUNTIFS(เรื่องร้องเรียน!E:E,"2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Q149" s="144">
        <f>COUNTIFS(เรื่องร้องเรียน!E:E,"3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R149" s="144">
        <f>COUNTIFS(เรื่องร้องเรียน!E:E,"4",เรื่องร้องเรียน!N:N,"บางพลัด",เรื่องร้องเรียน!AN:AN,"บวรมงคล",เรื่องร้องเรียน!AQ:AQ,"1",เรื่องร้องเรียน!CL:CL,"")</f>
        <v>0</v>
      </c>
      <c r="S149" s="144"/>
      <c r="T149" s="147">
        <f t="shared" si="32"/>
        <v>0</v>
      </c>
      <c r="U149" s="129">
        <f t="shared" si="29"/>
        <v>0</v>
      </c>
      <c r="W149" s="129">
        <f t="shared" si="55"/>
        <v>0</v>
      </c>
    </row>
    <row r="150" spans="1:23">
      <c r="A150" s="148"/>
      <c r="B150" s="171" t="s">
        <v>106</v>
      </c>
      <c r="C150" s="246">
        <f>COUNTIFS(เรื่องร้องเรียน!E:E,"1",เรื่องร้องเรียน!N:N,"บางพลัด",เรื่องร้องเรียน!AN:AN,"บางพลัด")</f>
        <v>0</v>
      </c>
      <c r="D150" s="109">
        <f>COUNTIFS(เรื่องร้องเรียน!E:E,"1",เรื่องร้องเรียน!N:N,"บางพลัด",เรื่องร้องเรียน!AN:AN,"บางพลัด",เรื่องร้องเรียน!CL:CL,"1")</f>
        <v>0</v>
      </c>
      <c r="E150" s="109">
        <f>COUNTIFS(เรื่องร้องเรียน!E:E,"2",เรื่องร้องเรียน!N:N,"บางพลัด",เรื่องร้องเรียน!AN:AN,"บางพลัด")</f>
        <v>0</v>
      </c>
      <c r="F150" s="109">
        <f>COUNTIFS(เรื่องร้องเรียน!E:E,"2",เรื่องร้องเรียน!N:N,"บางพลัด",เรื่องร้องเรียน!AN:AN,"บางพลัด",เรื่องร้องเรียน!CL:CL,"1")</f>
        <v>0</v>
      </c>
      <c r="G150" s="109">
        <f>COUNTIFS(เรื่องร้องเรียน!E:E,"3",เรื่องร้องเรียน!N:N,"บางพลัด",เรื่องร้องเรียน!AN:AN,"บางพลัด")</f>
        <v>0</v>
      </c>
      <c r="H150" s="109">
        <f>COUNTIFS(เรื่องร้องเรียน!E:E,"3",เรื่องร้องเรียน!N:N,"บางพลัด",เรื่องร้องเรียน!AN:AN,"บางพลัด",เรื่องร้องเรียน!CL:CL,"1")</f>
        <v>0</v>
      </c>
      <c r="I150" s="109">
        <f>COUNTIFS(เรื่องร้องเรียน!E:E,"4",เรื่องร้องเรียน!N:N,"บางพลัด",เรื่องร้องเรียน!AN:AN,"บางพลัด")</f>
        <v>0</v>
      </c>
      <c r="J150" s="144">
        <f>COUNTIFS(เรื่องร้องเรียน!E:E,"4",เรื่องร้องเรียน!N:N,"บางพลัด",เรื่องร้องเรียน!AN:AN,"บางพลัด",เรื่องร้องเรียน!CL:CL,"1")</f>
        <v>0</v>
      </c>
      <c r="K150" s="144"/>
      <c r="L150" s="144"/>
      <c r="M150" s="109">
        <f t="shared" si="57"/>
        <v>0</v>
      </c>
      <c r="N150" s="145">
        <f t="shared" si="57"/>
        <v>0</v>
      </c>
      <c r="O150" s="146">
        <f>COUNTIFS(เรื่องร้องเรียน!E:E,"1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P150" s="144">
        <f>COUNTIFS(เรื่องร้องเรียน!E:E,"2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Q150" s="144">
        <f>COUNTIFS(เรื่องร้องเรียน!E:E,"3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R150" s="144">
        <f>COUNTIFS(เรื่องร้องเรียน!E:E,"4",เรื่องร้องเรียน!N:N,"บางพลัด",เรื่องร้องเรียน!AN:AN,"บางพลัด",เรื่องร้องเรียน!AQ:AQ,"1",เรื่องร้องเรียน!CL:CL,"")</f>
        <v>0</v>
      </c>
      <c r="S150" s="144"/>
      <c r="T150" s="147">
        <f t="shared" si="32"/>
        <v>0</v>
      </c>
      <c r="U150" s="129">
        <f t="shared" si="29"/>
        <v>0</v>
      </c>
      <c r="W150" s="129">
        <f t="shared" si="55"/>
        <v>0</v>
      </c>
    </row>
    <row r="151" spans="1:23">
      <c r="A151" s="150"/>
      <c r="B151" s="177" t="s">
        <v>127</v>
      </c>
      <c r="C151" s="123">
        <f>COUNTIFS(เรื่องร้องเรียน!E:E,"1",เรื่องร้องเรียน!N:N,"บางพลัด",เรื่องร้องเรียน!AN:AN,"บางยี่ขัน")</f>
        <v>0</v>
      </c>
      <c r="D151" s="117">
        <f>COUNTIFS(เรื่องร้องเรียน!E:E,"1",เรื่องร้องเรียน!N:N,"บางพลัด",เรื่องร้องเรียน!AN:AN,"บางยี่ขัน",เรื่องร้องเรียน!CL:CL,"1")</f>
        <v>0</v>
      </c>
      <c r="E151" s="117">
        <f>COUNTIFS(เรื่องร้องเรียน!E:E,"2",เรื่องร้องเรียน!N:N,"บางพลัด",เรื่องร้องเรียน!AN:AN,"บางยี่ขัน")</f>
        <v>0</v>
      </c>
      <c r="F151" s="117">
        <f>COUNTIFS(เรื่องร้องเรียน!E:E,"2",เรื่องร้องเรียน!N:N,"บางพลัด",เรื่องร้องเรียน!AN:AN,"บางยี่ขัน",เรื่องร้องเรียน!CL:CL,"1")</f>
        <v>0</v>
      </c>
      <c r="G151" s="117">
        <f>COUNTIFS(เรื่องร้องเรียน!E:E,"3",เรื่องร้องเรียน!N:N,"บางพลัด",เรื่องร้องเรียน!AN:AN,"บางยี่ขัน")</f>
        <v>0</v>
      </c>
      <c r="H151" s="117">
        <f>COUNTIFS(เรื่องร้องเรียน!E:E,"3",เรื่องร้องเรียน!N:N,"บางพลัด",เรื่องร้องเรียน!AN:AN,"บางยี่ขัน",เรื่องร้องเรียน!CL:CL,"1")</f>
        <v>0</v>
      </c>
      <c r="I151" s="117">
        <f>COUNTIFS(เรื่องร้องเรียน!E:E,"4",เรื่องร้องเรียน!N:N,"บางพลัด",เรื่องร้องเรียน!AN:AN,"บางยี่ขัน")</f>
        <v>0</v>
      </c>
      <c r="J151" s="152">
        <f>COUNTIFS(เรื่องร้องเรียน!E:E,"4",เรื่องร้องเรียน!N:N,"บางพลัด",เรื่องร้องเรียน!AN:AN,"บางยี่ขัน",เรื่องร้องเรียน!CL:CL,"1")</f>
        <v>0</v>
      </c>
      <c r="K151" s="152"/>
      <c r="L151" s="152"/>
      <c r="M151" s="117">
        <f t="shared" si="57"/>
        <v>0</v>
      </c>
      <c r="N151" s="122">
        <f t="shared" si="57"/>
        <v>0</v>
      </c>
      <c r="O151" s="153">
        <f>COUNTIFS(เรื่องร้องเรียน!E:E,"1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P151" s="152">
        <f>COUNTIFS(เรื่องร้องเรียน!E:E,"2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Q151" s="152">
        <f>COUNTIFS(เรื่องร้องเรียน!E:E,"3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R151" s="152">
        <f>COUNTIFS(เรื่องร้องเรียน!E:E,"4",เรื่องร้องเรียน!N:N,"บางพลัด",เรื่องร้องเรียน!AN:AN,"บางยี่ขัน",เรื่องร้องเรียน!AQ:AQ,"1",เรื่องร้องเรียน!CL:CL,"")</f>
        <v>0</v>
      </c>
      <c r="S151" s="152"/>
      <c r="T151" s="154">
        <f t="shared" si="32"/>
        <v>0</v>
      </c>
      <c r="U151" s="129">
        <f t="shared" si="29"/>
        <v>0</v>
      </c>
      <c r="W151" s="129">
        <f t="shared" si="55"/>
        <v>0</v>
      </c>
    </row>
    <row r="152" spans="1:23" ht="21.6" thickBot="1">
      <c r="A152" s="168"/>
      <c r="B152" s="166" t="s">
        <v>185</v>
      </c>
      <c r="C152" s="123">
        <f>COUNTIFS(เรื่องร้องเรียน!E:E,"1",เรื่องร้องเรียน!N:N,"บางพลัด",เรื่องร้องเรียน!AN:AN,"ตลิ่งชัน")</f>
        <v>0</v>
      </c>
      <c r="D152" s="117">
        <f>COUNTIFS(เรื่องร้องเรียน!E:E,"1",เรื่องร้องเรียน!N:N,"บางพลัด",เรื่องร้องเรียน!AN:AN,"ตลิ่งชัน",เรื่องร้องเรียน!CL:CL,"1")</f>
        <v>0</v>
      </c>
      <c r="E152" s="117">
        <f>COUNTIFS(เรื่องร้องเรียน!E:E,"2",เรื่องร้องเรียน!N:N,"บางพลัด",เรื่องร้องเรียน!AN:AN,"ตลิ่งชัน")</f>
        <v>0</v>
      </c>
      <c r="F152" s="117">
        <f>COUNTIFS(เรื่องร้องเรียน!E:E,"2",เรื่องร้องเรียน!N:N,"บางพลัด",เรื่องร้องเรียน!AN:AN,"ตลิ่งชัน",เรื่องร้องเรียน!CL:CL,"1")</f>
        <v>0</v>
      </c>
      <c r="G152" s="117">
        <f>COUNTIFS(เรื่องร้องเรียน!E:E,"3",เรื่องร้องเรียน!N:N,"บางพลัด",เรื่องร้องเรียน!AN:AN,"ตลิ่งชัน")</f>
        <v>0</v>
      </c>
      <c r="H152" s="117">
        <f>COUNTIFS(เรื่องร้องเรียน!E:E,"3",เรื่องร้องเรียน!N:N,"บางพลัด",เรื่องร้องเรียน!AN:AN,"ตลิ่งชัน",เรื่องร้องเรียน!CL:CL,"1")</f>
        <v>0</v>
      </c>
      <c r="I152" s="117">
        <f>COUNTIFS(เรื่องร้องเรียน!E:E,"4",เรื่องร้องเรียน!N:N,"บางพลัด",เรื่องร้องเรียน!AN:AN,"ตลิ่งชัน")</f>
        <v>0</v>
      </c>
      <c r="J152" s="152">
        <f>COUNTIFS(เรื่องร้องเรียน!E:E,"4",เรื่องร้องเรียน!N:N,"บางพลัด",เรื่องร้องเรียน!AN:AN,"ตลิ่งชัน",เรื่องร้องเรียน!CL:CL,"1")</f>
        <v>0</v>
      </c>
      <c r="K152" s="152"/>
      <c r="L152" s="152"/>
      <c r="M152" s="117">
        <f t="shared" si="57"/>
        <v>0</v>
      </c>
      <c r="N152" s="122">
        <f t="shared" si="57"/>
        <v>0</v>
      </c>
      <c r="O152" s="153">
        <f>COUNTIFS(เรื่องร้องเรียน!E:E,"1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P152" s="152">
        <f>COUNTIFS(เรื่องร้องเรียน!E:E,"2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Q152" s="152">
        <f>COUNTIFS(เรื่องร้องเรียน!E:E,"3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R152" s="152">
        <f>COUNTIFS(เรื่องร้องเรียน!E:E,"4",เรื่องร้องเรียน!N:N,"บางพลัด",เรื่องร้องเรียน!AN:AN,"ตลิ่งชัน",เรื่องร้องเรียน!AQ:AQ,"1",เรื่องร้องเรียน!CL:CL,"")</f>
        <v>0</v>
      </c>
      <c r="S152" s="152"/>
      <c r="T152" s="154">
        <f t="shared" si="32"/>
        <v>0</v>
      </c>
      <c r="U152" s="129">
        <f t="shared" si="29"/>
        <v>0</v>
      </c>
      <c r="W152" s="129">
        <f t="shared" si="55"/>
        <v>0</v>
      </c>
    </row>
    <row r="153" spans="1:23" ht="21.6" thickBot="1">
      <c r="A153" s="130" t="s">
        <v>125</v>
      </c>
      <c r="B153" s="169" t="s">
        <v>152</v>
      </c>
      <c r="C153" s="132">
        <f>SUM(C154:C157 )</f>
        <v>0</v>
      </c>
      <c r="D153" s="131">
        <f t="shared" ref="D153:T153" si="58">SUM(D154:D157 )</f>
        <v>0</v>
      </c>
      <c r="E153" s="131">
        <f t="shared" si="58"/>
        <v>0</v>
      </c>
      <c r="F153" s="131">
        <f t="shared" si="58"/>
        <v>0</v>
      </c>
      <c r="G153" s="131">
        <f t="shared" si="58"/>
        <v>0</v>
      </c>
      <c r="H153" s="131">
        <f t="shared" si="58"/>
        <v>0</v>
      </c>
      <c r="I153" s="131">
        <f t="shared" si="58"/>
        <v>0</v>
      </c>
      <c r="J153" s="131">
        <f t="shared" si="58"/>
        <v>0</v>
      </c>
      <c r="K153" s="131">
        <f t="shared" si="58"/>
        <v>0</v>
      </c>
      <c r="L153" s="131">
        <f t="shared" si="58"/>
        <v>0</v>
      </c>
      <c r="M153" s="131">
        <f t="shared" si="58"/>
        <v>0</v>
      </c>
      <c r="N153" s="163">
        <f t="shared" si="58"/>
        <v>0</v>
      </c>
      <c r="O153" s="132">
        <f t="shared" si="58"/>
        <v>0</v>
      </c>
      <c r="P153" s="131">
        <f t="shared" si="58"/>
        <v>0</v>
      </c>
      <c r="Q153" s="131">
        <f t="shared" si="58"/>
        <v>0</v>
      </c>
      <c r="R153" s="131">
        <f t="shared" si="58"/>
        <v>0</v>
      </c>
      <c r="S153" s="131">
        <f t="shared" si="58"/>
        <v>0</v>
      </c>
      <c r="T153" s="133">
        <f t="shared" si="58"/>
        <v>0</v>
      </c>
      <c r="U153" s="134">
        <f t="shared" si="29"/>
        <v>0</v>
      </c>
      <c r="W153" s="135">
        <f t="shared" si="55"/>
        <v>0</v>
      </c>
    </row>
    <row r="154" spans="1:23">
      <c r="A154" s="173"/>
      <c r="B154" s="170" t="s">
        <v>20</v>
      </c>
      <c r="C154" s="140"/>
      <c r="D154" s="138"/>
      <c r="E154" s="138"/>
      <c r="F154" s="138"/>
      <c r="G154" s="138"/>
      <c r="H154" s="138"/>
      <c r="I154" s="138"/>
      <c r="J154" s="138"/>
      <c r="K154" s="138">
        <f>COUNTIFS(เรื่องร้องเรียน!E:E,"5",เรื่องร้องเรียน!N:N,"บางรัก")</f>
        <v>0</v>
      </c>
      <c r="L154" s="138">
        <f>COUNTIFS(เรื่องร้องเรียน!E:E,"5",เรื่องร้องเรียน!N:N,"บางรัก",เรื่องร้องเรียน!CL:CL,"1")</f>
        <v>0</v>
      </c>
      <c r="M154" s="138">
        <f t="shared" ref="M154:N157" si="59">SUM(C154,E154,G154,I154,K154)</f>
        <v>0</v>
      </c>
      <c r="N154" s="139">
        <f t="shared" si="59"/>
        <v>0</v>
      </c>
      <c r="O154" s="140"/>
      <c r="P154" s="138"/>
      <c r="Q154" s="138"/>
      <c r="R154" s="138"/>
      <c r="S154" s="138">
        <f>COUNTIFS(เรื่องร้องเรียน!E:E,"5",เรื่องร้องเรียน!N:N,"บางรัก",เรื่องร้องเรียน!AQ:AQ,"1",เรื่องร้องเรียน!CL:CL,"")</f>
        <v>0</v>
      </c>
      <c r="T154" s="141">
        <f t="shared" si="32"/>
        <v>0</v>
      </c>
      <c r="U154" s="129">
        <f t="shared" si="29"/>
        <v>0</v>
      </c>
      <c r="W154" s="129">
        <f t="shared" si="55"/>
        <v>0</v>
      </c>
    </row>
    <row r="155" spans="1:23">
      <c r="A155" s="148"/>
      <c r="B155" s="171" t="s">
        <v>142</v>
      </c>
      <c r="C155" s="246">
        <f>COUNTIFS(เรื่องร้องเรียน!E:E,"1",เรื่องร้องเรียน!N:N,"บางรัก",เรื่องร้องเรียน!AN:AN,"ทุ่งมหาเมฆ")</f>
        <v>0</v>
      </c>
      <c r="D155" s="109">
        <f>COUNTIFS(เรื่องร้องเรียน!E:E,"1",เรื่องร้องเรียน!N:N,"บางรัก",เรื่องร้องเรียน!AN:AN,"ทุ่งมหาเมฆ",เรื่องร้องเรียน!CL:CL,"1")</f>
        <v>0</v>
      </c>
      <c r="E155" s="109">
        <f>COUNTIFS(เรื่องร้องเรียน!E:E,"2",เรื่องร้องเรียน!N:N,"บางรัก",เรื่องร้องเรียน!AN:AN,"ทุ่งมหาเมฆ")</f>
        <v>0</v>
      </c>
      <c r="F155" s="109">
        <f>COUNTIFS(เรื่องร้องเรียน!E:E,"2",เรื่องร้องเรียน!N:N,"บางรัก",เรื่องร้องเรียน!AN:AN,"ทุ่งมหาเมฆ",เรื่องร้องเรียน!CL:CL,"1")</f>
        <v>0</v>
      </c>
      <c r="G155" s="109">
        <f>COUNTIFS(เรื่องร้องเรียน!E:E,"3",เรื่องร้องเรียน!N:N,"บางรัก",เรื่องร้องเรียน!AN:AN,"ทุ่งมหาเมฆ")</f>
        <v>0</v>
      </c>
      <c r="H155" s="109">
        <f>COUNTIFS(เรื่องร้องเรียน!E:E,"3",เรื่องร้องเรียน!N:N,"บางรัก",เรื่องร้องเรียน!AN:AN,"ทุ่งมหาเมฆ",เรื่องร้องเรียน!CL:CL,"1")</f>
        <v>0</v>
      </c>
      <c r="I155" s="109">
        <f>COUNTIFS(เรื่องร้องเรียน!E:E,"4",เรื่องร้องเรียน!N:N,"บางรัก",เรื่องร้องเรียน!AN:AN,"ทุ่งมหาเมฆ")</f>
        <v>0</v>
      </c>
      <c r="J155" s="144">
        <f>COUNTIFS(เรื่องร้องเรียน!E:E,"4",เรื่องร้องเรียน!N:N,"บางรัก",เรื่องร้องเรียน!AN:AN,"ทุ่งมหาเมฆ",เรื่องร้องเรียน!CL:CL,"1")</f>
        <v>0</v>
      </c>
      <c r="K155" s="144"/>
      <c r="L155" s="144"/>
      <c r="M155" s="109">
        <f t="shared" si="59"/>
        <v>0</v>
      </c>
      <c r="N155" s="145">
        <f t="shared" si="59"/>
        <v>0</v>
      </c>
      <c r="O155" s="146">
        <f>COUNTIFS(เรื่องร้องเรียน!E:E,"1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P155" s="144">
        <f>COUNTIFS(เรื่องร้องเรียน!E:E,"2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Q155" s="144">
        <f>COUNTIFS(เรื่องร้องเรียน!E:E,"3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R155" s="144">
        <f>COUNTIFS(เรื่องร้องเรียน!E:E,"4",เรื่องร้องเรียน!N:N,"บางรัก",เรื่องร้องเรียน!AN:AN,"ทุ่งมหาเมฆ",เรื่องร้องเรียน!AQ:AQ,"1",เรื่องร้องเรียน!CL:CL,"")</f>
        <v>0</v>
      </c>
      <c r="S155" s="144"/>
      <c r="T155" s="147">
        <f t="shared" si="32"/>
        <v>0</v>
      </c>
      <c r="U155" s="129">
        <f t="shared" si="29"/>
        <v>0</v>
      </c>
      <c r="W155" s="129">
        <f t="shared" si="55"/>
        <v>0</v>
      </c>
    </row>
    <row r="156" spans="1:23">
      <c r="A156" s="148"/>
      <c r="B156" s="171" t="s">
        <v>125</v>
      </c>
      <c r="C156" s="246">
        <f>COUNTIFS(เรื่องร้องเรียน!E:E,"1",เรื่องร้องเรียน!N:N,"บางรัก",เรื่องร้องเรียน!AN:AN,"บางรัก")</f>
        <v>0</v>
      </c>
      <c r="D156" s="109">
        <f>COUNTIFS(เรื่องร้องเรียน!E:E,"1",เรื่องร้องเรียน!N:N,"บางรัก",เรื่องร้องเรียน!AN:AN,"บางรัก",เรื่องร้องเรียน!CL:CL,"1")</f>
        <v>0</v>
      </c>
      <c r="E156" s="109">
        <f>COUNTIFS(เรื่องร้องเรียน!E:E,"2",เรื่องร้องเรียน!N:N,"บางรัก",เรื่องร้องเรียน!AN:AN,"บางรัก")</f>
        <v>0</v>
      </c>
      <c r="F156" s="109">
        <f>COUNTIFS(เรื่องร้องเรียน!E:E,"2",เรื่องร้องเรียน!N:N,"บางรัก",เรื่องร้องเรียน!AN:AN,"บางรัก",เรื่องร้องเรียน!CL:CL,"1")</f>
        <v>0</v>
      </c>
      <c r="G156" s="109">
        <f>COUNTIFS(เรื่องร้องเรียน!E:E,"3",เรื่องร้องเรียน!N:N,"บางรัก",เรื่องร้องเรียน!AN:AN,"บางรัก")</f>
        <v>0</v>
      </c>
      <c r="H156" s="109">
        <f>COUNTIFS(เรื่องร้องเรียน!E:E,"3",เรื่องร้องเรียน!N:N,"บางรัก",เรื่องร้องเรียน!AN:AN,"บางรัก",เรื่องร้องเรียน!CL:CL,"1")</f>
        <v>0</v>
      </c>
      <c r="I156" s="109">
        <f>COUNTIFS(เรื่องร้องเรียน!E:E,"4",เรื่องร้องเรียน!N:N,"บางรัก",เรื่องร้องเรียน!AN:AN,"บางรัก")</f>
        <v>0</v>
      </c>
      <c r="J156" s="144">
        <f>COUNTIFS(เรื่องร้องเรียน!E:E,"4",เรื่องร้องเรียน!N:N,"บางรัก",เรื่องร้องเรียน!AN:AN,"บางรัก",เรื่องร้องเรียน!CL:CL,"1")</f>
        <v>0</v>
      </c>
      <c r="K156" s="144"/>
      <c r="L156" s="144"/>
      <c r="M156" s="109">
        <f t="shared" si="59"/>
        <v>0</v>
      </c>
      <c r="N156" s="145">
        <f t="shared" si="59"/>
        <v>0</v>
      </c>
      <c r="O156" s="146">
        <f>COUNTIFS(เรื่องร้องเรียน!E:E,"1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P156" s="144">
        <f>COUNTIFS(เรื่องร้องเรียน!E:E,"2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Q156" s="144">
        <f>COUNTIFS(เรื่องร้องเรียน!E:E,"3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R156" s="144">
        <f>COUNTIFS(เรื่องร้องเรียน!E:E,"4",เรื่องร้องเรียน!N:N,"บางรัก",เรื่องร้องเรียน!AN:AN,"บางรัก",เรื่องร้องเรียน!AQ:AQ,"1",เรื่องร้องเรียน!CL:CL,"")</f>
        <v>0</v>
      </c>
      <c r="S156" s="144"/>
      <c r="T156" s="147">
        <f t="shared" si="32"/>
        <v>0</v>
      </c>
      <c r="U156" s="129">
        <f t="shared" si="29"/>
        <v>0</v>
      </c>
      <c r="W156" s="129">
        <f t="shared" si="55"/>
        <v>0</v>
      </c>
    </row>
    <row r="157" spans="1:23" ht="21.6" thickBot="1">
      <c r="A157" s="150"/>
      <c r="B157" s="177" t="s">
        <v>80</v>
      </c>
      <c r="C157" s="123">
        <f>COUNTIFS(เรื่องร้องเรียน!E:E,"1",เรื่องร้องเรียน!N:N,"บางรัก",เรื่องร้องเรียน!AN:AN,"ยานนาวา")</f>
        <v>0</v>
      </c>
      <c r="D157" s="117">
        <f>COUNTIFS(เรื่องร้องเรียน!E:E,"1",เรื่องร้องเรียน!N:N,"บางรัก",เรื่องร้องเรียน!AN:AN,"ยานนาวา",เรื่องร้องเรียน!CL:CL,"1")</f>
        <v>0</v>
      </c>
      <c r="E157" s="117">
        <f>COUNTIFS(เรื่องร้องเรียน!E:E,"2",เรื่องร้องเรียน!N:N,"บางรัก",เรื่องร้องเรียน!AN:AN,"ยานนาวา")</f>
        <v>0</v>
      </c>
      <c r="F157" s="117">
        <f>COUNTIFS(เรื่องร้องเรียน!E:E,"2",เรื่องร้องเรียน!N:N,"บางรัก",เรื่องร้องเรียน!AN:AN,"ยานนาวา",เรื่องร้องเรียน!CL:CL,"1")</f>
        <v>0</v>
      </c>
      <c r="G157" s="117">
        <f>COUNTIFS(เรื่องร้องเรียน!E:E,"3",เรื่องร้องเรียน!N:N,"บางรัก",เรื่องร้องเรียน!AN:AN,"ยานนาวา")</f>
        <v>0</v>
      </c>
      <c r="H157" s="117">
        <f>COUNTIFS(เรื่องร้องเรียน!E:E,"3",เรื่องร้องเรียน!N:N,"บางรัก",เรื่องร้องเรียน!AN:AN,"ยานนาวา",เรื่องร้องเรียน!CL:CL,"1")</f>
        <v>0</v>
      </c>
      <c r="I157" s="117">
        <f>COUNTIFS(เรื่องร้องเรียน!E:E,"4",เรื่องร้องเรียน!N:N,"บางรัก",เรื่องร้องเรียน!AN:AN,"ยานนาวา")</f>
        <v>0</v>
      </c>
      <c r="J157" s="152">
        <f>COUNTIFS(เรื่องร้องเรียน!E:E,"4",เรื่องร้องเรียน!N:N,"บางรัก",เรื่องร้องเรียน!AN:AN,"ยานนาวา",เรื่องร้องเรียน!CL:CL,"1")</f>
        <v>0</v>
      </c>
      <c r="K157" s="152"/>
      <c r="L157" s="152"/>
      <c r="M157" s="117">
        <f t="shared" si="59"/>
        <v>0</v>
      </c>
      <c r="N157" s="122">
        <f t="shared" si="59"/>
        <v>0</v>
      </c>
      <c r="O157" s="153">
        <f>COUNTIFS(เรื่องร้องเรียน!E:E,"1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P157" s="152">
        <f>COUNTIFS(เรื่องร้องเรียน!E:E,"2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Q157" s="152">
        <f>COUNTIFS(เรื่องร้องเรียน!E:E,"3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R157" s="152">
        <f>COUNTIFS(เรื่องร้องเรียน!E:E,"4",เรื่องร้องเรียน!N:N,"บางรัก",เรื่องร้องเรียน!AN:AN,"ยานนาวา",เรื่องร้องเรียน!AQ:AQ,"1",เรื่องร้องเรียน!CL:CL,"")</f>
        <v>0</v>
      </c>
      <c r="S157" s="152"/>
      <c r="T157" s="154">
        <f t="shared" si="32"/>
        <v>0</v>
      </c>
      <c r="U157" s="129">
        <f t="shared" si="29"/>
        <v>0</v>
      </c>
      <c r="W157" s="129">
        <f t="shared" si="55"/>
        <v>0</v>
      </c>
    </row>
    <row r="158" spans="1:23" ht="21.6" thickBot="1">
      <c r="A158" s="130" t="s">
        <v>67</v>
      </c>
      <c r="B158" s="169" t="s">
        <v>152</v>
      </c>
      <c r="C158" s="132">
        <f>SUM(C159:C163 )</f>
        <v>0</v>
      </c>
      <c r="D158" s="131">
        <f t="shared" ref="D158:T158" si="60">SUM(D159:D163 )</f>
        <v>0</v>
      </c>
      <c r="E158" s="131">
        <f t="shared" si="60"/>
        <v>0</v>
      </c>
      <c r="F158" s="131">
        <f t="shared" si="60"/>
        <v>0</v>
      </c>
      <c r="G158" s="131">
        <f t="shared" si="60"/>
        <v>0</v>
      </c>
      <c r="H158" s="131">
        <f t="shared" si="60"/>
        <v>0</v>
      </c>
      <c r="I158" s="131">
        <f t="shared" si="60"/>
        <v>0</v>
      </c>
      <c r="J158" s="131">
        <f t="shared" si="60"/>
        <v>0</v>
      </c>
      <c r="K158" s="131">
        <f t="shared" si="60"/>
        <v>0</v>
      </c>
      <c r="L158" s="131">
        <f t="shared" si="60"/>
        <v>0</v>
      </c>
      <c r="M158" s="131">
        <f t="shared" si="60"/>
        <v>0</v>
      </c>
      <c r="N158" s="163">
        <f t="shared" si="60"/>
        <v>0</v>
      </c>
      <c r="O158" s="132">
        <f t="shared" si="60"/>
        <v>0</v>
      </c>
      <c r="P158" s="131">
        <f t="shared" si="60"/>
        <v>0</v>
      </c>
      <c r="Q158" s="131">
        <f t="shared" si="60"/>
        <v>0</v>
      </c>
      <c r="R158" s="131">
        <f t="shared" si="60"/>
        <v>0</v>
      </c>
      <c r="S158" s="131">
        <f t="shared" si="60"/>
        <v>0</v>
      </c>
      <c r="T158" s="133">
        <f t="shared" si="60"/>
        <v>0</v>
      </c>
      <c r="U158" s="134">
        <f t="shared" si="29"/>
        <v>0</v>
      </c>
      <c r="W158" s="135">
        <f t="shared" si="55"/>
        <v>0</v>
      </c>
    </row>
    <row r="159" spans="1:23">
      <c r="A159" s="173"/>
      <c r="B159" s="170" t="s">
        <v>20</v>
      </c>
      <c r="C159" s="140"/>
      <c r="D159" s="138"/>
      <c r="E159" s="138"/>
      <c r="F159" s="138"/>
      <c r="G159" s="138"/>
      <c r="H159" s="138"/>
      <c r="I159" s="138"/>
      <c r="J159" s="138"/>
      <c r="K159" s="138">
        <f>COUNTIFS(เรื่องร้องเรียน!E:E,"5",เรื่องร้องเรียน!N:N,"บึงกุ่ม")</f>
        <v>0</v>
      </c>
      <c r="L159" s="138">
        <f>COUNTIFS(เรื่องร้องเรียน!E:E,"5",เรื่องร้องเรียน!N:N,"บึงกุ่ม",เรื่องร้องเรียน!CL:CL,"1")</f>
        <v>0</v>
      </c>
      <c r="M159" s="138">
        <f t="shared" ref="M159:N162" si="61">SUM(C159,E159,G159,I159,K159)</f>
        <v>0</v>
      </c>
      <c r="N159" s="139">
        <f t="shared" si="61"/>
        <v>0</v>
      </c>
      <c r="O159" s="140"/>
      <c r="P159" s="138"/>
      <c r="Q159" s="138"/>
      <c r="R159" s="138"/>
      <c r="S159" s="138">
        <f>COUNTIFS(เรื่องร้องเรียน!E:E,"5",เรื่องร้องเรียน!N:N,"บึงกุ่ม",เรื่องร้องเรียน!AQ:AQ,"1",เรื่องร้องเรียน!CL:CL,"")</f>
        <v>0</v>
      </c>
      <c r="T159" s="141">
        <f t="shared" si="32"/>
        <v>0</v>
      </c>
      <c r="U159" s="129">
        <f t="shared" si="29"/>
        <v>0</v>
      </c>
      <c r="W159" s="129">
        <f t="shared" si="55"/>
        <v>0</v>
      </c>
    </row>
    <row r="160" spans="1:23">
      <c r="A160" s="148"/>
      <c r="B160" s="171" t="s">
        <v>69</v>
      </c>
      <c r="C160" s="246">
        <f>COUNTIFS(เรื่องร้องเรียน!E:E,"1",เรื่องร้องเรียน!N:N,"บึงกุ่ม",เรื่องร้องเรียน!AN:AN,"โคกคราม")</f>
        <v>0</v>
      </c>
      <c r="D160" s="109">
        <f>COUNTIFS(เรื่องร้องเรียน!E:E,"1",เรื่องร้องเรียน!N:N,"บึงกุ่ม",เรื่องร้องเรียน!AN:AN,"โคกคราม",เรื่องร้องเรียน!CL:CL,"1")</f>
        <v>0</v>
      </c>
      <c r="E160" s="109">
        <f>COUNTIFS(เรื่องร้องเรียน!E:E,"2",เรื่องร้องเรียน!N:N,"บึงกุ่ม",เรื่องร้องเรียน!AN:AN,"โคกคราม")</f>
        <v>0</v>
      </c>
      <c r="F160" s="109">
        <f>COUNTIFS(เรื่องร้องเรียน!E:E,"2",เรื่องร้องเรียน!N:N,"บึงกุ่ม",เรื่องร้องเรียน!AN:AN,"โคกคราม",เรื่องร้องเรียน!CL:CL,"1")</f>
        <v>0</v>
      </c>
      <c r="G160" s="109">
        <f>COUNTIFS(เรื่องร้องเรียน!E:E,"3",เรื่องร้องเรียน!N:N,"บึงกุ่ม",เรื่องร้องเรียน!AN:AN,"โคกคราม")</f>
        <v>0</v>
      </c>
      <c r="H160" s="109">
        <f>COUNTIFS(เรื่องร้องเรียน!E:E,"3",เรื่องร้องเรียน!N:N,"บึงกุ่ม",เรื่องร้องเรียน!AN:AN,"โคกคราม",เรื่องร้องเรียน!CL:CL,"1")</f>
        <v>0</v>
      </c>
      <c r="I160" s="109">
        <f>COUNTIFS(เรื่องร้องเรียน!E:E,"4",เรื่องร้องเรียน!N:N,"บึงกุ่ม",เรื่องร้องเรียน!AN:AN,"โคกคราม")</f>
        <v>0</v>
      </c>
      <c r="J160" s="144">
        <f>COUNTIFS(เรื่องร้องเรียน!E:E,"4",เรื่องร้องเรียน!N:N,"บึงกุ่ม",เรื่องร้องเรียน!AN:AN,"โคกคราม",เรื่องร้องเรียน!CL:CL,"1")</f>
        <v>0</v>
      </c>
      <c r="K160" s="144"/>
      <c r="L160" s="144"/>
      <c r="M160" s="109">
        <f t="shared" si="61"/>
        <v>0</v>
      </c>
      <c r="N160" s="145">
        <f t="shared" si="61"/>
        <v>0</v>
      </c>
      <c r="O160" s="146">
        <f>COUNTIFS(เรื่องร้องเรียน!E:E,"1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P160" s="144">
        <f>COUNTIFS(เรื่องร้องเรียน!E:E,"2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Q160" s="144">
        <f>COUNTIFS(เรื่องร้องเรียน!E:E,"3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R160" s="144">
        <f>COUNTIFS(เรื่องร้องเรียน!E:E,"4",เรื่องร้องเรียน!N:N,"บึงกุ่ม",เรื่องร้องเรียน!AN:AN,"โคกคราม",เรื่องร้องเรียน!AQ:AQ,"1",เรื่องร้องเรียน!CL:CL,"")</f>
        <v>0</v>
      </c>
      <c r="S160" s="144"/>
      <c r="T160" s="147">
        <f t="shared" si="32"/>
        <v>0</v>
      </c>
      <c r="U160" s="129">
        <f t="shared" si="29"/>
        <v>0</v>
      </c>
      <c r="W160" s="129">
        <f t="shared" si="55"/>
        <v>0</v>
      </c>
    </row>
    <row r="161" spans="1:23">
      <c r="A161" s="148"/>
      <c r="B161" s="171" t="s">
        <v>67</v>
      </c>
      <c r="C161" s="246">
        <f>COUNTIFS(เรื่องร้องเรียน!E:E,"1",เรื่องร้องเรียน!N:N,"บึงกุ่ม",เรื่องร้องเรียน!AN:AN,"บึงกุ่ม")</f>
        <v>0</v>
      </c>
      <c r="D161" s="109">
        <f>COUNTIFS(เรื่องร้องเรียน!E:E,"1",เรื่องร้องเรียน!N:N,"บึงกุ่ม",เรื่องร้องเรียน!AN:AN,"บึงกุ่ม",เรื่องร้องเรียน!CL:CL,"1")</f>
        <v>0</v>
      </c>
      <c r="E161" s="109">
        <f>COUNTIFS(เรื่องร้องเรียน!E:E,"2",เรื่องร้องเรียน!N:N,"บึงกุ่ม",เรื่องร้องเรียน!AN:AN,"บึงกุ่ม")</f>
        <v>0</v>
      </c>
      <c r="F161" s="109">
        <f>COUNTIFS(เรื่องร้องเรียน!E:E,"2",เรื่องร้องเรียน!N:N,"บึงกุ่ม",เรื่องร้องเรียน!AN:AN,"บึงกุ่ม",เรื่องร้องเรียน!CL:CL,"1")</f>
        <v>0</v>
      </c>
      <c r="G161" s="109">
        <f>COUNTIFS(เรื่องร้องเรียน!E:E,"3",เรื่องร้องเรียน!N:N,"บึงกุ่ม",เรื่องร้องเรียน!AN:AN,"บึงกุ่ม")</f>
        <v>0</v>
      </c>
      <c r="H161" s="109">
        <f>COUNTIFS(เรื่องร้องเรียน!E:E,"3",เรื่องร้องเรียน!N:N,"บึงกุ่ม",เรื่องร้องเรียน!AN:AN,"บึงกุ่ม",เรื่องร้องเรียน!CL:CL,"1")</f>
        <v>0</v>
      </c>
      <c r="I161" s="109">
        <f>COUNTIFS(เรื่องร้องเรียน!E:E,"4",เรื่องร้องเรียน!N:N,"บึงกุ่ม",เรื่องร้องเรียน!AN:AN,"บึงกุ่ม")</f>
        <v>0</v>
      </c>
      <c r="J161" s="144">
        <f>COUNTIFS(เรื่องร้องเรียน!E:E,"4",เรื่องร้องเรียน!N:N,"บึงกุ่ม",เรื่องร้องเรียน!AN:AN,"บึงกุ่ม",เรื่องร้องเรียน!CL:CL,"1")</f>
        <v>0</v>
      </c>
      <c r="K161" s="144"/>
      <c r="L161" s="144"/>
      <c r="M161" s="109">
        <f t="shared" si="61"/>
        <v>0</v>
      </c>
      <c r="N161" s="145">
        <f t="shared" si="61"/>
        <v>0</v>
      </c>
      <c r="O161" s="146">
        <f>COUNTIFS(เรื่องร้องเรียน!E:E,"1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P161" s="144">
        <f>COUNTIFS(เรื่องร้องเรียน!E:E,"2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Q161" s="144">
        <f>COUNTIFS(เรื่องร้องเรียน!E:E,"3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R161" s="144">
        <f>COUNTIFS(เรื่องร้องเรียน!E:E,"4",เรื่องร้องเรียน!N:N,"บึงกุ่ม",เรื่องร้องเรียน!AN:AN,"บึงกุ่ม",เรื่องร้องเรียน!AQ:AQ,"1",เรื่องร้องเรียน!CL:CL,"")</f>
        <v>0</v>
      </c>
      <c r="S161" s="144"/>
      <c r="T161" s="147">
        <f t="shared" si="32"/>
        <v>0</v>
      </c>
      <c r="U161" s="129">
        <f t="shared" ref="U161:U233" si="62">M161-N161-T161</f>
        <v>0</v>
      </c>
      <c r="W161" s="129">
        <f t="shared" si="55"/>
        <v>0</v>
      </c>
    </row>
    <row r="162" spans="1:23">
      <c r="A162" s="150"/>
      <c r="B162" s="177" t="s">
        <v>120</v>
      </c>
      <c r="C162" s="123">
        <f>COUNTIFS(เรื่องร้องเรียน!E:E,"1",เรื่องร้องเรียน!N:N,"บึงกุ่ม",เรื่องร้องเรียน!AN:AN,"ลาดพร้าว")</f>
        <v>0</v>
      </c>
      <c r="D162" s="117">
        <f>COUNTIFS(เรื่องร้องเรียน!E:E,"1",เรื่องร้องเรียน!N:N,"บึงกุ่ม",เรื่องร้องเรียน!AN:AN,"ลาดพร้าว",เรื่องร้องเรียน!CL:CL,"1")</f>
        <v>0</v>
      </c>
      <c r="E162" s="117">
        <f>COUNTIFS(เรื่องร้องเรียน!E:E,"2",เรื่องร้องเรียน!N:N,"บึงกุ่ม",เรื่องร้องเรียน!AN:AN,"ลาดพร้าว")</f>
        <v>0</v>
      </c>
      <c r="F162" s="117">
        <f>COUNTIFS(เรื่องร้องเรียน!E:E,"2",เรื่องร้องเรียน!N:N,"บึงกุ่ม",เรื่องร้องเรียน!AN:AN,"ลาดพร้าว",เรื่องร้องเรียน!CL:CL,"1")</f>
        <v>0</v>
      </c>
      <c r="G162" s="117">
        <f>COUNTIFS(เรื่องร้องเรียน!E:E,"3",เรื่องร้องเรียน!N:N,"บึงกุ่ม",เรื่องร้องเรียน!AN:AN,"ลาดพร้าว")</f>
        <v>0</v>
      </c>
      <c r="H162" s="117">
        <f>COUNTIFS(เรื่องร้องเรียน!E:E,"3",เรื่องร้องเรียน!N:N,"บึงกุ่ม",เรื่องร้องเรียน!AN:AN,"ลาดพร้าว",เรื่องร้องเรียน!CL:CL,"1")</f>
        <v>0</v>
      </c>
      <c r="I162" s="117">
        <f>COUNTIFS(เรื่องร้องเรียน!E:E,"4",เรื่องร้องเรียน!N:N,"บึงกุ่ม",เรื่องร้องเรียน!AN:AN,"ลาดพร้าว")</f>
        <v>0</v>
      </c>
      <c r="J162" s="152">
        <f>COUNTIFS(เรื่องร้องเรียน!E:E,"4",เรื่องร้องเรียน!N:N,"บึงกุ่ม",เรื่องร้องเรียน!AN:AN,"ลาดพร้าว",เรื่องร้องเรียน!CL:CL,"1")</f>
        <v>0</v>
      </c>
      <c r="K162" s="152"/>
      <c r="L162" s="152"/>
      <c r="M162" s="117">
        <f t="shared" si="61"/>
        <v>0</v>
      </c>
      <c r="N162" s="122">
        <f t="shared" si="61"/>
        <v>0</v>
      </c>
      <c r="O162" s="153">
        <f>COUNTIFS(เรื่องร้องเรียน!E:E,"1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P162" s="152">
        <f>COUNTIFS(เรื่องร้องเรียน!E:E,"2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Q162" s="152">
        <f>COUNTIFS(เรื่องร้องเรียน!E:E,"3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R162" s="152">
        <f>COUNTIFS(เรื่องร้องเรียน!E:E,"4",เรื่องร้องเรียน!N:N,"บึงกุ่ม",เรื่องร้องเรียน!AN:AN,"ลาดพร้าว",เรื่องร้องเรียน!AQ:AQ,"1",เรื่องร้องเรียน!CL:CL,"")</f>
        <v>0</v>
      </c>
      <c r="S162" s="152"/>
      <c r="T162" s="154">
        <f t="shared" si="32"/>
        <v>0</v>
      </c>
      <c r="U162" s="129">
        <f t="shared" si="62"/>
        <v>0</v>
      </c>
      <c r="W162" s="129">
        <f t="shared" si="55"/>
        <v>0</v>
      </c>
    </row>
    <row r="163" spans="1:23" ht="21.6" thickBot="1">
      <c r="A163" s="168"/>
      <c r="B163" s="166" t="s">
        <v>102</v>
      </c>
      <c r="C163" s="123">
        <f>COUNTIFS(เรื่องร้องเรียน!E:E,"1",เรื่องร้องเรียน!N:N,"บึงกุ่ม",เรื่องร้องเรียน!AN:AN,"บางชัน")</f>
        <v>0</v>
      </c>
      <c r="D163" s="117">
        <f>COUNTIFS(เรื่องร้องเรียน!E:E,"1",เรื่องร้องเรียน!N:N,"บึงกุ่ม",เรื่องร้องเรียน!AN:AN,"บางชัน",เรื่องร้องเรียน!CL:CL,"1")</f>
        <v>0</v>
      </c>
      <c r="E163" s="117">
        <f>COUNTIFS(เรื่องร้องเรียน!E:E,"2",เรื่องร้องเรียน!N:N,"บึงกุ่ม",เรื่องร้องเรียน!AN:AN,"บางชัน")</f>
        <v>0</v>
      </c>
      <c r="F163" s="117">
        <f>COUNTIFS(เรื่องร้องเรียน!E:E,"2",เรื่องร้องเรียน!N:N,"บึงกุ่ม",เรื่องร้องเรียน!AN:AN,"บางชัน",เรื่องร้องเรียน!CL:CL,"1")</f>
        <v>0</v>
      </c>
      <c r="G163" s="117">
        <f>COUNTIFS(เรื่องร้องเรียน!E:E,"3",เรื่องร้องเรียน!N:N,"บึงกุ่ม",เรื่องร้องเรียน!AN:AN,"บางชัน")</f>
        <v>0</v>
      </c>
      <c r="H163" s="117">
        <f>COUNTIFS(เรื่องร้องเรียน!E:E,"3",เรื่องร้องเรียน!N:N,"บึงกุ่ม",เรื่องร้องเรียน!AN:AN,"บางชัน",เรื่องร้องเรียน!CL:CL,"1")</f>
        <v>0</v>
      </c>
      <c r="I163" s="117">
        <f>COUNTIFS(เรื่องร้องเรียน!E:E,"4",เรื่องร้องเรียน!N:N,"บึงกุ่ม",เรื่องร้องเรียน!AN:AN,"บางชัน")</f>
        <v>0</v>
      </c>
      <c r="J163" s="152">
        <f>COUNTIFS(เรื่องร้องเรียน!E:E,"4",เรื่องร้องเรียน!N:N,"บึงกุ่ม",เรื่องร้องเรียน!AN:AN,"บางชัน",เรื่องร้องเรียน!CL:CL,"1")</f>
        <v>0</v>
      </c>
      <c r="K163" s="152"/>
      <c r="L163" s="152"/>
      <c r="M163" s="117">
        <f>SUM(C163,E163,G163,I163,K163)</f>
        <v>0</v>
      </c>
      <c r="N163" s="122">
        <f>SUM(D163,F163,H163,J163,L163)</f>
        <v>0</v>
      </c>
      <c r="O163" s="153">
        <f>COUNTIFS(เรื่องร้องเรียน!E:E,"1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P163" s="152">
        <f>COUNTIFS(เรื่องร้องเรียน!E:E,"2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Q163" s="152">
        <f>COUNTIFS(เรื่องร้องเรียน!E:E,"3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R163" s="152">
        <f>COUNTIFS(เรื่องร้องเรียน!E:E,"4",เรื่องร้องเรียน!N:N,"บึงกุ่ม",เรื่องร้องเรียน!AN:AN,"บางชัน",เรื่องร้องเรียน!AQ:AQ,"1",เรื่องร้องเรียน!CL:CL,"")</f>
        <v>0</v>
      </c>
      <c r="S163" s="152"/>
      <c r="T163" s="154">
        <f>SUM(O163:S163)</f>
        <v>0</v>
      </c>
      <c r="U163" s="129">
        <f>M163-N163-T163</f>
        <v>0</v>
      </c>
      <c r="W163" s="129">
        <f t="shared" si="55"/>
        <v>0</v>
      </c>
    </row>
    <row r="164" spans="1:23" ht="21.6" thickBot="1">
      <c r="A164" s="130" t="s">
        <v>182</v>
      </c>
      <c r="B164" s="169" t="s">
        <v>152</v>
      </c>
      <c r="C164" s="132">
        <f>SUM(C165:C167 )</f>
        <v>0</v>
      </c>
      <c r="D164" s="131">
        <f t="shared" ref="D164:T164" si="63">SUM(D165:D167 )</f>
        <v>0</v>
      </c>
      <c r="E164" s="131">
        <f t="shared" si="63"/>
        <v>0</v>
      </c>
      <c r="F164" s="131">
        <f t="shared" si="63"/>
        <v>0</v>
      </c>
      <c r="G164" s="131">
        <f t="shared" si="63"/>
        <v>0</v>
      </c>
      <c r="H164" s="131">
        <f t="shared" si="63"/>
        <v>0</v>
      </c>
      <c r="I164" s="131">
        <f t="shared" si="63"/>
        <v>0</v>
      </c>
      <c r="J164" s="131">
        <f t="shared" si="63"/>
        <v>0</v>
      </c>
      <c r="K164" s="131">
        <f t="shared" si="63"/>
        <v>0</v>
      </c>
      <c r="L164" s="131">
        <f t="shared" si="63"/>
        <v>0</v>
      </c>
      <c r="M164" s="131">
        <f t="shared" si="63"/>
        <v>0</v>
      </c>
      <c r="N164" s="163">
        <f t="shared" si="63"/>
        <v>0</v>
      </c>
      <c r="O164" s="132">
        <f t="shared" si="63"/>
        <v>0</v>
      </c>
      <c r="P164" s="131">
        <f t="shared" si="63"/>
        <v>0</v>
      </c>
      <c r="Q164" s="131">
        <f t="shared" si="63"/>
        <v>0</v>
      </c>
      <c r="R164" s="131">
        <f t="shared" si="63"/>
        <v>0</v>
      </c>
      <c r="S164" s="131">
        <f t="shared" si="63"/>
        <v>0</v>
      </c>
      <c r="T164" s="133">
        <f t="shared" si="63"/>
        <v>0</v>
      </c>
      <c r="U164" s="134">
        <f t="shared" si="62"/>
        <v>0</v>
      </c>
      <c r="W164" s="135">
        <f t="shared" si="55"/>
        <v>0</v>
      </c>
    </row>
    <row r="165" spans="1:23">
      <c r="A165" s="173"/>
      <c r="B165" s="170" t="s">
        <v>20</v>
      </c>
      <c r="C165" s="140"/>
      <c r="D165" s="138"/>
      <c r="E165" s="138"/>
      <c r="F165" s="138"/>
      <c r="G165" s="138"/>
      <c r="H165" s="138"/>
      <c r="I165" s="138"/>
      <c r="J165" s="138"/>
      <c r="K165" s="138">
        <f>COUNTIFS(เรื่องร้องเรียน!E:E,"5",เรื่องร้องเรียน!N:N,"ปทุมวัน")</f>
        <v>0</v>
      </c>
      <c r="L165" s="138">
        <f>COUNTIFS(เรื่องร้องเรียน!E:E,"5",เรื่องร้องเรียน!N:N,"ปทุมวัน",เรื่องร้องเรียน!CL:CL,"1")</f>
        <v>0</v>
      </c>
      <c r="M165" s="138">
        <f t="shared" ref="M165:N167" si="64">SUM(C165,E165,G165,I165,K165)</f>
        <v>0</v>
      </c>
      <c r="N165" s="139">
        <f t="shared" si="64"/>
        <v>0</v>
      </c>
      <c r="O165" s="140"/>
      <c r="P165" s="138"/>
      <c r="Q165" s="138"/>
      <c r="R165" s="138"/>
      <c r="S165" s="138">
        <f>COUNTIFS(เรื่องร้องเรียน!E:E,"5",เรื่องร้องเรียน!N:N,"ปทุมวัน",เรื่องร้องเรียน!AQ:AQ,"1",เรื่องร้องเรียน!CL:CL,"")</f>
        <v>0</v>
      </c>
      <c r="T165" s="141">
        <f t="shared" si="32"/>
        <v>0</v>
      </c>
      <c r="U165" s="129">
        <f t="shared" si="62"/>
        <v>0</v>
      </c>
      <c r="W165" s="129">
        <f t="shared" si="55"/>
        <v>0</v>
      </c>
    </row>
    <row r="166" spans="1:23">
      <c r="A166" s="148"/>
      <c r="B166" s="171" t="s">
        <v>182</v>
      </c>
      <c r="C166" s="246">
        <f>COUNTIFS(เรื่องร้องเรียน!E:E,"1",เรื่องร้องเรียน!N:N,"ปทุมวัน",เรื่องร้องเรียน!AN:AN,"ปทุมวัน")</f>
        <v>0</v>
      </c>
      <c r="D166" s="109">
        <f>COUNTIFS(เรื่องร้องเรียน!E:E,"1",เรื่องร้องเรียน!N:N,"ปทุมวัน",เรื่องร้องเรียน!AN:AN,"ปทุมวัน",เรื่องร้องเรียน!CL:CL,"1")</f>
        <v>0</v>
      </c>
      <c r="E166" s="109">
        <f>COUNTIFS(เรื่องร้องเรียน!E:E,"2",เรื่องร้องเรียน!N:N,"ปทุมวัน",เรื่องร้องเรียน!AN:AN,"ปทุมวัน")</f>
        <v>0</v>
      </c>
      <c r="F166" s="109">
        <f>COUNTIFS(เรื่องร้องเรียน!E:E,"2",เรื่องร้องเรียน!N:N,"ปทุมวัน",เรื่องร้องเรียน!AN:AN,"ปทุมวัน",เรื่องร้องเรียน!CL:CL,"1")</f>
        <v>0</v>
      </c>
      <c r="G166" s="109">
        <f>COUNTIFS(เรื่องร้องเรียน!E:E,"3",เรื่องร้องเรียน!N:N,"ปทุมวัน",เรื่องร้องเรียน!AN:AN,"ปทุมวัน")</f>
        <v>0</v>
      </c>
      <c r="H166" s="109">
        <f>COUNTIFS(เรื่องร้องเรียน!E:E,"3",เรื่องร้องเรียน!N:N,"ปทุมวัน",เรื่องร้องเรียน!AN:AN,"ปทุมวัน",เรื่องร้องเรียน!CL:CL,"1")</f>
        <v>0</v>
      </c>
      <c r="I166" s="109">
        <f>COUNTIFS(เรื่องร้องเรียน!E:E,"4",เรื่องร้องเรียน!N:N,"ปทุมวัน",เรื่องร้องเรียน!AN:AN,"ปทุมวัน")</f>
        <v>0</v>
      </c>
      <c r="J166" s="144">
        <f>COUNTIFS(เรื่องร้องเรียน!E:E,"4",เรื่องร้องเรียน!N:N,"ปทุมวัน",เรื่องร้องเรียน!AN:AN,"ปทุมวัน",เรื่องร้องเรียน!CL:CL,"1")</f>
        <v>0</v>
      </c>
      <c r="K166" s="144"/>
      <c r="L166" s="144"/>
      <c r="M166" s="109">
        <f t="shared" si="64"/>
        <v>0</v>
      </c>
      <c r="N166" s="145">
        <f t="shared" si="64"/>
        <v>0</v>
      </c>
      <c r="O166" s="146">
        <f>COUNTIFS(เรื่องร้องเรียน!E:E,"1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P166" s="144">
        <f>COUNTIFS(เรื่องร้องเรียน!E:E,"2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Q166" s="144">
        <f>COUNTIFS(เรื่องร้องเรียน!E:E,"3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R166" s="144">
        <f>COUNTIFS(เรื่องร้องเรียน!E:E,"4",เรื่องร้องเรียน!N:N,"ปทุมวัน",เรื่องร้องเรียน!AN:AN,"ปทุมวัน",เรื่องร้องเรียน!AQ:AQ,"1",เรื่องร้องเรียน!CL:CL,"")</f>
        <v>0</v>
      </c>
      <c r="S166" s="144"/>
      <c r="T166" s="147">
        <f t="shared" ref="T166:T238" si="65">SUM(O166:S166)</f>
        <v>0</v>
      </c>
      <c r="U166" s="129">
        <f t="shared" si="62"/>
        <v>0</v>
      </c>
      <c r="W166" s="129">
        <f t="shared" si="55"/>
        <v>0</v>
      </c>
    </row>
    <row r="167" spans="1:23" ht="21.6" thickBot="1">
      <c r="A167" s="150"/>
      <c r="B167" s="177" t="s">
        <v>98</v>
      </c>
      <c r="C167" s="123">
        <f>COUNTIFS(เรื่องร้องเรียน!E:E,"1",เรื่องร้องเรียน!N:N,"ปทุมวัน",เรื่องร้องเรียน!AN:AN,"ลุมพินี")</f>
        <v>0</v>
      </c>
      <c r="D167" s="117">
        <f>COUNTIFS(เรื่องร้องเรียน!E:E,"1",เรื่องร้องเรียน!N:N,"ปทุมวัน",เรื่องร้องเรียน!AN:AN,"ลุมพินี",เรื่องร้องเรียน!CL:CL,"1")</f>
        <v>0</v>
      </c>
      <c r="E167" s="117">
        <f>COUNTIFS(เรื่องร้องเรียน!E:E,"2",เรื่องร้องเรียน!N:N,"ปทุมวัน",เรื่องร้องเรียน!AN:AN,"ลุมพินี")</f>
        <v>0</v>
      </c>
      <c r="F167" s="117">
        <f>COUNTIFS(เรื่องร้องเรียน!E:E,"2",เรื่องร้องเรียน!N:N,"ปทุมวัน",เรื่องร้องเรียน!AN:AN,"ลุมพินี",เรื่องร้องเรียน!CL:CL,"1")</f>
        <v>0</v>
      </c>
      <c r="G167" s="117">
        <f>COUNTIFS(เรื่องร้องเรียน!E:E,"3",เรื่องร้องเรียน!N:N,"ปทุมวัน",เรื่องร้องเรียน!AN:AN,"ลุมพินี")</f>
        <v>0</v>
      </c>
      <c r="H167" s="117">
        <f>COUNTIFS(เรื่องร้องเรียน!E:E,"3",เรื่องร้องเรียน!N:N,"ปทุมวัน",เรื่องร้องเรียน!AN:AN,"ลุมพินี",เรื่องร้องเรียน!CL:CL,"1")</f>
        <v>0</v>
      </c>
      <c r="I167" s="117">
        <f>COUNTIFS(เรื่องร้องเรียน!E:E,"4",เรื่องร้องเรียน!N:N,"ปทุมวัน",เรื่องร้องเรียน!AN:AN,"ลุมพินี")</f>
        <v>0</v>
      </c>
      <c r="J167" s="152">
        <f>COUNTIFS(เรื่องร้องเรียน!E:E,"4",เรื่องร้องเรียน!N:N,"ปทุมวัน",เรื่องร้องเรียน!AN:AN,"ลุมพินี",เรื่องร้องเรียน!CL:CL,"1")</f>
        <v>0</v>
      </c>
      <c r="K167" s="152"/>
      <c r="L167" s="152"/>
      <c r="M167" s="117">
        <f t="shared" si="64"/>
        <v>0</v>
      </c>
      <c r="N167" s="122">
        <f t="shared" si="64"/>
        <v>0</v>
      </c>
      <c r="O167" s="153">
        <f>COUNTIFS(เรื่องร้องเรียน!E:E,"1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P167" s="152">
        <f>COUNTIFS(เรื่องร้องเรียน!E:E,"2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Q167" s="152">
        <f>COUNTIFS(เรื่องร้องเรียน!E:E,"3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R167" s="152">
        <f>COUNTIFS(เรื่องร้องเรียน!E:E,"4",เรื่องร้องเรียน!N:N,"ปทุมวัน",เรื่องร้องเรียน!AN:AN,"ลุมพินี",เรื่องร้องเรียน!AQ:AQ,"1",เรื่องร้องเรียน!CL:CL,"")</f>
        <v>0</v>
      </c>
      <c r="S167" s="152"/>
      <c r="T167" s="154">
        <f t="shared" si="65"/>
        <v>0</v>
      </c>
      <c r="U167" s="129">
        <f t="shared" si="62"/>
        <v>0</v>
      </c>
      <c r="W167" s="129">
        <f t="shared" si="55"/>
        <v>0</v>
      </c>
    </row>
    <row r="168" spans="1:23" ht="21.6" thickBot="1">
      <c r="A168" s="130" t="s">
        <v>73</v>
      </c>
      <c r="B168" s="169" t="s">
        <v>152</v>
      </c>
      <c r="C168" s="132">
        <f>SUM(C169:C173 )</f>
        <v>0</v>
      </c>
      <c r="D168" s="131">
        <f t="shared" ref="D168:T168" si="66">SUM(D169:D173 )</f>
        <v>0</v>
      </c>
      <c r="E168" s="131">
        <f t="shared" si="66"/>
        <v>0</v>
      </c>
      <c r="F168" s="131">
        <f t="shared" si="66"/>
        <v>0</v>
      </c>
      <c r="G168" s="131">
        <f t="shared" si="66"/>
        <v>0</v>
      </c>
      <c r="H168" s="131">
        <f t="shared" si="66"/>
        <v>0</v>
      </c>
      <c r="I168" s="131">
        <f t="shared" si="66"/>
        <v>0</v>
      </c>
      <c r="J168" s="131">
        <f t="shared" si="66"/>
        <v>0</v>
      </c>
      <c r="K168" s="131">
        <f t="shared" si="66"/>
        <v>0</v>
      </c>
      <c r="L168" s="131">
        <f t="shared" si="66"/>
        <v>0</v>
      </c>
      <c r="M168" s="131">
        <f t="shared" si="66"/>
        <v>0</v>
      </c>
      <c r="N168" s="163">
        <f t="shared" si="66"/>
        <v>0</v>
      </c>
      <c r="O168" s="132">
        <f t="shared" si="66"/>
        <v>0</v>
      </c>
      <c r="P168" s="131">
        <f t="shared" si="66"/>
        <v>0</v>
      </c>
      <c r="Q168" s="131">
        <f t="shared" si="66"/>
        <v>0</v>
      </c>
      <c r="R168" s="131">
        <f t="shared" si="66"/>
        <v>0</v>
      </c>
      <c r="S168" s="131">
        <f t="shared" si="66"/>
        <v>0</v>
      </c>
      <c r="T168" s="133">
        <f t="shared" si="66"/>
        <v>0</v>
      </c>
      <c r="U168" s="134">
        <f t="shared" si="62"/>
        <v>0</v>
      </c>
      <c r="W168" s="135">
        <f t="shared" si="55"/>
        <v>0</v>
      </c>
    </row>
    <row r="169" spans="1:23">
      <c r="A169" s="173"/>
      <c r="B169" s="170" t="s">
        <v>20</v>
      </c>
      <c r="C169" s="140"/>
      <c r="D169" s="138"/>
      <c r="E169" s="138"/>
      <c r="F169" s="138"/>
      <c r="G169" s="138"/>
      <c r="H169" s="138"/>
      <c r="I169" s="138"/>
      <c r="J169" s="138"/>
      <c r="K169" s="138">
        <f>COUNTIFS(เรื่องร้องเรียน!E:E,"5",เรื่องร้องเรียน!N:N,"ประเวศ")</f>
        <v>0</v>
      </c>
      <c r="L169" s="138">
        <f>COUNTIFS(เรื่องร้องเรียน!E:E,"5",เรื่องร้องเรียน!N:N,"ประเวศ",เรื่องร้องเรียน!CL:CL,"1")</f>
        <v>0</v>
      </c>
      <c r="M169" s="138">
        <f t="shared" ref="M169:N173" si="67">SUM(C169,E169,G169,I169,K169)</f>
        <v>0</v>
      </c>
      <c r="N169" s="139">
        <f t="shared" si="67"/>
        <v>0</v>
      </c>
      <c r="O169" s="140"/>
      <c r="P169" s="138"/>
      <c r="Q169" s="138"/>
      <c r="R169" s="138"/>
      <c r="S169" s="138">
        <f>COUNTIFS(เรื่องร้องเรียน!E:E,"5",เรื่องร้องเรียน!N:N,"ประเวศ",เรื่องร้องเรียน!AQ:AQ,"1",เรื่องร้องเรียน!CL:CL,"")</f>
        <v>0</v>
      </c>
      <c r="T169" s="141">
        <f t="shared" si="65"/>
        <v>0</v>
      </c>
      <c r="U169" s="129">
        <f t="shared" si="62"/>
        <v>0</v>
      </c>
      <c r="W169" s="129">
        <f t="shared" si="55"/>
        <v>0</v>
      </c>
    </row>
    <row r="170" spans="1:23">
      <c r="A170" s="148"/>
      <c r="B170" s="171" t="s">
        <v>108</v>
      </c>
      <c r="C170" s="246">
        <f>COUNTIFS(เรื่องร้องเรียน!E:E,"1",เรื่องร้องเรียน!N:N,"ประเวศ",เรื่องร้องเรียน!AN:AN,"บางนา")</f>
        <v>0</v>
      </c>
      <c r="D170" s="109">
        <f>COUNTIFS(เรื่องร้องเรียน!E:E,"1",เรื่องร้องเรียน!N:N,"ประเวศ",เรื่องร้องเรียน!AN:AN,"บางนา",เรื่องร้องเรียน!CL:CL,"1")</f>
        <v>0</v>
      </c>
      <c r="E170" s="109">
        <f>COUNTIFS(เรื่องร้องเรียน!E:E,"2",เรื่องร้องเรียน!N:N,"ประเวศ",เรื่องร้องเรียน!AN:AN,"บางนา")</f>
        <v>0</v>
      </c>
      <c r="F170" s="109">
        <f>COUNTIFS(เรื่องร้องเรียน!E:E,"2",เรื่องร้องเรียน!N:N,"ประเวศ",เรื่องร้องเรียน!AN:AN,"บางนา",เรื่องร้องเรียน!CL:CL,"1")</f>
        <v>0</v>
      </c>
      <c r="G170" s="109">
        <f>COUNTIFS(เรื่องร้องเรียน!E:E,"3",เรื่องร้องเรียน!N:N,"ประเวศ",เรื่องร้องเรียน!AN:AN,"บางนา")</f>
        <v>0</v>
      </c>
      <c r="H170" s="109">
        <f>COUNTIFS(เรื่องร้องเรียน!E:E,"3",เรื่องร้องเรียน!N:N,"ประเวศ",เรื่องร้องเรียน!AN:AN,"บางนา",เรื่องร้องเรียน!CL:CL,"1")</f>
        <v>0</v>
      </c>
      <c r="I170" s="109">
        <f>COUNTIFS(เรื่องร้องเรียน!E:E,"4",เรื่องร้องเรียน!N:N,"ประเวศ",เรื่องร้องเรียน!AN:AN,"บางนา")</f>
        <v>0</v>
      </c>
      <c r="J170" s="144">
        <f>COUNTIFS(เรื่องร้องเรียน!E:E,"4",เรื่องร้องเรียน!N:N,"ประเวศ",เรื่องร้องเรียน!AN:AN,"บางนา",เรื่องร้องเรียน!CL:CL,"1")</f>
        <v>0</v>
      </c>
      <c r="K170" s="144"/>
      <c r="L170" s="144"/>
      <c r="M170" s="109">
        <f t="shared" si="67"/>
        <v>0</v>
      </c>
      <c r="N170" s="145">
        <f t="shared" si="67"/>
        <v>0</v>
      </c>
      <c r="O170" s="146">
        <f>COUNTIFS(เรื่องร้องเรียน!E:E,"1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P170" s="144">
        <f>COUNTIFS(เรื่องร้องเรียน!E:E,"2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Q170" s="144">
        <f>COUNTIFS(เรื่องร้องเรียน!E:E,"3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R170" s="144">
        <f>COUNTIFS(เรื่องร้องเรียน!E:E,"4",เรื่องร้องเรียน!N:N,"ประเวศ",เรื่องร้องเรียน!AN:AN,"บางนา",เรื่องร้องเรียน!AQ:AQ,"1",เรื่องร้องเรียน!CL:CL,"")</f>
        <v>0</v>
      </c>
      <c r="S170" s="144"/>
      <c r="T170" s="147">
        <f t="shared" si="65"/>
        <v>0</v>
      </c>
      <c r="U170" s="129">
        <f t="shared" si="62"/>
        <v>0</v>
      </c>
      <c r="W170" s="129">
        <f t="shared" si="55"/>
        <v>0</v>
      </c>
    </row>
    <row r="171" spans="1:23">
      <c r="A171" s="148"/>
      <c r="B171" s="171" t="s">
        <v>73</v>
      </c>
      <c r="C171" s="246">
        <f>COUNTIFS(เรื่องร้องเรียน!E:E,"1",เรื่องร้องเรียน!N:N,"ประเวศ",เรื่องร้องเรียน!AN:AN,"ประเวศ")</f>
        <v>0</v>
      </c>
      <c r="D171" s="109">
        <f>COUNTIFS(เรื่องร้องเรียน!E:E,"1",เรื่องร้องเรียน!N:N,"ประเวศ",เรื่องร้องเรียน!AN:AN,"ประเวศ",เรื่องร้องเรียน!CL:CL,"1")</f>
        <v>0</v>
      </c>
      <c r="E171" s="109">
        <f>COUNTIFS(เรื่องร้องเรียน!E:E,"2",เรื่องร้องเรียน!N:N,"ประเวศ",เรื่องร้องเรียน!AN:AN,"ประเวศ")</f>
        <v>0</v>
      </c>
      <c r="F171" s="109">
        <f>COUNTIFS(เรื่องร้องเรียน!E:E,"2",เรื่องร้องเรียน!N:N,"ประเวศ",เรื่องร้องเรียน!AN:AN,"ประเวศ",เรื่องร้องเรียน!CL:CL,"1")</f>
        <v>0</v>
      </c>
      <c r="G171" s="109">
        <f>COUNTIFS(เรื่องร้องเรียน!E:E,"3",เรื่องร้องเรียน!N:N,"ประเวศ",เรื่องร้องเรียน!AN:AN,"ประเวศ")</f>
        <v>0</v>
      </c>
      <c r="H171" s="109">
        <f>COUNTIFS(เรื่องร้องเรียน!E:E,"3",เรื่องร้องเรียน!N:N,"ประเวศ",เรื่องร้องเรียน!AN:AN,"ประเวศ",เรื่องร้องเรียน!CL:CL,"1")</f>
        <v>0</v>
      </c>
      <c r="I171" s="109">
        <f>COUNTIFS(เรื่องร้องเรียน!E:E,"4",เรื่องร้องเรียน!N:N,"ประเวศ",เรื่องร้องเรียน!AN:AN,"ประเวศ")</f>
        <v>0</v>
      </c>
      <c r="J171" s="144">
        <f>COUNTIFS(เรื่องร้องเรียน!E:E,"4",เรื่องร้องเรียน!N:N,"ประเวศ",เรื่องร้องเรียน!AN:AN,"ประเวศ",เรื่องร้องเรียน!CL:CL,"1")</f>
        <v>0</v>
      </c>
      <c r="K171" s="144"/>
      <c r="L171" s="144"/>
      <c r="M171" s="109">
        <f t="shared" si="67"/>
        <v>0</v>
      </c>
      <c r="N171" s="145">
        <f t="shared" si="67"/>
        <v>0</v>
      </c>
      <c r="O171" s="146">
        <f>COUNTIFS(เรื่องร้องเรียน!E:E,"1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P171" s="144">
        <f>COUNTIFS(เรื่องร้องเรียน!E:E,"2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Q171" s="144">
        <f>COUNTIFS(เรื่องร้องเรียน!E:E,"3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R171" s="144">
        <f>COUNTIFS(เรื่องร้องเรียน!E:E,"4",เรื่องร้องเรียน!N:N,"ประเวศ",เรื่องร้องเรียน!AN:AN,"ประเวศ",เรื่องร้องเรียน!AQ:AQ,"1",เรื่องร้องเรียน!CL:CL,"")</f>
        <v>0</v>
      </c>
      <c r="S171" s="144"/>
      <c r="T171" s="147">
        <f t="shared" si="65"/>
        <v>0</v>
      </c>
      <c r="U171" s="129">
        <f t="shared" si="62"/>
        <v>0</v>
      </c>
      <c r="W171" s="129">
        <f t="shared" si="55"/>
        <v>0</v>
      </c>
    </row>
    <row r="172" spans="1:23">
      <c r="A172" s="148"/>
      <c r="B172" s="171" t="s">
        <v>115</v>
      </c>
      <c r="C172" s="246">
        <f>COUNTIFS(เรื่องร้องเรียน!E:E,"1",เรื่องร้องเรียน!N:N,"ประเวศ",เรื่องร้องเรียน!AN:AN,"พระโขนง")</f>
        <v>0</v>
      </c>
      <c r="D172" s="109">
        <f>COUNTIFS(เรื่องร้องเรียน!E:E,"1",เรื่องร้องเรียน!N:N,"ประเวศ",เรื่องร้องเรียน!AN:AN,"พระโขนง",เรื่องร้องเรียน!CL:CL,"1")</f>
        <v>0</v>
      </c>
      <c r="E172" s="109">
        <f>COUNTIFS(เรื่องร้องเรียน!E:E,"2",เรื่องร้องเรียน!N:N,"ประเวศ",เรื่องร้องเรียน!AN:AN,"พระโขนง")</f>
        <v>0</v>
      </c>
      <c r="F172" s="109">
        <f>COUNTIFS(เรื่องร้องเรียน!E:E,"2",เรื่องร้องเรียน!N:N,"ประเวศ",เรื่องร้องเรียน!AN:AN,"พระโขนง",เรื่องร้องเรียน!CL:CL,"1")</f>
        <v>0</v>
      </c>
      <c r="G172" s="109">
        <f>COUNTIFS(เรื่องร้องเรียน!E:E,"3",เรื่องร้องเรียน!N:N,"ประเวศ",เรื่องร้องเรียน!AN:AN,"พระโขนง")</f>
        <v>0</v>
      </c>
      <c r="H172" s="109">
        <f>COUNTIFS(เรื่องร้องเรียน!E:E,"3",เรื่องร้องเรียน!N:N,"ประเวศ",เรื่องร้องเรียน!AN:AN,"พระโขนง",เรื่องร้องเรียน!CL:CL,"1")</f>
        <v>0</v>
      </c>
      <c r="I172" s="109">
        <f>COUNTIFS(เรื่องร้องเรียน!E:E,"4",เรื่องร้องเรียน!N:N,"ประเวศ",เรื่องร้องเรียน!AN:AN,"พระโขนง")</f>
        <v>0</v>
      </c>
      <c r="J172" s="144">
        <f>COUNTIFS(เรื่องร้องเรียน!E:E,"4",เรื่องร้องเรียน!N:N,"ประเวศ",เรื่องร้องเรียน!AN:AN,"พระโขนง",เรื่องร้องเรียน!CL:CL,"1")</f>
        <v>0</v>
      </c>
      <c r="K172" s="144"/>
      <c r="L172" s="144"/>
      <c r="M172" s="109">
        <f t="shared" si="67"/>
        <v>0</v>
      </c>
      <c r="N172" s="145">
        <f t="shared" si="67"/>
        <v>0</v>
      </c>
      <c r="O172" s="146">
        <f>COUNTIFS(เรื่องร้องเรียน!E:E,"1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P172" s="144">
        <f>COUNTIFS(เรื่องร้องเรียน!E:E,"2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Q172" s="144">
        <f>COUNTIFS(เรื่องร้องเรียน!E:E,"3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R172" s="144">
        <f>COUNTIFS(เรื่องร้องเรียน!E:E,"4",เรื่องร้องเรียน!N:N,"ประเวศ",เรื่องร้องเรียน!AN:AN,"พระโขนง",เรื่องร้องเรียน!AQ:AQ,"1",เรื่องร้องเรียน!CL:CL,"")</f>
        <v>0</v>
      </c>
      <c r="S172" s="144"/>
      <c r="T172" s="147">
        <f t="shared" si="65"/>
        <v>0</v>
      </c>
      <c r="U172" s="129">
        <f t="shared" si="62"/>
        <v>0</v>
      </c>
      <c r="W172" s="129">
        <f t="shared" si="55"/>
        <v>0</v>
      </c>
    </row>
    <row r="173" spans="1:23" ht="21.6" thickBot="1">
      <c r="A173" s="150"/>
      <c r="B173" s="177" t="s">
        <v>74</v>
      </c>
      <c r="C173" s="123">
        <f>COUNTIFS(เรื่องร้องเรียน!E:E,"1",เรื่องร้องเรียน!N:N,"ประเวศ",เรื่องร้องเรียน!AN:AN,"อุดมสุข")</f>
        <v>0</v>
      </c>
      <c r="D173" s="117">
        <f>COUNTIFS(เรื่องร้องเรียน!E:E,"1",เรื่องร้องเรียน!N:N,"ประเวศ",เรื่องร้องเรียน!AN:AN,"อุดมสุข",เรื่องร้องเรียน!CL:CL,"1")</f>
        <v>0</v>
      </c>
      <c r="E173" s="117">
        <f>COUNTIFS(เรื่องร้องเรียน!E:E,"2",เรื่องร้องเรียน!N:N,"ประเวศ",เรื่องร้องเรียน!AN:AN,"อุดมสุข")</f>
        <v>0</v>
      </c>
      <c r="F173" s="117">
        <f>COUNTIFS(เรื่องร้องเรียน!E:E,"2",เรื่องร้องเรียน!N:N,"ประเวศ",เรื่องร้องเรียน!AN:AN,"อุดมสุข",เรื่องร้องเรียน!CL:CL,"1")</f>
        <v>0</v>
      </c>
      <c r="G173" s="117">
        <f>COUNTIFS(เรื่องร้องเรียน!E:E,"3",เรื่องร้องเรียน!N:N,"ประเวศ",เรื่องร้องเรียน!AN:AN,"อุดมสุข")</f>
        <v>0</v>
      </c>
      <c r="H173" s="117">
        <f>COUNTIFS(เรื่องร้องเรียน!E:E,"3",เรื่องร้องเรียน!N:N,"ประเวศ",เรื่องร้องเรียน!AN:AN,"อุดมสุข",เรื่องร้องเรียน!CL:CL,"1")</f>
        <v>0</v>
      </c>
      <c r="I173" s="117">
        <f>COUNTIFS(เรื่องร้องเรียน!E:E,"4",เรื่องร้องเรียน!N:N,"ประเวศ",เรื่องร้องเรียน!AN:AN,"อุดมสุข")</f>
        <v>0</v>
      </c>
      <c r="J173" s="152">
        <f>COUNTIFS(เรื่องร้องเรียน!E:E,"4",เรื่องร้องเรียน!N:N,"ประเวศ",เรื่องร้องเรียน!AN:AN,"อุดมสุข",เรื่องร้องเรียน!CL:CL,"1")</f>
        <v>0</v>
      </c>
      <c r="K173" s="152"/>
      <c r="L173" s="152"/>
      <c r="M173" s="117">
        <f t="shared" si="67"/>
        <v>0</v>
      </c>
      <c r="N173" s="122">
        <f t="shared" si="67"/>
        <v>0</v>
      </c>
      <c r="O173" s="153">
        <f>COUNTIFS(เรื่องร้องเรียน!E:E,"1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P173" s="152">
        <f>COUNTIFS(เรื่องร้องเรียน!E:E,"2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Q173" s="152">
        <f>COUNTIFS(เรื่องร้องเรียน!E:E,"3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R173" s="152">
        <f>COUNTIFS(เรื่องร้องเรียน!E:E,"4",เรื่องร้องเรียน!N:N,"ประเวศ",เรื่องร้องเรียน!AN:AN,"อุดมสุข",เรื่องร้องเรียน!AQ:AQ,"1",เรื่องร้องเรียน!CL:CL,"")</f>
        <v>0</v>
      </c>
      <c r="S173" s="152"/>
      <c r="T173" s="154">
        <f t="shared" si="65"/>
        <v>0</v>
      </c>
      <c r="U173" s="129">
        <f t="shared" si="62"/>
        <v>0</v>
      </c>
      <c r="W173" s="129">
        <f t="shared" si="55"/>
        <v>0</v>
      </c>
    </row>
    <row r="174" spans="1:23" ht="21.6" thickBot="1">
      <c r="A174" s="130" t="s">
        <v>129</v>
      </c>
      <c r="B174" s="169" t="s">
        <v>152</v>
      </c>
      <c r="C174" s="132">
        <f>SUM(C175:C180)</f>
        <v>0</v>
      </c>
      <c r="D174" s="131">
        <f t="shared" ref="D174:T174" si="68">SUM(D175:D180)</f>
        <v>0</v>
      </c>
      <c r="E174" s="131">
        <f t="shared" si="68"/>
        <v>0</v>
      </c>
      <c r="F174" s="131">
        <f t="shared" si="68"/>
        <v>0</v>
      </c>
      <c r="G174" s="131">
        <f t="shared" si="68"/>
        <v>0</v>
      </c>
      <c r="H174" s="131">
        <f t="shared" si="68"/>
        <v>0</v>
      </c>
      <c r="I174" s="131">
        <f t="shared" si="68"/>
        <v>0</v>
      </c>
      <c r="J174" s="131">
        <f t="shared" si="68"/>
        <v>0</v>
      </c>
      <c r="K174" s="131">
        <f t="shared" si="68"/>
        <v>0</v>
      </c>
      <c r="L174" s="131">
        <f t="shared" si="68"/>
        <v>0</v>
      </c>
      <c r="M174" s="131">
        <f t="shared" si="68"/>
        <v>0</v>
      </c>
      <c r="N174" s="163">
        <f t="shared" si="68"/>
        <v>0</v>
      </c>
      <c r="O174" s="132">
        <f t="shared" si="68"/>
        <v>0</v>
      </c>
      <c r="P174" s="132">
        <f t="shared" si="68"/>
        <v>0</v>
      </c>
      <c r="Q174" s="132">
        <f t="shared" si="68"/>
        <v>0</v>
      </c>
      <c r="R174" s="132">
        <f t="shared" si="68"/>
        <v>0</v>
      </c>
      <c r="S174" s="132">
        <f t="shared" si="68"/>
        <v>0</v>
      </c>
      <c r="T174" s="133">
        <f t="shared" si="68"/>
        <v>0</v>
      </c>
      <c r="U174" s="134">
        <f t="shared" si="62"/>
        <v>0</v>
      </c>
      <c r="W174" s="135">
        <f t="shared" si="55"/>
        <v>0</v>
      </c>
    </row>
    <row r="175" spans="1:23">
      <c r="A175" s="173"/>
      <c r="B175" s="170" t="s">
        <v>20</v>
      </c>
      <c r="C175" s="140"/>
      <c r="D175" s="138"/>
      <c r="E175" s="138"/>
      <c r="F175" s="138"/>
      <c r="G175" s="138"/>
      <c r="H175" s="138"/>
      <c r="I175" s="138"/>
      <c r="J175" s="138"/>
      <c r="K175" s="138">
        <f>COUNTIFS(เรื่องร้องเรียน!E:E,"5",เรื่องร้องเรียน!N:N,"ป้อมปราบศัตรูพ่าย")</f>
        <v>0</v>
      </c>
      <c r="L175" s="138">
        <f>COUNTIFS(เรื่องร้องเรียน!E:E,"5",เรื่องร้องเรียน!N:N,"ป้อมปราบศัตรูพ่าย",เรื่องร้องเรียน!CL:CL,"1")</f>
        <v>0</v>
      </c>
      <c r="M175" s="138">
        <f t="shared" ref="M175:N179" si="69">SUM(C175,E175,G175,I175,K175)</f>
        <v>0</v>
      </c>
      <c r="N175" s="139">
        <f t="shared" si="69"/>
        <v>0</v>
      </c>
      <c r="O175" s="140"/>
      <c r="P175" s="138"/>
      <c r="Q175" s="138"/>
      <c r="R175" s="138"/>
      <c r="S175" s="138">
        <f>COUNTIFS(เรื่องร้องเรียน!E:E,"5",เรื่องร้องเรียน!N:N,"ป้อมปราบศัตรูพ่าย",เรื่องร้องเรียน!AQ:AQ,"1",เรื่องร้องเรียน!CL:CL,"")</f>
        <v>0</v>
      </c>
      <c r="T175" s="141">
        <f t="shared" si="65"/>
        <v>0</v>
      </c>
      <c r="U175" s="129">
        <f t="shared" si="62"/>
        <v>0</v>
      </c>
      <c r="V175" s="10" t="s">
        <v>181</v>
      </c>
      <c r="W175" s="129">
        <f t="shared" si="55"/>
        <v>0</v>
      </c>
    </row>
    <row r="176" spans="1:23">
      <c r="A176" s="148"/>
      <c r="B176" s="171" t="s">
        <v>169</v>
      </c>
      <c r="C176" s="246">
        <f>COUNTIFS(เรื่องร้องเรียน!E:E,"1",เรื่องร้องเรียน!N:N,"ป้อมปราบศัตรูพ่าย",เรื่องร้องเรียน!AN:AN,"นางเลิ้ง")</f>
        <v>0</v>
      </c>
      <c r="D176" s="109">
        <f>COUNTIFS(เรื่องร้องเรียน!E:E,"1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E176" s="109">
        <f>COUNTIFS(เรื่องร้องเรียน!E:E,"2",เรื่องร้องเรียน!N:N,"ป้อมปราบศัตรูพ่าย",เรื่องร้องเรียน!AN:AN,"นางเลิ้ง")</f>
        <v>0</v>
      </c>
      <c r="F176" s="109">
        <f>COUNTIFS(เรื่องร้องเรียน!E:E,"2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G176" s="109">
        <f>COUNTIFS(เรื่องร้องเรียน!E:E,"3",เรื่องร้องเรียน!N:N,"ป้อมปราบศัตรูพ่าย",เรื่องร้องเรียน!AN:AN,"นางเลิ้ง")</f>
        <v>0</v>
      </c>
      <c r="H176" s="109">
        <f>COUNTIFS(เรื่องร้องเรียน!E:E,"3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I176" s="109">
        <f>COUNTIFS(เรื่องร้องเรียน!E:E,"4",เรื่องร้องเรียน!N:N,"ป้อมปราบศัตรูพ่าย",เรื่องร้องเรียน!AN:AN,"นางเลิ้ง")</f>
        <v>0</v>
      </c>
      <c r="J176" s="144">
        <f>COUNTIFS(เรื่องร้องเรียน!E:E,"4",เรื่องร้องเรียน!N:N,"ป้อมปราบศัตรูพ่าย",เรื่องร้องเรียน!AN:AN,"นางเลิ้ง",เรื่องร้องเรียน!CL:CL,"1")</f>
        <v>0</v>
      </c>
      <c r="K176" s="144"/>
      <c r="L176" s="144"/>
      <c r="M176" s="109">
        <f t="shared" si="69"/>
        <v>0</v>
      </c>
      <c r="N176" s="145">
        <f t="shared" si="69"/>
        <v>0</v>
      </c>
      <c r="O176" s="146">
        <f>COUNTIFS(เรื่องร้องเรียน!E:E,"1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P176" s="144">
        <f>COUNTIFS(เรื่องร้องเรียน!E:E,"2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Q176" s="144">
        <f>COUNTIFS(เรื่องร้องเรียน!E:E,"3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R176" s="144">
        <f>COUNTIFS(เรื่องร้องเรียน!E:E,"4",เรื่องร้องเรียน!N:N,"ป้อมปราบศัตรูพ่าย",เรื่องร้องเรียน!AN:AN,"นางเลิ้ง",เรื่องร้องเรียน!AQ:AQ,"1",เรื่องร้องเรียน!CL:CL,"")</f>
        <v>0</v>
      </c>
      <c r="S176" s="144"/>
      <c r="T176" s="147">
        <f t="shared" si="65"/>
        <v>0</v>
      </c>
      <c r="U176" s="129">
        <f t="shared" si="62"/>
        <v>0</v>
      </c>
      <c r="W176" s="129">
        <f t="shared" si="55"/>
        <v>0</v>
      </c>
    </row>
    <row r="177" spans="1:23">
      <c r="A177" s="148"/>
      <c r="B177" s="171" t="s">
        <v>130</v>
      </c>
      <c r="C177" s="246">
        <f>COUNTIFS(เรื่องร้องเรียน!E:E,"1",เรื่องร้องเรียน!N:N,"ป้อมปราบศัตรูพ่าย",เรื่องร้องเรียน!AN:AN,"พลับพลาไชย 1")</f>
        <v>0</v>
      </c>
      <c r="D177" s="109">
        <f>COUNTIFS(เรื่องร้องเรียน!E:E,"1",เรื่องร้องเรียน!N:N,"ป้อมปราบศัตรูพ่าย",เรื่องร้องเรียน!AN:AN,"พลับพลาไชย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E177" s="109">
        <f>COUNTIFS(เรื่องร้องเรียน!E:E,"2",เรื่องร้องเรียน!N:N,"ป้อมปราบศัตรูพ่าย",เรื่องร้องเรียน!AN:AN,"พลับพลาไชย 1")</f>
        <v>0</v>
      </c>
      <c r="F177" s="109">
        <f>COUNTIFS(เรื่องร้องเรียน!E:E,"2",เรื่องร้องเรียน!N:N,"ป้อมปราบศัตรูพ่าย",เรื่องร้องเรียน!AN:AN,"พลับพลาไชย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G177" s="109">
        <f>COUNTIFS(เรื่องร้องเรียน!E:E,"3",เรื่องร้องเรียน!N:N,"ป้อมปราบศัตรูพ่าย",เรื่องร้องเรียน!AN:AN,"พลับพลาไชย 1")</f>
        <v>0</v>
      </c>
      <c r="H177" s="109">
        <f>COUNTIFS(เรื่องร้องเรียน!E:E,"3",เรื่องร้องเรียน!N:N,"ป้อมปราบศัตรูพ่าย",เรื่องร้องเรียน!AN:AN,"พลับพลาไชย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I177" s="109">
        <f>COUNTIFS(เรื่องร้องเรียน!E:E,"4",เรื่องร้องเรียน!N:N,"ป้อมปราบศัตรูพ่าย",เรื่องร้องเรียน!AN:AN,"พลับพลาไชย 1")</f>
        <v>0</v>
      </c>
      <c r="J177" s="144">
        <f>COUNTIFS(เรื่องร้องเรียน!E:E,"4",เรื่องร้องเรียน!N:N,"ป้อมปราบศัตรูพ่าย",เรื่องร้องเรียน!AN:AN,"พลับพลาไชย 1",เรื่องร้องเรียน!CL:CL,"1")</f>
        <v>0</v>
      </c>
      <c r="K177" s="144"/>
      <c r="L177" s="144"/>
      <c r="M177" s="109">
        <f t="shared" si="69"/>
        <v>0</v>
      </c>
      <c r="N177" s="145">
        <f t="shared" si="69"/>
        <v>0</v>
      </c>
      <c r="O177" s="146">
        <f>COUNTIFS(เรื่องร้องเรียน!E:E,"1",เรื่องร้องเรียน!N:N,"ป้อมปราบศัตรูพ่าย",เรื่องร้องเรียน!AN:AN,"พลับพลาไชย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P177" s="144">
        <f>COUNTIFS(เรื่องร้องเรียน!E:E,"2",เรื่องร้องเรียน!N:N,"ป้อมปราบศัตรูพ่าย",เรื่องร้องเรียน!AN:AN,"พลับพลาไชย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Q177" s="144">
        <f>COUNTIFS(เรื่องร้องเรียน!E:E,"3",เรื่องร้องเรียน!N:N,"ป้อมปราบศัตรูพ่าย",เรื่องร้องเรียน!AN:AN,"พลับพลาไชย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R177" s="144">
        <f>COUNTIFS(เรื่องร้องเรียน!E:E,"4",เรื่องร้องเรียน!N:N,"ป้อมปราบศัตรูพ่าย",เรื่องร้องเรียน!AN:AN,"พลับพลาไชย 1",เรื่องร้องเรียน!AQ:AQ,"1",เรื่องร้องเรียน!CL:CL,"")</f>
        <v>0</v>
      </c>
      <c r="S177" s="144"/>
      <c r="T177" s="147">
        <f t="shared" si="65"/>
        <v>0</v>
      </c>
      <c r="U177" s="129">
        <f t="shared" si="62"/>
        <v>0</v>
      </c>
      <c r="W177" s="129">
        <f t="shared" si="55"/>
        <v>0</v>
      </c>
    </row>
    <row r="178" spans="1:23">
      <c r="A178" s="148"/>
      <c r="B178" s="171" t="s">
        <v>139</v>
      </c>
      <c r="C178" s="246">
        <f>COUNTIFS(เรื่องร้องเรียน!E:E,"1",เรื่องร้องเรียน!N:N,"ป้อมปราบศัตรูพ่าย",เรื่องร้องเรียน!AN:AN,"พลับพลาไชย 2")</f>
        <v>0</v>
      </c>
      <c r="D178" s="109">
        <f>COUNTIFS(เรื่องร้องเรียน!E:E,"1",เรื่องร้องเรียน!N:N,"ป้อมปราบศัตรูพ่าย",เรื่องร้องเรียน!AN:AN,"พลับพลาไชย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E178" s="109">
        <f>COUNTIFS(เรื่องร้องเรียน!E:E,"2",เรื่องร้องเรียน!N:N,"ป้อมปราบศัตรูพ่าย",เรื่องร้องเรียน!AN:AN,"พลับพลาไชย 2")</f>
        <v>0</v>
      </c>
      <c r="F178" s="109">
        <f>COUNTIFS(เรื่องร้องเรียน!E:E,"2",เรื่องร้องเรียน!N:N,"ป้อมปราบศัตรูพ่าย",เรื่องร้องเรียน!AN:AN,"พลับพลาไชย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G178" s="109">
        <f>COUNTIFS(เรื่องร้องเรียน!E:E,"3",เรื่องร้องเรียน!N:N,"ป้อมปราบศัตรูพ่าย",เรื่องร้องเรียน!AN:AN,"พลับพลาไชย 2")</f>
        <v>0</v>
      </c>
      <c r="H178" s="109">
        <f>COUNTIFS(เรื่องร้องเรียน!E:E,"3",เรื่องร้องเรียน!N:N,"ป้อมปราบศัตรูพ่าย",เรื่องร้องเรียน!AN:AN,"พลับพลาไชย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I178" s="109">
        <f>COUNTIFS(เรื่องร้องเรียน!E:E,"4",เรื่องร้องเรียน!N:N,"ป้อมปราบศัตรูพ่าย",เรื่องร้องเรียน!AN:AN,"พลับพลาไชย 2")</f>
        <v>0</v>
      </c>
      <c r="J178" s="144">
        <f>COUNTIFS(เรื่องร้องเรียน!E:E,"4",เรื่องร้องเรียน!N:N,"ป้อมปราบศัตรูพ่าย",เรื่องร้องเรียน!AN:AN,"พลับพลาไชย 2",เรื่องร้องเรียน!CL:CL,"1")</f>
        <v>0</v>
      </c>
      <c r="K178" s="144"/>
      <c r="L178" s="144"/>
      <c r="M178" s="109">
        <f t="shared" si="69"/>
        <v>0</v>
      </c>
      <c r="N178" s="145">
        <f t="shared" si="69"/>
        <v>0</v>
      </c>
      <c r="O178" s="146">
        <f>COUNTIFS(เรื่องร้องเรียน!E:E,"1",เรื่องร้องเรียน!N:N,"ป้อมปราบศัตรูพ่าย",เรื่องร้องเรียน!AN:AN,"พลับพลาไชย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P178" s="144">
        <f>COUNTIFS(เรื่องร้องเรียน!E:E,"2",เรื่องร้องเรียน!N:N,"ป้อมปราบศัตรูพ่าย",เรื่องร้องเรียน!AN:AN,"พลับพลาไชย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Q178" s="144">
        <f>COUNTIFS(เรื่องร้องเรียน!E:E,"3",เรื่องร้องเรียน!N:N,"ป้อมปราบศัตรูพ่าย",เรื่องร้องเรียน!AN:AN,"พลับพลาไชย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R178" s="144">
        <f>COUNTIFS(เรื่องร้องเรียน!E:E,"4",เรื่องร้องเรียน!N:N,"ป้อมปราบศัตรูพ่าย",เรื่องร้องเรียน!AN:AN,"พลับพลาไชย 2",เรื่องร้องเรียน!AQ:AQ,"1",เรื่องร้องเรียน!CL:CL,"")</f>
        <v>0</v>
      </c>
      <c r="S178" s="144"/>
      <c r="T178" s="147">
        <f t="shared" si="65"/>
        <v>0</v>
      </c>
      <c r="U178" s="129">
        <f t="shared" si="62"/>
        <v>0</v>
      </c>
      <c r="W178" s="129">
        <f t="shared" si="55"/>
        <v>0</v>
      </c>
    </row>
    <row r="179" spans="1:23">
      <c r="A179" s="148"/>
      <c r="B179" s="171" t="s">
        <v>184</v>
      </c>
      <c r="C179" s="123">
        <f>COUNTIFS(เรื่องร้องเรียน!E:E,"1",เรื่องร้องเรียน!N:N,"ป้อมปราบศัตรูพ่าย",เรื่องร้องเรียน!AN:AN,"สำราญราษฎร์")</f>
        <v>0</v>
      </c>
      <c r="D179" s="117">
        <f>COUNTIFS(เรื่องร้องเรียน!E:E,"1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E179" s="117">
        <f>COUNTIFS(เรื่องร้องเรียน!E:E,"2",เรื่องร้องเรียน!N:N,"ป้อมปราบศัตรูพ่าย",เรื่องร้องเรียน!AN:AN,"สำราญราษฎร์")</f>
        <v>0</v>
      </c>
      <c r="F179" s="117">
        <f>COUNTIFS(เรื่องร้องเรียน!E:E,"2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G179" s="117">
        <f>COUNTIFS(เรื่องร้องเรียน!E:E,"3",เรื่องร้องเรียน!N:N,"ป้อมปราบศัตรูพ่าย",เรื่องร้องเรียน!AN:AN,"สำราญราษฎร์")</f>
        <v>0</v>
      </c>
      <c r="H179" s="117">
        <f>COUNTIFS(เรื่องร้องเรียน!E:E,"3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I179" s="117">
        <f>COUNTIFS(เรื่องร้องเรียน!E:E,"4",เรื่องร้องเรียน!N:N,"ป้อมปราบศัตรูพ่าย",เรื่องร้องเรียน!AN:AN,"สำราญราษฎร์")</f>
        <v>0</v>
      </c>
      <c r="J179" s="152">
        <f>COUNTIFS(เรื่องร้องเรียน!E:E,"4",เรื่องร้องเรียน!N:N,"ป้อมปราบศัตรูพ่าย",เรื่องร้องเรียน!AN:AN,"สำราญราษฎร์",เรื่องร้องเรียน!CL:CL,"1")</f>
        <v>0</v>
      </c>
      <c r="K179" s="152"/>
      <c r="L179" s="152"/>
      <c r="M179" s="117">
        <f t="shared" si="69"/>
        <v>0</v>
      </c>
      <c r="N179" s="122">
        <f t="shared" si="69"/>
        <v>0</v>
      </c>
      <c r="O179" s="153">
        <f>COUNTIFS(เรื่องร้องเรียน!E:E,"1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P179" s="152">
        <f>COUNTIFS(เรื่องร้องเรียน!E:E,"2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Q179" s="152">
        <f>COUNTIFS(เรื่องร้องเรียน!E:E,"3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R179" s="152">
        <f>COUNTIFS(เรื่องร้องเรียน!E:E,"4",เรื่องร้องเรียน!N:N,"ป้อมปราบศัตรูพ่าย",เรื่องร้องเรียน!AN:AN,"สำราญราษฎร์",เรื่องร้องเรียน!AQ:AQ,"1",เรื่องร้องเรียน!CL:CL,"")</f>
        <v>0</v>
      </c>
      <c r="S179" s="152"/>
      <c r="T179" s="154">
        <f t="shared" si="65"/>
        <v>0</v>
      </c>
      <c r="U179" s="129">
        <f t="shared" si="62"/>
        <v>0</v>
      </c>
      <c r="W179" s="129">
        <f t="shared" si="55"/>
        <v>0</v>
      </c>
    </row>
    <row r="180" spans="1:23" ht="21.6" thickBot="1">
      <c r="A180" s="150"/>
      <c r="B180" s="177" t="s">
        <v>181</v>
      </c>
      <c r="C180" s="123">
        <f>COUNTIFS(เรื่องร้องเรียน!E:E,"1",เรื่องร้องเรียน!N:N,"ป้อมปราบศัตรูพ่าย",เรื่องร้องเรียน!AN:AN,"จักรวรรดิ")</f>
        <v>0</v>
      </c>
      <c r="D180" s="117">
        <f>COUNTIFS(เรื่องร้องเรียน!E:E,"1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E180" s="117">
        <f>COUNTIFS(เรื่องร้องเรียน!E:E,"2",เรื่องร้องเรียน!N:N,"ป้อมปราบศัตรูพ่าย",เรื่องร้องเรียน!AN:AN,"จักรวรรดิ")</f>
        <v>0</v>
      </c>
      <c r="F180" s="117">
        <f>COUNTIFS(เรื่องร้องเรียน!E:E,"2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G180" s="117">
        <f>COUNTIFS(เรื่องร้องเรียน!E:E,"3",เรื่องร้องเรียน!N:N,"ป้อมปราบศัตรูพ่าย",เรื่องร้องเรียน!AN:AN,"จักรวรรดิ")</f>
        <v>0</v>
      </c>
      <c r="H180" s="117">
        <f>COUNTIFS(เรื่องร้องเรียน!E:E,"3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I180" s="117">
        <f>COUNTIFS(เรื่องร้องเรียน!E:E,"4",เรื่องร้องเรียน!N:N,"ป้อมปราบศัตรูพ่าย",เรื่องร้องเรียน!AN:AN,"จักรวรรดิ")</f>
        <v>0</v>
      </c>
      <c r="J180" s="152">
        <f>COUNTIFS(เรื่องร้องเรียน!E:E,"4",เรื่องร้องเรียน!N:N,"ป้อมปราบศัตรูพ่าย",เรื่องร้องเรียน!AN:AN,"จักรวรรดิ",เรื่องร้องเรียน!CL:CL,"1")</f>
        <v>0</v>
      </c>
      <c r="K180" s="152"/>
      <c r="L180" s="152"/>
      <c r="M180" s="117">
        <f>SUM(C180,E180,G180,I180,K180)</f>
        <v>0</v>
      </c>
      <c r="N180" s="122">
        <f>SUM(D180,F180,H180,J180,L180)</f>
        <v>0</v>
      </c>
      <c r="O180" s="153">
        <f>COUNTIFS(เรื่องร้องเรียน!E:E,"1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P180" s="152">
        <f>COUNTIFS(เรื่องร้องเรียน!E:E,"2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Q180" s="152">
        <f>COUNTIFS(เรื่องร้องเรียน!E:E,"3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R180" s="152">
        <f>COUNTIFS(เรื่องร้องเรียน!E:E,"4",เรื่องร้องเรียน!N:N,"ป้อมปราบศัตรูพ่าย",เรื่องร้องเรียน!AN:AN,"จักรวรรดิ",เรื่องร้องเรียน!AQ:AQ,"1",เรื่องร้องเรียน!CL:CL,"")</f>
        <v>0</v>
      </c>
      <c r="S180" s="152"/>
      <c r="T180" s="154">
        <f>SUM(O180:S180)</f>
        <v>0</v>
      </c>
      <c r="U180" s="129">
        <f>M180-N180-T180</f>
        <v>0</v>
      </c>
      <c r="W180" s="129">
        <f t="shared" si="55"/>
        <v>0</v>
      </c>
    </row>
    <row r="181" spans="1:23" ht="21.6" thickBot="1">
      <c r="A181" s="130" t="s">
        <v>89</v>
      </c>
      <c r="B181" s="169" t="s">
        <v>152</v>
      </c>
      <c r="C181" s="132">
        <f>SUM(C182:C186)</f>
        <v>0</v>
      </c>
      <c r="D181" s="131">
        <f t="shared" ref="D181:T181" si="70">SUM(D182:D186 )</f>
        <v>0</v>
      </c>
      <c r="E181" s="131">
        <f t="shared" si="70"/>
        <v>0</v>
      </c>
      <c r="F181" s="131">
        <f t="shared" si="70"/>
        <v>0</v>
      </c>
      <c r="G181" s="131">
        <f t="shared" si="70"/>
        <v>0</v>
      </c>
      <c r="H181" s="131">
        <f t="shared" si="70"/>
        <v>0</v>
      </c>
      <c r="I181" s="131">
        <f t="shared" si="70"/>
        <v>0</v>
      </c>
      <c r="J181" s="131">
        <f t="shared" si="70"/>
        <v>0</v>
      </c>
      <c r="K181" s="131">
        <f t="shared" si="70"/>
        <v>0</v>
      </c>
      <c r="L181" s="131">
        <f t="shared" si="70"/>
        <v>0</v>
      </c>
      <c r="M181" s="131">
        <f t="shared" si="70"/>
        <v>0</v>
      </c>
      <c r="N181" s="163">
        <f t="shared" si="70"/>
        <v>0</v>
      </c>
      <c r="O181" s="132">
        <f t="shared" si="70"/>
        <v>0</v>
      </c>
      <c r="P181" s="131">
        <f t="shared" si="70"/>
        <v>0</v>
      </c>
      <c r="Q181" s="131">
        <f t="shared" si="70"/>
        <v>0</v>
      </c>
      <c r="R181" s="131">
        <f t="shared" si="70"/>
        <v>0</v>
      </c>
      <c r="S181" s="131">
        <f t="shared" si="70"/>
        <v>0</v>
      </c>
      <c r="T181" s="133">
        <f t="shared" si="70"/>
        <v>0</v>
      </c>
      <c r="U181" s="134">
        <f t="shared" si="62"/>
        <v>0</v>
      </c>
      <c r="W181" s="135">
        <f t="shared" si="55"/>
        <v>0</v>
      </c>
    </row>
    <row r="182" spans="1:23">
      <c r="A182" s="136"/>
      <c r="B182" s="137" t="s">
        <v>20</v>
      </c>
      <c r="C182" s="140"/>
      <c r="D182" s="138"/>
      <c r="E182" s="138"/>
      <c r="F182" s="138"/>
      <c r="G182" s="138"/>
      <c r="H182" s="138"/>
      <c r="I182" s="138"/>
      <c r="J182" s="138"/>
      <c r="K182" s="138">
        <f>COUNTIFS(เรื่องร้องเรียน!E:E,"5",เรื่องร้องเรียน!N:N,"พญาไท")</f>
        <v>0</v>
      </c>
      <c r="L182" s="138">
        <f>COUNTIFS(เรื่องร้องเรียน!E:E,"5",เรื่องร้องเรียน!N:N,"พญาไท",เรื่องร้องเรียน!CL:CL,"1")</f>
        <v>0</v>
      </c>
      <c r="M182" s="138">
        <f t="shared" ref="M182:N185" si="71">SUM(C182,E182,G182,I182,K182)</f>
        <v>0</v>
      </c>
      <c r="N182" s="139">
        <f t="shared" si="71"/>
        <v>0</v>
      </c>
      <c r="O182" s="140"/>
      <c r="P182" s="138"/>
      <c r="Q182" s="138"/>
      <c r="R182" s="138"/>
      <c r="S182" s="138">
        <f>COUNTIFS(เรื่องร้องเรียน!E:E,"5",เรื่องร้องเรียน!N:N,"พญาไท",เรื่องร้องเรียน!AQ:AQ,"1",เรื่องร้องเรียน!CL:CL,"")</f>
        <v>0</v>
      </c>
      <c r="T182" s="141">
        <f t="shared" si="65"/>
        <v>0</v>
      </c>
      <c r="U182" s="129">
        <f t="shared" si="62"/>
        <v>0</v>
      </c>
      <c r="W182" s="129">
        <f t="shared" si="55"/>
        <v>0</v>
      </c>
    </row>
    <row r="183" spans="1:23">
      <c r="A183" s="148"/>
      <c r="B183" s="171" t="s">
        <v>86</v>
      </c>
      <c r="C183" s="246">
        <f>COUNTIFS(เรื่องร้องเรียน!E:E,"1",เรื่องร้องเรียน!N:N,"พญาไท",เรื่องร้องเรียน!AN:AN,"ดินแดง")</f>
        <v>0</v>
      </c>
      <c r="D183" s="109">
        <f>COUNTIFS(เรื่องร้องเรียน!E:E,"1",เรื่องร้องเรียน!N:N,"พญาไท",เรื่องร้องเรียน!AN:AN,"ดินแดง",เรื่องร้องเรียน!CL:CL,"1")</f>
        <v>0</v>
      </c>
      <c r="E183" s="109">
        <f>COUNTIFS(เรื่องร้องเรียน!E:E,"2",เรื่องร้องเรียน!N:N,"พญาไท",เรื่องร้องเรียน!AN:AN,"ดินแดง")</f>
        <v>0</v>
      </c>
      <c r="F183" s="109">
        <f>COUNTIFS(เรื่องร้องเรียน!E:E,"2",เรื่องร้องเรียน!N:N,"พญาไท",เรื่องร้องเรียน!AN:AN,"ดินแดง",เรื่องร้องเรียน!CL:CL,"1")</f>
        <v>0</v>
      </c>
      <c r="G183" s="109">
        <f>COUNTIFS(เรื่องร้องเรียน!E:E,"3",เรื่องร้องเรียน!N:N,"พญาไท",เรื่องร้องเรียน!AN:AN,"ดินแดง")</f>
        <v>0</v>
      </c>
      <c r="H183" s="109">
        <f>COUNTIFS(เรื่องร้องเรียน!E:E,"3",เรื่องร้องเรียน!N:N,"พญาไท",เรื่องร้องเรียน!AN:AN,"ดินแดง",เรื่องร้องเรียน!CL:CL,"1")</f>
        <v>0</v>
      </c>
      <c r="I183" s="109">
        <f>COUNTIFS(เรื่องร้องเรียน!E:E,"4",เรื่องร้องเรียน!N:N,"พญาไท",เรื่องร้องเรียน!AN:AN,"ดินแดง")</f>
        <v>0</v>
      </c>
      <c r="J183" s="144">
        <f>COUNTIFS(เรื่องร้องเรียน!E:E,"4",เรื่องร้องเรียน!N:N,"พญาไท",เรื่องร้องเรียน!AN:AN,"ดินแดง",เรื่องร้องเรียน!CL:CL,"1")</f>
        <v>0</v>
      </c>
      <c r="K183" s="144"/>
      <c r="L183" s="144"/>
      <c r="M183" s="109">
        <f t="shared" si="71"/>
        <v>0</v>
      </c>
      <c r="N183" s="145">
        <f t="shared" si="71"/>
        <v>0</v>
      </c>
      <c r="O183" s="146">
        <f>COUNTIFS(เรื่องร้องเรียน!E:E,"1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P183" s="144">
        <f>COUNTIFS(เรื่องร้องเรียน!E:E,"2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Q183" s="144">
        <f>COUNTIFS(เรื่องร้องเรียน!E:E,"3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R183" s="144">
        <f>COUNTIFS(เรื่องร้องเรียน!E:E,"4",เรื่องร้องเรียน!N:N,"พญาไท",เรื่องร้องเรียน!AN:AN,"ดินแดง",เรื่องร้องเรียน!AQ:AQ,"1",เรื่องร้องเรียน!CL:CL,"")</f>
        <v>0</v>
      </c>
      <c r="S183" s="144"/>
      <c r="T183" s="147">
        <f t="shared" si="65"/>
        <v>0</v>
      </c>
      <c r="U183" s="129">
        <f t="shared" si="62"/>
        <v>0</v>
      </c>
      <c r="W183" s="129">
        <f t="shared" si="55"/>
        <v>0</v>
      </c>
    </row>
    <row r="184" spans="1:23">
      <c r="A184" s="148"/>
      <c r="B184" s="171" t="s">
        <v>133</v>
      </c>
      <c r="C184" s="246">
        <f>COUNTIFS(เรื่องร้องเรียน!E:E,"1",เรื่องร้องเรียน!N:N,"พญาไท",เรื่องร้องเรียน!AN:AN,"บางซื่อ")</f>
        <v>0</v>
      </c>
      <c r="D184" s="109">
        <f>COUNTIFS(เรื่องร้องเรียน!E:E,"1",เรื่องร้องเรียน!N:N,"พญาไท",เรื่องร้องเรียน!AN:AN,"บางซื่อ",เรื่องร้องเรียน!CL:CL,"1")</f>
        <v>0</v>
      </c>
      <c r="E184" s="109">
        <f>COUNTIFS(เรื่องร้องเรียน!E:E,"2",เรื่องร้องเรียน!N:N,"พญาไท",เรื่องร้องเรียน!AN:AN,"บางซื่อ")</f>
        <v>0</v>
      </c>
      <c r="F184" s="109">
        <f>COUNTIFS(เรื่องร้องเรียน!E:E,"2",เรื่องร้องเรียน!N:N,"พญาไท",เรื่องร้องเรียน!AN:AN,"บางซื่อ",เรื่องร้องเรียน!CL:CL,"1")</f>
        <v>0</v>
      </c>
      <c r="G184" s="109">
        <f>COUNTIFS(เรื่องร้องเรียน!E:E,"3",เรื่องร้องเรียน!N:N,"พญาไท",เรื่องร้องเรียน!AN:AN,"บางซื่อ")</f>
        <v>0</v>
      </c>
      <c r="H184" s="109">
        <f>COUNTIFS(เรื่องร้องเรียน!E:E,"3",เรื่องร้องเรียน!N:N,"พญาไท",เรื่องร้องเรียน!AN:AN,"บางซื่อ",เรื่องร้องเรียน!CL:CL,"1")</f>
        <v>0</v>
      </c>
      <c r="I184" s="109">
        <f>COUNTIFS(เรื่องร้องเรียน!E:E,"4",เรื่องร้องเรียน!N:N,"พญาไท",เรื่องร้องเรียน!AN:AN,"บางซื่อ")</f>
        <v>0</v>
      </c>
      <c r="J184" s="144">
        <f>COUNTIFS(เรื่องร้องเรียน!E:E,"4",เรื่องร้องเรียน!N:N,"พญาไท",เรื่องร้องเรียน!AN:AN,"บางซื่อ",เรื่องร้องเรียน!CL:CL,"1")</f>
        <v>0</v>
      </c>
      <c r="K184" s="144"/>
      <c r="L184" s="144"/>
      <c r="M184" s="109">
        <f t="shared" si="71"/>
        <v>0</v>
      </c>
      <c r="N184" s="145">
        <f t="shared" si="71"/>
        <v>0</v>
      </c>
      <c r="O184" s="146">
        <f>COUNTIFS(เรื่องร้องเรียน!E:E,"1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P184" s="144">
        <f>COUNTIFS(เรื่องร้องเรียน!E:E,"2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Q184" s="144">
        <f>COUNTIFS(เรื่องร้องเรียน!E:E,"3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R184" s="144">
        <f>COUNTIFS(เรื่องร้องเรียน!E:E,"4",เรื่องร้องเรียน!N:N,"พญาไท",เรื่องร้องเรียน!AN:AN,"บางซื่อ",เรื่องร้องเรียน!AQ:AQ,"1",เรื่องร้องเรียน!CL:CL,"")</f>
        <v>0</v>
      </c>
      <c r="S184" s="144"/>
      <c r="T184" s="147">
        <f t="shared" si="65"/>
        <v>0</v>
      </c>
      <c r="U184" s="129">
        <f t="shared" si="62"/>
        <v>0</v>
      </c>
      <c r="W184" s="129">
        <f t="shared" si="55"/>
        <v>0</v>
      </c>
    </row>
    <row r="185" spans="1:23">
      <c r="A185" s="150"/>
      <c r="B185" s="177" t="s">
        <v>89</v>
      </c>
      <c r="C185" s="123">
        <f>COUNTIFS(เรื่องร้องเรียน!E:E,"1",เรื่องร้องเรียน!N:N,"พญาไท",เรื่องร้องเรียน!AN:AN,"พญาไท")</f>
        <v>0</v>
      </c>
      <c r="D185" s="117">
        <f>COUNTIFS(เรื่องร้องเรียน!E:E,"1",เรื่องร้องเรียน!N:N,"พญาไท",เรื่องร้องเรียน!AN:AN,"พญาไท",เรื่องร้องเรียน!CL:CL,"1")</f>
        <v>0</v>
      </c>
      <c r="E185" s="117">
        <f>COUNTIFS(เรื่องร้องเรียน!E:E,"2",เรื่องร้องเรียน!N:N,"พญาไท",เรื่องร้องเรียน!AN:AN,"พญาไท")</f>
        <v>0</v>
      </c>
      <c r="F185" s="117">
        <f>COUNTIFS(เรื่องร้องเรียน!E:E,"2",เรื่องร้องเรียน!N:N,"พญาไท",เรื่องร้องเรียน!AN:AN,"พญาไท",เรื่องร้องเรียน!CL:CL,"1")</f>
        <v>0</v>
      </c>
      <c r="G185" s="117">
        <f>COUNTIFS(เรื่องร้องเรียน!E:E,"3",เรื่องร้องเรียน!N:N,"พญาไท",เรื่องร้องเรียน!AN:AN,"พญาไท")</f>
        <v>0</v>
      </c>
      <c r="H185" s="117">
        <f>COUNTIFS(เรื่องร้องเรียน!E:E,"3",เรื่องร้องเรียน!N:N,"พญาไท",เรื่องร้องเรียน!AN:AN,"พญาไท",เรื่องร้องเรียน!CL:CL,"1")</f>
        <v>0</v>
      </c>
      <c r="I185" s="117">
        <f>COUNTIFS(เรื่องร้องเรียน!E:E,"4",เรื่องร้องเรียน!N:N,"พญาไท",เรื่องร้องเรียน!AN:AN,"พญาไท")</f>
        <v>0</v>
      </c>
      <c r="J185" s="152">
        <f>COUNTIFS(เรื่องร้องเรียน!E:E,"4",เรื่องร้องเรียน!N:N,"พญาไท",เรื่องร้องเรียน!AN:AN,"พญาไท",เรื่องร้องเรียน!CL:CL,"1")</f>
        <v>0</v>
      </c>
      <c r="K185" s="152"/>
      <c r="L185" s="152"/>
      <c r="M185" s="117">
        <f t="shared" si="71"/>
        <v>0</v>
      </c>
      <c r="N185" s="122">
        <f t="shared" si="71"/>
        <v>0</v>
      </c>
      <c r="O185" s="153">
        <f>COUNTIFS(เรื่องร้องเรียน!E:E,"1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P185" s="152">
        <f>COUNTIFS(เรื่องร้องเรียน!E:E,"2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Q185" s="152">
        <f>COUNTIFS(เรื่องร้องเรียน!E:E,"3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R185" s="152">
        <f>COUNTIFS(เรื่องร้องเรียน!E:E,"4",เรื่องร้องเรียน!N:N,"พญาไท",เรื่องร้องเรียน!AN:AN,"พญาไท",เรื่องร้องเรียน!AQ:AQ,"1",เรื่องร้องเรียน!CL:CL,"")</f>
        <v>0</v>
      </c>
      <c r="S185" s="152"/>
      <c r="T185" s="154">
        <f t="shared" si="65"/>
        <v>0</v>
      </c>
      <c r="U185" s="129">
        <f t="shared" si="62"/>
        <v>0</v>
      </c>
      <c r="W185" s="129">
        <f t="shared" si="55"/>
        <v>0</v>
      </c>
    </row>
    <row r="186" spans="1:23" ht="21.6" thickBot="1">
      <c r="A186" s="168"/>
      <c r="B186" s="177" t="s">
        <v>88</v>
      </c>
      <c r="C186" s="123">
        <f>COUNTIFS(เรื่องร้องเรียน!E:E,"1",เรื่องร้องเรียน!N:N,"พญาไท",เรื่องร้องเรียน!AN:AN,"สุทธิสาร")</f>
        <v>0</v>
      </c>
      <c r="D186" s="117">
        <f>COUNTIFS(เรื่องร้องเรียน!E:E,"1",เรื่องร้องเรียน!N:N,"พญาไท",เรื่องร้องเรียน!AN:AN,"สุทธิสาร",เรื่องร้องเรียน!CL:CL,"1")</f>
        <v>0</v>
      </c>
      <c r="E186" s="117">
        <f>COUNTIFS(เรื่องร้องเรียน!E:E,"2",เรื่องร้องเรียน!N:N,"พญาไท",เรื่องร้องเรียน!AN:AN,"สุทธิสาร")</f>
        <v>0</v>
      </c>
      <c r="F186" s="117">
        <f>COUNTIFS(เรื่องร้องเรียน!E:E,"2",เรื่องร้องเรียน!N:N,"พญาไท",เรื่องร้องเรียน!AN:AN,"สุทธิสาร",เรื่องร้องเรียน!CL:CL,"1")</f>
        <v>0</v>
      </c>
      <c r="G186" s="117">
        <f>COUNTIFS(เรื่องร้องเรียน!E:E,"3",เรื่องร้องเรียน!N:N,"พญาไท",เรื่องร้องเรียน!AN:AN,"สุทธิสาร")</f>
        <v>0</v>
      </c>
      <c r="H186" s="117">
        <f>COUNTIFS(เรื่องร้องเรียน!E:E,"3",เรื่องร้องเรียน!N:N,"พญาไท",เรื่องร้องเรียน!AN:AN,"สุทธิสาร",เรื่องร้องเรียน!CL:CL,"1")</f>
        <v>0</v>
      </c>
      <c r="I186" s="117">
        <f>COUNTIFS(เรื่องร้องเรียน!E:E,"4",เรื่องร้องเรียน!N:N,"พญาไท",เรื่องร้องเรียน!AN:AN,"สุทธิสาร")</f>
        <v>0</v>
      </c>
      <c r="J186" s="152">
        <f>COUNTIFS(เรื่องร้องเรียน!E:E,"4",เรื่องร้องเรียน!N:N,"พญาไท",เรื่องร้องเรียน!AN:AN,"สุทธิสาร",เรื่องร้องเรียน!CL:CL,"1")</f>
        <v>0</v>
      </c>
      <c r="K186" s="152"/>
      <c r="L186" s="152"/>
      <c r="M186" s="117">
        <f>SUM(C186,E186,G186,I186,K186)</f>
        <v>0</v>
      </c>
      <c r="N186" s="122">
        <f>SUM(D186,F186,H186,J186,L186)</f>
        <v>0</v>
      </c>
      <c r="O186" s="153">
        <f>COUNTIFS(เรื่องร้องเรียน!E:E,"1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P186" s="152">
        <f>COUNTIFS(เรื่องร้องเรียน!E:E,"2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Q186" s="152">
        <f>COUNTIFS(เรื่องร้องเรียน!E:E,"3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R186" s="152">
        <f>COUNTIFS(เรื่องร้องเรียน!E:E,"4",เรื่องร้องเรียน!N:N,"พญาไท",เรื่องร้องเรียน!AN:AN,"สุทธิสาร",เรื่องร้องเรียน!AQ:AQ,"1",เรื่องร้องเรียน!CL:CL,"")</f>
        <v>0</v>
      </c>
      <c r="S186" s="152"/>
      <c r="T186" s="154">
        <f>SUM(O186:S186)</f>
        <v>0</v>
      </c>
      <c r="U186" s="129">
        <f>M186-N186-T186</f>
        <v>0</v>
      </c>
      <c r="W186" s="129">
        <f t="shared" si="55"/>
        <v>0</v>
      </c>
    </row>
    <row r="187" spans="1:23" ht="21.6" thickBot="1">
      <c r="A187" s="130" t="s">
        <v>115</v>
      </c>
      <c r="B187" s="169" t="s">
        <v>152</v>
      </c>
      <c r="C187" s="132">
        <f>SUM(C188:C190 )</f>
        <v>0</v>
      </c>
      <c r="D187" s="131">
        <f t="shared" ref="D187:T187" si="72">SUM(D188:D190 )</f>
        <v>0</v>
      </c>
      <c r="E187" s="131">
        <f t="shared" si="72"/>
        <v>0</v>
      </c>
      <c r="F187" s="131">
        <f t="shared" si="72"/>
        <v>0</v>
      </c>
      <c r="G187" s="131">
        <f t="shared" si="72"/>
        <v>0</v>
      </c>
      <c r="H187" s="131">
        <f t="shared" si="72"/>
        <v>0</v>
      </c>
      <c r="I187" s="131">
        <f t="shared" si="72"/>
        <v>0</v>
      </c>
      <c r="J187" s="131">
        <f t="shared" si="72"/>
        <v>0</v>
      </c>
      <c r="K187" s="131">
        <f t="shared" si="72"/>
        <v>0</v>
      </c>
      <c r="L187" s="131">
        <f t="shared" si="72"/>
        <v>0</v>
      </c>
      <c r="M187" s="131">
        <f t="shared" si="72"/>
        <v>0</v>
      </c>
      <c r="N187" s="163">
        <f t="shared" si="72"/>
        <v>0</v>
      </c>
      <c r="O187" s="132">
        <f t="shared" si="72"/>
        <v>0</v>
      </c>
      <c r="P187" s="131">
        <f t="shared" si="72"/>
        <v>0</v>
      </c>
      <c r="Q187" s="131">
        <f t="shared" si="72"/>
        <v>0</v>
      </c>
      <c r="R187" s="131">
        <f t="shared" si="72"/>
        <v>0</v>
      </c>
      <c r="S187" s="131">
        <f t="shared" si="72"/>
        <v>0</v>
      </c>
      <c r="T187" s="133">
        <f t="shared" si="72"/>
        <v>0</v>
      </c>
      <c r="U187" s="134">
        <f t="shared" si="62"/>
        <v>0</v>
      </c>
      <c r="W187" s="135">
        <f t="shared" si="55"/>
        <v>0</v>
      </c>
    </row>
    <row r="188" spans="1:23">
      <c r="A188" s="173"/>
      <c r="B188" s="170" t="s">
        <v>20</v>
      </c>
      <c r="C188" s="140"/>
      <c r="D188" s="138"/>
      <c r="E188" s="138"/>
      <c r="F188" s="138"/>
      <c r="G188" s="138"/>
      <c r="H188" s="138"/>
      <c r="I188" s="138"/>
      <c r="J188" s="138"/>
      <c r="K188" s="138">
        <f>COUNTIFS(เรื่องร้องเรียน!E:E,"5",เรื่องร้องเรียน!N:N,"พระโขนง")</f>
        <v>0</v>
      </c>
      <c r="L188" s="138">
        <f>COUNTIFS(เรื่องร้องเรียน!E:E,"5",เรื่องร้องเรียน!N:N,"พระโขนง",เรื่องร้องเรียน!CL:CL,"1")</f>
        <v>0</v>
      </c>
      <c r="M188" s="138">
        <f t="shared" ref="M188:N190" si="73">SUM(C188,E188,G188,I188,K188)</f>
        <v>0</v>
      </c>
      <c r="N188" s="139">
        <f t="shared" si="73"/>
        <v>0</v>
      </c>
      <c r="O188" s="140"/>
      <c r="P188" s="138"/>
      <c r="Q188" s="138"/>
      <c r="R188" s="138"/>
      <c r="S188" s="138">
        <f>COUNTIFS(เรื่องร้องเรียน!E:E,"5",เรื่องร้องเรียน!N:N,"พระโขนง",เรื่องร้องเรียน!AQ:AQ,"1",เรื่องร้องเรียน!CL:CL,"")</f>
        <v>0</v>
      </c>
      <c r="T188" s="141">
        <f t="shared" si="65"/>
        <v>0</v>
      </c>
      <c r="U188" s="129">
        <f t="shared" si="62"/>
        <v>0</v>
      </c>
      <c r="W188" s="129">
        <f t="shared" si="55"/>
        <v>0</v>
      </c>
    </row>
    <row r="189" spans="1:23">
      <c r="A189" s="148"/>
      <c r="B189" s="171" t="s">
        <v>108</v>
      </c>
      <c r="C189" s="246">
        <f>COUNTIFS(เรื่องร้องเรียน!E:E,"1",เรื่องร้องเรียน!N:N,"พระโขนง",เรื่องร้องเรียน!AN:AN,"บางนา")</f>
        <v>0</v>
      </c>
      <c r="D189" s="109">
        <f>COUNTIFS(เรื่องร้องเรียน!E:E,"1",เรื่องร้องเรียน!N:N,"พระโขนง",เรื่องร้องเรียน!AN:AN,"บางนา",เรื่องร้องเรียน!CL:CL,"1")</f>
        <v>0</v>
      </c>
      <c r="E189" s="109">
        <f>COUNTIFS(เรื่องร้องเรียน!E:E,"2",เรื่องร้องเรียน!N:N,"พระโขนง",เรื่องร้องเรียน!AN:AN,"บางนา")</f>
        <v>0</v>
      </c>
      <c r="F189" s="109">
        <f>COUNTIFS(เรื่องร้องเรียน!E:E,"2",เรื่องร้องเรียน!N:N,"พระโขนง",เรื่องร้องเรียน!AN:AN,"บางนา",เรื่องร้องเรียน!CL:CL,"1")</f>
        <v>0</v>
      </c>
      <c r="G189" s="109">
        <f>COUNTIFS(เรื่องร้องเรียน!E:E,"3",เรื่องร้องเรียน!N:N,"พระโขนง",เรื่องร้องเรียน!AN:AN,"บางนา")</f>
        <v>0</v>
      </c>
      <c r="H189" s="109">
        <f>COUNTIFS(เรื่องร้องเรียน!E:E,"3",เรื่องร้องเรียน!N:N,"พระโขนง",เรื่องร้องเรียน!AN:AN,"บางนา",เรื่องร้องเรียน!CL:CL,"1")</f>
        <v>0</v>
      </c>
      <c r="I189" s="109">
        <f>COUNTIFS(เรื่องร้องเรียน!E:E,"4",เรื่องร้องเรียน!N:N,"พระโขนง",เรื่องร้องเรียน!AN:AN,"บางนา")</f>
        <v>0</v>
      </c>
      <c r="J189" s="144">
        <f>COUNTIFS(เรื่องร้องเรียน!E:E,"4",เรื่องร้องเรียน!N:N,"พระโขนง",เรื่องร้องเรียน!AN:AN,"บางนา",เรื่องร้องเรียน!CL:CL,"1")</f>
        <v>0</v>
      </c>
      <c r="K189" s="144"/>
      <c r="L189" s="144"/>
      <c r="M189" s="109">
        <f t="shared" si="73"/>
        <v>0</v>
      </c>
      <c r="N189" s="145">
        <f t="shared" si="73"/>
        <v>0</v>
      </c>
      <c r="O189" s="146">
        <f>COUNTIFS(เรื่องร้องเรียน!E:E,"1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P189" s="144">
        <f>COUNTIFS(เรื่องร้องเรียน!E:E,"2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Q189" s="144">
        <f>COUNTIFS(เรื่องร้องเรียน!E:E,"3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R189" s="144">
        <f>COUNTIFS(เรื่องร้องเรียน!E:E,"4",เรื่องร้องเรียน!N:N,"พระโขนง",เรื่องร้องเรียน!AN:AN,"บางนา",เรื่องร้องเรียน!AQ:AQ,"1",เรื่องร้องเรียน!CL:CL,"")</f>
        <v>0</v>
      </c>
      <c r="S189" s="144"/>
      <c r="T189" s="147">
        <f t="shared" si="65"/>
        <v>0</v>
      </c>
      <c r="U189" s="129">
        <f t="shared" si="62"/>
        <v>0</v>
      </c>
      <c r="W189" s="129">
        <f t="shared" si="55"/>
        <v>0</v>
      </c>
    </row>
    <row r="190" spans="1:23" ht="21.6" thickBot="1">
      <c r="A190" s="150"/>
      <c r="B190" s="177" t="s">
        <v>115</v>
      </c>
      <c r="C190" s="123">
        <f>COUNTIFS(เรื่องร้องเรียน!E:E,"1",เรื่องร้องเรียน!N:N,"พระโขนง",เรื่องร้องเรียน!AN:AN,"พระโขนง")</f>
        <v>0</v>
      </c>
      <c r="D190" s="117">
        <f>COUNTIFS(เรื่องร้องเรียน!E:E,"1",เรื่องร้องเรียน!N:N,"พระโขนง",เรื่องร้องเรียน!AN:AN,"พระโขนง",เรื่องร้องเรียน!CL:CL,"1")</f>
        <v>0</v>
      </c>
      <c r="E190" s="117">
        <f>COUNTIFS(เรื่องร้องเรียน!E:E,"2",เรื่องร้องเรียน!N:N,"พระโขนง",เรื่องร้องเรียน!AN:AN,"พระโขนง")</f>
        <v>0</v>
      </c>
      <c r="F190" s="117">
        <f>COUNTIFS(เรื่องร้องเรียน!E:E,"2",เรื่องร้องเรียน!N:N,"พระโขนง",เรื่องร้องเรียน!AN:AN,"พระโขนง",เรื่องร้องเรียน!CL:CL,"1")</f>
        <v>0</v>
      </c>
      <c r="G190" s="117">
        <f>COUNTIFS(เรื่องร้องเรียน!E:E,"3",เรื่องร้องเรียน!N:N,"พระโขนง",เรื่องร้องเรียน!AN:AN,"พระโขนง")</f>
        <v>0</v>
      </c>
      <c r="H190" s="117">
        <f>COUNTIFS(เรื่องร้องเรียน!E:E,"3",เรื่องร้องเรียน!N:N,"พระโขนง",เรื่องร้องเรียน!AN:AN,"พระโขนง",เรื่องร้องเรียน!CL:CL,"1")</f>
        <v>0</v>
      </c>
      <c r="I190" s="117">
        <f>COUNTIFS(เรื่องร้องเรียน!E:E,"4",เรื่องร้องเรียน!N:N,"พระโขนง",เรื่องร้องเรียน!AN:AN,"พระโขนง")</f>
        <v>0</v>
      </c>
      <c r="J190" s="152">
        <f>COUNTIFS(เรื่องร้องเรียน!E:E,"4",เรื่องร้องเรียน!N:N,"พระโขนง",เรื่องร้องเรียน!AN:AN,"พระโขนง",เรื่องร้องเรียน!CL:CL,"1")</f>
        <v>0</v>
      </c>
      <c r="K190" s="152"/>
      <c r="L190" s="152"/>
      <c r="M190" s="117">
        <f t="shared" si="73"/>
        <v>0</v>
      </c>
      <c r="N190" s="122">
        <f t="shared" si="73"/>
        <v>0</v>
      </c>
      <c r="O190" s="153">
        <f>COUNTIFS(เรื่องร้องเรียน!E:E,"1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P190" s="152">
        <f>COUNTIFS(เรื่องร้องเรียน!E:E,"2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Q190" s="152">
        <f>COUNTIFS(เรื่องร้องเรียน!E:E,"3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R190" s="152">
        <f>COUNTIFS(เรื่องร้องเรียน!E:E,"4",เรื่องร้องเรียน!N:N,"พระโขนง",เรื่องร้องเรียน!AN:AN,"พระโขนง",เรื่องร้องเรียน!AQ:AQ,"1",เรื่องร้องเรียน!CL:CL,"")</f>
        <v>0</v>
      </c>
      <c r="S190" s="152"/>
      <c r="T190" s="154">
        <f t="shared" si="65"/>
        <v>0</v>
      </c>
      <c r="U190" s="129">
        <f t="shared" si="62"/>
        <v>0</v>
      </c>
      <c r="W190" s="129">
        <f t="shared" si="55"/>
        <v>0</v>
      </c>
    </row>
    <row r="191" spans="1:23" ht="21.6" thickBot="1">
      <c r="A191" s="130" t="s">
        <v>205</v>
      </c>
      <c r="B191" s="169" t="s">
        <v>152</v>
      </c>
      <c r="C191" s="132">
        <f>SUM(C192:C196 )</f>
        <v>0</v>
      </c>
      <c r="D191" s="131">
        <f t="shared" ref="D191:T191" si="74">SUM(D192:D196 )</f>
        <v>0</v>
      </c>
      <c r="E191" s="131">
        <f t="shared" si="74"/>
        <v>0</v>
      </c>
      <c r="F191" s="131">
        <f t="shared" si="74"/>
        <v>0</v>
      </c>
      <c r="G191" s="131">
        <f t="shared" si="74"/>
        <v>0</v>
      </c>
      <c r="H191" s="131">
        <f t="shared" si="74"/>
        <v>0</v>
      </c>
      <c r="I191" s="131">
        <f t="shared" si="74"/>
        <v>0</v>
      </c>
      <c r="J191" s="131">
        <f t="shared" si="74"/>
        <v>0</v>
      </c>
      <c r="K191" s="131">
        <f t="shared" si="74"/>
        <v>0</v>
      </c>
      <c r="L191" s="131">
        <f t="shared" si="74"/>
        <v>0</v>
      </c>
      <c r="M191" s="131">
        <f t="shared" si="74"/>
        <v>0</v>
      </c>
      <c r="N191" s="163">
        <f t="shared" si="74"/>
        <v>0</v>
      </c>
      <c r="O191" s="132">
        <f t="shared" si="74"/>
        <v>0</v>
      </c>
      <c r="P191" s="131">
        <f t="shared" si="74"/>
        <v>0</v>
      </c>
      <c r="Q191" s="131">
        <f t="shared" si="74"/>
        <v>0</v>
      </c>
      <c r="R191" s="131">
        <f t="shared" si="74"/>
        <v>0</v>
      </c>
      <c r="S191" s="131">
        <f t="shared" si="74"/>
        <v>0</v>
      </c>
      <c r="T191" s="133">
        <f t="shared" si="74"/>
        <v>0</v>
      </c>
      <c r="U191" s="134">
        <f t="shared" si="62"/>
        <v>0</v>
      </c>
      <c r="W191" s="135">
        <f t="shared" si="55"/>
        <v>0</v>
      </c>
    </row>
    <row r="192" spans="1:23">
      <c r="A192" s="173"/>
      <c r="B192" s="170" t="s">
        <v>20</v>
      </c>
      <c r="C192" s="140"/>
      <c r="D192" s="138"/>
      <c r="E192" s="138"/>
      <c r="F192" s="138"/>
      <c r="G192" s="138"/>
      <c r="H192" s="138"/>
      <c r="I192" s="138"/>
      <c r="J192" s="138"/>
      <c r="K192" s="138">
        <f>COUNTIFS(เรื่องร้องเรียน!E:E,"5",เรื่องร้องเรียน!N:N,"พระนคร")</f>
        <v>0</v>
      </c>
      <c r="L192" s="138">
        <f>COUNTIFS(เรื่องร้องเรียน!E:E,"5",เรื่องร้องเรียน!N:N,"พระนคร",เรื่องร้องเรียน!CL:CL,"1")</f>
        <v>0</v>
      </c>
      <c r="M192" s="138">
        <f t="shared" ref="M192:N196" si="75">SUM(C192,E192,G192,I192,K192)</f>
        <v>0</v>
      </c>
      <c r="N192" s="139">
        <f t="shared" si="75"/>
        <v>0</v>
      </c>
      <c r="O192" s="140"/>
      <c r="P192" s="138"/>
      <c r="Q192" s="138"/>
      <c r="R192" s="138"/>
      <c r="S192" s="138">
        <f>COUNTIFS(เรื่องร้องเรียน!E:E,"5",เรื่องร้องเรียน!N:N,"พระนคร",เรื่องร้องเรียน!AQ:AQ,"1",เรื่องร้องเรียน!CL:CL,"")</f>
        <v>0</v>
      </c>
      <c r="T192" s="141">
        <f t="shared" si="65"/>
        <v>0</v>
      </c>
      <c r="U192" s="129">
        <f t="shared" si="62"/>
        <v>0</v>
      </c>
      <c r="W192" s="129">
        <f t="shared" si="55"/>
        <v>0</v>
      </c>
    </row>
    <row r="193" spans="1:23">
      <c r="A193" s="148"/>
      <c r="B193" s="171" t="s">
        <v>167</v>
      </c>
      <c r="C193" s="246">
        <f>COUNTIFS(เรื่องร้องเรียน!E:E,"1",เรื่องร้องเรียน!N:N,"พระนคร",เรื่องร้องเรียน!AN:AN,"ชนะสงคราม")</f>
        <v>0</v>
      </c>
      <c r="D193" s="109">
        <f>COUNTIFS(เรื่องร้องเรียน!E:E,"1",เรื่องร้องเรียน!N:N,"พระนคร",เรื่องร้องเรียน!AN:AN,"ชนะสงคราม",เรื่องร้องเรียน!CL:CL,"1")</f>
        <v>0</v>
      </c>
      <c r="E193" s="109">
        <f>COUNTIFS(เรื่องร้องเรียน!E:E,"2",เรื่องร้องเรียน!N:N,"พระนคร",เรื่องร้องเรียน!AN:AN,"ชนะสงคราม")</f>
        <v>0</v>
      </c>
      <c r="F193" s="109">
        <f>COUNTIFS(เรื่องร้องเรียน!E:E,"2",เรื่องร้องเรียน!N:N,"พระนคร",เรื่องร้องเรียน!AN:AN,"ชนะสงคราม",เรื่องร้องเรียน!CL:CL,"1")</f>
        <v>0</v>
      </c>
      <c r="G193" s="109">
        <f>COUNTIFS(เรื่องร้องเรียน!E:E,"3",เรื่องร้องเรียน!N:N,"พระนคร",เรื่องร้องเรียน!AN:AN,"ชนะสงคราม")</f>
        <v>0</v>
      </c>
      <c r="H193" s="109">
        <f>COUNTIFS(เรื่องร้องเรียน!E:E,"3",เรื่องร้องเรียน!N:N,"พระนคร",เรื่องร้องเรียน!AN:AN,"ชนะสงคราม",เรื่องร้องเรียน!CL:CL,"1")</f>
        <v>0</v>
      </c>
      <c r="I193" s="109">
        <f>COUNTIFS(เรื่องร้องเรียน!E:E,"4",เรื่องร้องเรียน!N:N,"พระนคร",เรื่องร้องเรียน!AN:AN,"ชนะสงคราม")</f>
        <v>0</v>
      </c>
      <c r="J193" s="144">
        <f>COUNTIFS(เรื่องร้องเรียน!E:E,"4",เรื่องร้องเรียน!N:N,"พระนคร",เรื่องร้องเรียน!AN:AN,"ชนะสงคราม",เรื่องร้องเรียน!CL:CL,"1")</f>
        <v>0</v>
      </c>
      <c r="K193" s="144"/>
      <c r="L193" s="144"/>
      <c r="M193" s="109">
        <f t="shared" si="75"/>
        <v>0</v>
      </c>
      <c r="N193" s="145">
        <f t="shared" si="75"/>
        <v>0</v>
      </c>
      <c r="O193" s="146">
        <f>COUNTIFS(เรื่องร้องเรียน!E:E,"1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P193" s="144">
        <f>COUNTIFS(เรื่องร้องเรียน!E:E,"2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Q193" s="144">
        <f>COUNTIFS(เรื่องร้องเรียน!E:E,"3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R193" s="144">
        <f>COUNTIFS(เรื่องร้องเรียน!E:E,"4",เรื่องร้องเรียน!N:N,"พระนคร",เรื่องร้องเรียน!AN:AN,"ชนะสงคราม",เรื่องร้องเรียน!AQ:AQ,"1",เรื่องร้องเรียน!CL:CL,"")</f>
        <v>0</v>
      </c>
      <c r="S193" s="144"/>
      <c r="T193" s="147">
        <f t="shared" si="65"/>
        <v>0</v>
      </c>
      <c r="U193" s="129">
        <f t="shared" si="62"/>
        <v>0</v>
      </c>
      <c r="W193" s="129">
        <f t="shared" si="55"/>
        <v>0</v>
      </c>
    </row>
    <row r="194" spans="1:23">
      <c r="A194" s="148"/>
      <c r="B194" s="171" t="s">
        <v>169</v>
      </c>
      <c r="C194" s="246">
        <f>COUNTIFS(เรื่องร้องเรียน!E:E,"1",เรื่องร้องเรียน!N:N,"พระนคร",เรื่องร้องเรียน!AN:AN,"นางเลิ้ง")</f>
        <v>0</v>
      </c>
      <c r="D194" s="109">
        <f>COUNTIFS(เรื่องร้องเรียน!E:E,"1",เรื่องร้องเรียน!N:N,"พระนคร",เรื่องร้องเรียน!AN:AN,"นางเลิ้ง",เรื่องร้องเรียน!CL:CL,"1")</f>
        <v>0</v>
      </c>
      <c r="E194" s="109">
        <f>COUNTIFS(เรื่องร้องเรียน!E:E,"2",เรื่องร้องเรียน!N:N,"พระนคร",เรื่องร้องเรียน!AN:AN,"นางเลิ้ง")</f>
        <v>0</v>
      </c>
      <c r="F194" s="109">
        <f>COUNTIFS(เรื่องร้องเรียน!E:E,"2",เรื่องร้องเรียน!N:N,"พระนคร",เรื่องร้องเรียน!AN:AN,"นางเลิ้ง",เรื่องร้องเรียน!CL:CL,"1")</f>
        <v>0</v>
      </c>
      <c r="G194" s="109">
        <f>COUNTIFS(เรื่องร้องเรียน!E:E,"3",เรื่องร้องเรียน!N:N,"พระนคร",เรื่องร้องเรียน!AN:AN,"นางเลิ้ง")</f>
        <v>0</v>
      </c>
      <c r="H194" s="109">
        <f>COUNTIFS(เรื่องร้องเรียน!E:E,"3",เรื่องร้องเรียน!N:N,"พระนคร",เรื่องร้องเรียน!AN:AN,"นางเลิ้ง",เรื่องร้องเรียน!CL:CL,"1")</f>
        <v>0</v>
      </c>
      <c r="I194" s="109">
        <f>COUNTIFS(เรื่องร้องเรียน!E:E,"4",เรื่องร้องเรียน!N:N,"พระนคร",เรื่องร้องเรียน!AN:AN,"นางเลิ้ง")</f>
        <v>0</v>
      </c>
      <c r="J194" s="144">
        <f>COUNTIFS(เรื่องร้องเรียน!E:E,"4",เรื่องร้องเรียน!N:N,"พระนคร",เรื่องร้องเรียน!AN:AN,"นางเลิ้ง",เรื่องร้องเรียน!CL:CL,"1")</f>
        <v>0</v>
      </c>
      <c r="K194" s="144"/>
      <c r="L194" s="144"/>
      <c r="M194" s="109">
        <f t="shared" si="75"/>
        <v>0</v>
      </c>
      <c r="N194" s="145">
        <f t="shared" si="75"/>
        <v>0</v>
      </c>
      <c r="O194" s="146">
        <f>COUNTIFS(เรื่องร้องเรียน!E:E,"1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P194" s="144">
        <f>COUNTIFS(เรื่องร้องเรียน!E:E,"2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Q194" s="144">
        <f>COUNTIFS(เรื่องร้องเรียน!E:E,"3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R194" s="144">
        <f>COUNTIFS(เรื่องร้องเรียน!E:E,"4",เรื่องร้องเรียน!N:N,"พระนคร",เรื่องร้องเรียน!AN:AN,"นางเลิ้ง",เรื่องร้องเรียน!AQ:AQ,"1",เรื่องร้องเรียน!CL:CL,"")</f>
        <v>0</v>
      </c>
      <c r="S194" s="144"/>
      <c r="T194" s="147">
        <f t="shared" si="65"/>
        <v>0</v>
      </c>
      <c r="U194" s="129">
        <f t="shared" si="62"/>
        <v>0</v>
      </c>
      <c r="W194" s="129">
        <f t="shared" si="55"/>
        <v>0</v>
      </c>
    </row>
    <row r="195" spans="1:23">
      <c r="A195" s="148"/>
      <c r="B195" s="171" t="s">
        <v>183</v>
      </c>
      <c r="C195" s="246">
        <f>COUNTIFS(เรื่องร้องเรียน!E:E,"1",เรื่องร้องเรียน!N:N,"พระนคร",เรื่องร้องเรียน!AN:AN,"พระราชวัง")</f>
        <v>0</v>
      </c>
      <c r="D195" s="109">
        <f>COUNTIFS(เรื่องร้องเรียน!E:E,"1",เรื่องร้องเรียน!N:N,"พระนคร",เรื่องร้องเรียน!AN:AN,"พระราชวัง",เรื่องร้องเรียน!CL:CL,"1")</f>
        <v>0</v>
      </c>
      <c r="E195" s="109">
        <f>COUNTIFS(เรื่องร้องเรียน!E:E,"2",เรื่องร้องเรียน!N:N,"พระนคร",เรื่องร้องเรียน!AN:AN,"พระราชวัง")</f>
        <v>0</v>
      </c>
      <c r="F195" s="109">
        <f>COUNTIFS(เรื่องร้องเรียน!E:E,"2",เรื่องร้องเรียน!N:N,"พระนคร",เรื่องร้องเรียน!AN:AN,"พระราชวัง",เรื่องร้องเรียน!CL:CL,"1")</f>
        <v>0</v>
      </c>
      <c r="G195" s="109">
        <f>COUNTIFS(เรื่องร้องเรียน!E:E,"3",เรื่องร้องเรียน!N:N,"พระนคร",เรื่องร้องเรียน!AN:AN,"พระราชวัง")</f>
        <v>0</v>
      </c>
      <c r="H195" s="109">
        <f>COUNTIFS(เรื่องร้องเรียน!E:E,"3",เรื่องร้องเรียน!N:N,"พระนคร",เรื่องร้องเรียน!AN:AN,"พระราชวัง",เรื่องร้องเรียน!CL:CL,"1")</f>
        <v>0</v>
      </c>
      <c r="I195" s="109">
        <f>COUNTIFS(เรื่องร้องเรียน!E:E,"4",เรื่องร้องเรียน!N:N,"พระนคร",เรื่องร้องเรียน!AN:AN,"พระราชวัง")</f>
        <v>0</v>
      </c>
      <c r="J195" s="144">
        <f>COUNTIFS(เรื่องร้องเรียน!E:E,"4",เรื่องร้องเรียน!N:N,"พระนคร",เรื่องร้องเรียน!AN:AN,"พระราชวัง",เรื่องร้องเรียน!CL:CL,"1")</f>
        <v>0</v>
      </c>
      <c r="K195" s="144"/>
      <c r="L195" s="144"/>
      <c r="M195" s="109">
        <f t="shared" si="75"/>
        <v>0</v>
      </c>
      <c r="N195" s="145">
        <f t="shared" si="75"/>
        <v>0</v>
      </c>
      <c r="O195" s="146">
        <f>COUNTIFS(เรื่องร้องเรียน!E:E,"1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P195" s="144">
        <f>COUNTIFS(เรื่องร้องเรียน!E:E,"2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Q195" s="144">
        <f>COUNTIFS(เรื่องร้องเรียน!E:E,"3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R195" s="144">
        <f>COUNTIFS(เรื่องร้องเรียน!E:E,"4",เรื่องร้องเรียน!N:N,"พระนคร",เรื่องร้องเรียน!AN:AN,"พระราชวัง",เรื่องร้องเรียน!AQ:AQ,"1",เรื่องร้องเรียน!CL:CL,"")</f>
        <v>0</v>
      </c>
      <c r="S195" s="144"/>
      <c r="T195" s="147">
        <f t="shared" si="65"/>
        <v>0</v>
      </c>
      <c r="U195" s="129">
        <f t="shared" si="62"/>
        <v>0</v>
      </c>
      <c r="W195" s="129">
        <f t="shared" si="55"/>
        <v>0</v>
      </c>
    </row>
    <row r="196" spans="1:23" ht="21.6" thickBot="1">
      <c r="A196" s="150"/>
      <c r="B196" s="177" t="s">
        <v>184</v>
      </c>
      <c r="C196" s="123">
        <f>COUNTIFS(เรื่องร้องเรียน!E:E,"1",เรื่องร้องเรียน!N:N,"พระนคร",เรื่องร้องเรียน!AN:AN,"สำราญราษฎร์")</f>
        <v>0</v>
      </c>
      <c r="D196" s="117">
        <f>COUNTIFS(เรื่องร้องเรียน!E:E,"1",เรื่องร้องเรียน!N:N,"พระนคร",เรื่องร้องเรียน!AN:AN,"สำราญราษฎร์",เรื่องร้องเรียน!CL:CL,"1")</f>
        <v>0</v>
      </c>
      <c r="E196" s="117">
        <f>COUNTIFS(เรื่องร้องเรียน!E:E,"2",เรื่องร้องเรียน!N:N,"พระนคร",เรื่องร้องเรียน!AN:AN,"สำราญราษฎร์")</f>
        <v>0</v>
      </c>
      <c r="F196" s="117">
        <f>COUNTIFS(เรื่องร้องเรียน!E:E,"2",เรื่องร้องเรียน!N:N,"พระนคร",เรื่องร้องเรียน!AN:AN,"สำราญราษฎร์",เรื่องร้องเรียน!CL:CL,"1")</f>
        <v>0</v>
      </c>
      <c r="G196" s="117">
        <f>COUNTIFS(เรื่องร้องเรียน!E:E,"3",เรื่องร้องเรียน!N:N,"พระนคร",เรื่องร้องเรียน!AN:AN,"สำราญราษฎร์")</f>
        <v>0</v>
      </c>
      <c r="H196" s="117">
        <f>COUNTIFS(เรื่องร้องเรียน!E:E,"3",เรื่องร้องเรียน!N:N,"พระนคร",เรื่องร้องเรียน!AN:AN,"สำราญราษฎร์",เรื่องร้องเรียน!CL:CL,"1")</f>
        <v>0</v>
      </c>
      <c r="I196" s="117">
        <f>COUNTIFS(เรื่องร้องเรียน!E:E,"4",เรื่องร้องเรียน!N:N,"พระนคร",เรื่องร้องเรียน!AN:AN,"สำราญราษฎร์")</f>
        <v>0</v>
      </c>
      <c r="J196" s="152">
        <f>COUNTIFS(เรื่องร้องเรียน!E:E,"4",เรื่องร้องเรียน!N:N,"พระนคร",เรื่องร้องเรียน!AN:AN,"สำราญราษฎร์",เรื่องร้องเรียน!CL:CL,"1")</f>
        <v>0</v>
      </c>
      <c r="K196" s="152"/>
      <c r="L196" s="152"/>
      <c r="M196" s="117">
        <f t="shared" si="75"/>
        <v>0</v>
      </c>
      <c r="N196" s="122">
        <f t="shared" si="75"/>
        <v>0</v>
      </c>
      <c r="O196" s="153">
        <f>COUNTIFS(เรื่องร้องเรียน!E:E,"1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P196" s="152">
        <f>COUNTIFS(เรื่องร้องเรียน!E:E,"2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Q196" s="152">
        <f>COUNTIFS(เรื่องร้องเรียน!E:E,"3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R196" s="152">
        <f>COUNTIFS(เรื่องร้องเรียน!E:E,"4",เรื่องร้องเรียน!N:N,"พระนคร",เรื่องร้องเรียน!AN:AN,"สำราญราษฎร์",เรื่องร้องเรียน!AQ:AQ,"1",เรื่องร้องเรียน!CL:CL,"")</f>
        <v>0</v>
      </c>
      <c r="S196" s="152"/>
      <c r="T196" s="154">
        <f t="shared" si="65"/>
        <v>0</v>
      </c>
      <c r="U196" s="129">
        <f t="shared" si="62"/>
        <v>0</v>
      </c>
      <c r="W196" s="129">
        <f t="shared" si="55"/>
        <v>0</v>
      </c>
    </row>
    <row r="197" spans="1:23" ht="21.6" thickBot="1">
      <c r="A197" s="130" t="s">
        <v>199</v>
      </c>
      <c r="B197" s="169" t="s">
        <v>152</v>
      </c>
      <c r="C197" s="132">
        <f>SUM(C198:C202)</f>
        <v>0</v>
      </c>
      <c r="D197" s="131">
        <f t="shared" ref="D197:T197" si="76">SUM(D198:D202)</f>
        <v>0</v>
      </c>
      <c r="E197" s="131">
        <f t="shared" si="76"/>
        <v>0</v>
      </c>
      <c r="F197" s="131">
        <f t="shared" si="76"/>
        <v>0</v>
      </c>
      <c r="G197" s="131">
        <f t="shared" si="76"/>
        <v>0</v>
      </c>
      <c r="H197" s="131">
        <f t="shared" si="76"/>
        <v>0</v>
      </c>
      <c r="I197" s="131">
        <f t="shared" si="76"/>
        <v>0</v>
      </c>
      <c r="J197" s="131">
        <f t="shared" si="76"/>
        <v>0</v>
      </c>
      <c r="K197" s="131">
        <f t="shared" si="76"/>
        <v>0</v>
      </c>
      <c r="L197" s="131">
        <f t="shared" si="76"/>
        <v>0</v>
      </c>
      <c r="M197" s="131">
        <f t="shared" si="76"/>
        <v>0</v>
      </c>
      <c r="N197" s="163">
        <f t="shared" si="76"/>
        <v>0</v>
      </c>
      <c r="O197" s="132">
        <f t="shared" si="76"/>
        <v>0</v>
      </c>
      <c r="P197" s="132">
        <f t="shared" si="76"/>
        <v>0</v>
      </c>
      <c r="Q197" s="132">
        <f t="shared" si="76"/>
        <v>0</v>
      </c>
      <c r="R197" s="132">
        <f t="shared" si="76"/>
        <v>0</v>
      </c>
      <c r="S197" s="132">
        <f t="shared" si="76"/>
        <v>0</v>
      </c>
      <c r="T197" s="133">
        <f t="shared" si="76"/>
        <v>0</v>
      </c>
      <c r="U197" s="134">
        <f t="shared" si="62"/>
        <v>0</v>
      </c>
      <c r="W197" s="135">
        <f t="shared" si="55"/>
        <v>0</v>
      </c>
    </row>
    <row r="198" spans="1:23">
      <c r="A198" s="173"/>
      <c r="B198" s="170" t="s">
        <v>20</v>
      </c>
      <c r="C198" s="180"/>
      <c r="D198" s="178"/>
      <c r="E198" s="178"/>
      <c r="F198" s="178"/>
      <c r="G198" s="178"/>
      <c r="H198" s="178"/>
      <c r="I198" s="178"/>
      <c r="J198" s="178"/>
      <c r="K198" s="178">
        <f>COUNTIFS(เรื่องร้องเรียน!E:E,"5",เรื่องร้องเรียน!N:N,"ภาษีเจริญ")</f>
        <v>0</v>
      </c>
      <c r="L198" s="178">
        <f>COUNTIFS(เรื่องร้องเรียน!E:E,"5",เรื่องร้องเรียน!N:N,"ภาษีเจริญ",เรื่องร้องเรียน!CL:CL,"1")</f>
        <v>0</v>
      </c>
      <c r="M198" s="178">
        <f t="shared" ref="M198:N201" si="77">SUM(C198,E198,G198,I198,K198)</f>
        <v>0</v>
      </c>
      <c r="N198" s="179">
        <f t="shared" si="77"/>
        <v>0</v>
      </c>
      <c r="O198" s="180"/>
      <c r="P198" s="178"/>
      <c r="Q198" s="178"/>
      <c r="R198" s="178"/>
      <c r="S198" s="178">
        <f>COUNTIFS(เรื่องร้องเรียน!E:E,"5",เรื่องร้องเรียน!N:N,"ภาษีเจริญ",เรื่องร้องเรียน!AQ:AQ,"1",เรื่องร้องเรียน!CL:CL,"")</f>
        <v>0</v>
      </c>
      <c r="T198" s="181">
        <f t="shared" si="65"/>
        <v>0</v>
      </c>
      <c r="U198" s="182">
        <f t="shared" si="62"/>
        <v>0</v>
      </c>
      <c r="W198" s="129">
        <f t="shared" si="55"/>
        <v>0</v>
      </c>
    </row>
    <row r="199" spans="1:23">
      <c r="A199" s="148"/>
      <c r="B199" s="171" t="s">
        <v>71</v>
      </c>
      <c r="C199" s="246">
        <f>COUNTIFS(เรื่องร้องเรียน!E:E,"1",เรื่องร้องเรียน!N:N,"ภาษีเจริญ",เรื่องร้องเรียน!AN:AN,"บางขุนเทียน")</f>
        <v>0</v>
      </c>
      <c r="D199" s="109">
        <f>COUNTIFS(เรื่องร้องเรียน!E:E,"1",เรื่องร้องเรียน!N:N,"ภาษีเจริญ",เรื่องร้องเรียน!AN:AN,"บางขุนเทียน",เรื่องร้องเรียน!CL:CL,"1")</f>
        <v>0</v>
      </c>
      <c r="E199" s="109">
        <f>COUNTIFS(เรื่องร้องเรียน!E:E,"2",เรื่องร้องเรียน!N:N,"ภาษีเจริญ",เรื่องร้องเรียน!AN:AN,"บางขุนเทียน")</f>
        <v>0</v>
      </c>
      <c r="F199" s="109">
        <f>COUNTIFS(เรื่องร้องเรียน!E:E,"2",เรื่องร้องเรียน!N:N,"ภาษีเจริญ",เรื่องร้องเรียน!AN:AN,"บางขุนเทียน",เรื่องร้องเรียน!CL:CL,"1")</f>
        <v>0</v>
      </c>
      <c r="G199" s="109">
        <f>COUNTIFS(เรื่องร้องเรียน!E:E,"3",เรื่องร้องเรียน!N:N,"ภาษีเจริญ",เรื่องร้องเรียน!AN:AN,"บางขุนเทียน")</f>
        <v>0</v>
      </c>
      <c r="H199" s="109">
        <f>COUNTIFS(เรื่องร้องเรียน!E:E,"3",เรื่องร้องเรียน!N:N,"ภาษีเจริญ",เรื่องร้องเรียน!AN:AN,"บางขุนเทียน",เรื่องร้องเรียน!CL:CL,"1")</f>
        <v>0</v>
      </c>
      <c r="I199" s="109">
        <f>COUNTIFS(เรื่องร้องเรียน!E:E,"4",เรื่องร้องเรียน!N:N,"ภาษีเจริญ",เรื่องร้องเรียน!AN:AN,"บางขุนเทียน")</f>
        <v>0</v>
      </c>
      <c r="J199" s="144">
        <f>COUNTIFS(เรื่องร้องเรียน!E:E,"4",เรื่องร้องเรียน!N:N,"ภาษีเจริญ",เรื่องร้องเรียน!AN:AN,"บางขุนเทียน",เรื่องร้องเรียน!CL:CL,"1")</f>
        <v>0</v>
      </c>
      <c r="K199" s="144"/>
      <c r="L199" s="144"/>
      <c r="M199" s="109">
        <f t="shared" si="77"/>
        <v>0</v>
      </c>
      <c r="N199" s="145">
        <f t="shared" si="77"/>
        <v>0</v>
      </c>
      <c r="O199" s="146">
        <f>COUNTIFS(เรื่องร้องเรียน!E:E,"1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P199" s="144">
        <f>COUNTIFS(เรื่องร้องเรียน!E:E,"2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Q199" s="144">
        <f>COUNTIFS(เรื่องร้องเรียน!E:E,"3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R199" s="144">
        <f>COUNTIFS(เรื่องร้องเรียน!E:E,"4",เรื่องร้องเรียน!N:N,"ภาษีเจริญ",เรื่องร้องเรียน!AN:AN,"บางขุนเทียน",เรื่องร้องเรียน!AQ:AQ,"1",เรื่องร้องเรียน!CL:CL,"")</f>
        <v>0</v>
      </c>
      <c r="S199" s="144"/>
      <c r="T199" s="147">
        <f t="shared" si="65"/>
        <v>0</v>
      </c>
      <c r="U199" s="183">
        <f t="shared" si="62"/>
        <v>0</v>
      </c>
      <c r="V199" s="10" t="s">
        <v>92</v>
      </c>
      <c r="W199" s="129">
        <f t="shared" si="55"/>
        <v>0</v>
      </c>
    </row>
    <row r="200" spans="1:23">
      <c r="A200" s="148"/>
      <c r="B200" s="171" t="s">
        <v>199</v>
      </c>
      <c r="C200" s="246">
        <f>COUNTIFS(เรื่องร้องเรียน!E:E,"1",เรื่องร้องเรียน!N:N,"ภาษีเจริญ",เรื่องร้องเรียน!AN:AN,"ภาษีเจริญ")</f>
        <v>0</v>
      </c>
      <c r="D200" s="109">
        <f>COUNTIFS(เรื่องร้องเรียน!E:E,"1",เรื่องร้องเรียน!N:N,"ภาษีเจริญ",เรื่องร้องเรียน!AN:AN,"ภาษีเจริญ",เรื่องร้องเรียน!CL:CL,"1")</f>
        <v>0</v>
      </c>
      <c r="E200" s="109">
        <f>COUNTIFS(เรื่องร้องเรียน!E:E,"2",เรื่องร้องเรียน!N:N,"ภาษีเจริญ",เรื่องร้องเรียน!AN:AN,"ภาษีเจริญ")</f>
        <v>0</v>
      </c>
      <c r="F200" s="109">
        <f>COUNTIFS(เรื่องร้องเรียน!E:E,"2",เรื่องร้องเรียน!N:N,"ภาษีเจริญ",เรื่องร้องเรียน!AN:AN,"ภาษีเจริญ",เรื่องร้องเรียน!CL:CL,"1")</f>
        <v>0</v>
      </c>
      <c r="G200" s="109">
        <f>COUNTIFS(เรื่องร้องเรียน!E:E,"3",เรื่องร้องเรียน!N:N,"ภาษีเจริญ",เรื่องร้องเรียน!AN:AN,"ภาษีเจริญ")</f>
        <v>0</v>
      </c>
      <c r="H200" s="109">
        <f>COUNTIFS(เรื่องร้องเรียน!E:E,"3",เรื่องร้องเรียน!N:N,"ภาษีเจริญ",เรื่องร้องเรียน!AN:AN,"ภาษีเจริญ",เรื่องร้องเรียน!CL:CL,"1")</f>
        <v>0</v>
      </c>
      <c r="I200" s="109">
        <f>COUNTIFS(เรื่องร้องเรียน!E:E,"4",เรื่องร้องเรียน!N:N,"ภาษีเจริญ",เรื่องร้องเรียน!AN:AN,"ภาษีเจริญ")</f>
        <v>0</v>
      </c>
      <c r="J200" s="144">
        <f>COUNTIFS(เรื่องร้องเรียน!E:E,"4",เรื่องร้องเรียน!N:N,"ภาษีเจริญ",เรื่องร้องเรียน!AN:AN,"ภาษีเจริญ",เรื่องร้องเรียน!CL:CL,"1")</f>
        <v>0</v>
      </c>
      <c r="K200" s="144"/>
      <c r="L200" s="144"/>
      <c r="M200" s="109">
        <f t="shared" si="77"/>
        <v>0</v>
      </c>
      <c r="N200" s="145">
        <f t="shared" si="77"/>
        <v>0</v>
      </c>
      <c r="O200" s="146">
        <f>COUNTIFS(เรื่องร้องเรียน!E:E,"1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P200" s="144">
        <f>COUNTIFS(เรื่องร้องเรียน!E:E,"2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Q200" s="144">
        <f>COUNTIFS(เรื่องร้องเรียน!E:E,"3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R200" s="144">
        <f>COUNTIFS(เรื่องร้องเรียน!E:E,"4",เรื่องร้องเรียน!N:N,"ภาษีเจริญ",เรื่องร้องเรียน!AN:AN,"ภาษีเจริญ",เรื่องร้องเรียน!AQ:AQ,"1",เรื่องร้องเรียน!CL:CL,"")</f>
        <v>0</v>
      </c>
      <c r="S200" s="144"/>
      <c r="T200" s="147">
        <f t="shared" si="65"/>
        <v>0</v>
      </c>
      <c r="U200" s="183">
        <f t="shared" si="62"/>
        <v>0</v>
      </c>
      <c r="W200" s="129">
        <f t="shared" si="55"/>
        <v>0</v>
      </c>
    </row>
    <row r="201" spans="1:23">
      <c r="A201" s="148"/>
      <c r="B201" s="171" t="s">
        <v>190</v>
      </c>
      <c r="C201" s="246">
        <f>COUNTIFS(เรื่องร้องเรียน!E:E,"1",เรื่องร้องเรียน!N:N,"ภาษีเจริญ",เรื่องร้องเรียน!AN:AN,"บางเสาธง")</f>
        <v>0</v>
      </c>
      <c r="D201" s="109">
        <f>COUNTIFS(เรื่องร้องเรียน!E:E,"1",เรื่องร้องเรียน!N:N,"ภาษีเจริญ",เรื่องร้องเรียน!AN:AN,"บางเสาธง",เรื่องร้องเรียน!CL:CL,"1")</f>
        <v>0</v>
      </c>
      <c r="E201" s="109">
        <f>COUNTIFS(เรื่องร้องเรียน!E:E,"2",เรื่องร้องเรียน!N:N,"ภาษีเจริญ",เรื่องร้องเรียน!AN:AN,"บางเสาธง")</f>
        <v>0</v>
      </c>
      <c r="F201" s="109">
        <f>COUNTIFS(เรื่องร้องเรียน!E:E,"2",เรื่องร้องเรียน!N:N,"ภาษีเจริญ",เรื่องร้องเรียน!AN:AN,"บางเสาธง",เรื่องร้องเรียน!CL:CL,"1")</f>
        <v>0</v>
      </c>
      <c r="G201" s="109">
        <f>COUNTIFS(เรื่องร้องเรียน!E:E,"3",เรื่องร้องเรียน!N:N,"ภาษีเจริญ",เรื่องร้องเรียน!AN:AN,"บางเสาธง")</f>
        <v>0</v>
      </c>
      <c r="H201" s="109">
        <f>COUNTIFS(เรื่องร้องเรียน!E:E,"3",เรื่องร้องเรียน!N:N,"ภาษีเจริญ",เรื่องร้องเรียน!AN:AN,"บางเสาธง",เรื่องร้องเรียน!CL:CL,"1")</f>
        <v>0</v>
      </c>
      <c r="I201" s="109">
        <f>COUNTIFS(เรื่องร้องเรียน!E:E,"4",เรื่องร้องเรียน!N:N,"ภาษีเจริญ",เรื่องร้องเรียน!AN:AN,"บางเสาธง")</f>
        <v>0</v>
      </c>
      <c r="J201" s="144">
        <f>COUNTIFS(เรื่องร้องเรียน!E:E,"4",เรื่องร้องเรียน!N:N,"ภาษีเจริญ",เรื่องร้องเรียน!AN:AN,"บางเสาธง",เรื่องร้องเรียน!CL:CL,"1")</f>
        <v>0</v>
      </c>
      <c r="K201" s="144"/>
      <c r="L201" s="144"/>
      <c r="M201" s="109">
        <f t="shared" si="77"/>
        <v>0</v>
      </c>
      <c r="N201" s="145">
        <f t="shared" si="77"/>
        <v>0</v>
      </c>
      <c r="O201" s="146">
        <f>COUNTIFS(เรื่องร้องเรียน!E:E,"1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P201" s="144">
        <f>COUNTIFS(เรื่องร้องเรียน!E:E,"2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Q201" s="144">
        <f>COUNTIFS(เรื่องร้องเรียน!E:E,"3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R201" s="144">
        <f>COUNTIFS(เรื่องร้องเรียน!E:E,"4",เรื่องร้องเรียน!N:N,"ภาษีเจริญ",เรื่องร้องเรียน!AN:AN,"บางเสาธง",เรื่องร้องเรียน!AQ:AQ,"1",เรื่องร้องเรียน!CL:CL,"")</f>
        <v>0</v>
      </c>
      <c r="S201" s="144"/>
      <c r="T201" s="147">
        <f t="shared" si="65"/>
        <v>0</v>
      </c>
      <c r="U201" s="183">
        <f t="shared" si="62"/>
        <v>0</v>
      </c>
      <c r="W201" s="129">
        <f t="shared" si="55"/>
        <v>0</v>
      </c>
    </row>
    <row r="202" spans="1:23" ht="21.6" thickBot="1">
      <c r="A202" s="174"/>
      <c r="B202" s="172" t="s">
        <v>92</v>
      </c>
      <c r="C202" s="231">
        <f>COUNTIFS(เรื่องร้องเรียน!E:E,"1",เรื่องร้องเรียน!N:N,"ภาษีเจริญ",เรื่องร้องเรียน!AN:AN,"หลักสอง")</f>
        <v>0</v>
      </c>
      <c r="D202" s="124">
        <f>COUNTIFS(เรื่องร้องเรียน!E:E,"1",เรื่องร้องเรียน!N:N,"ภาษีเจริญ",เรื่องร้องเรียน!AN:AN,"หลักสอง",เรื่องร้องเรียน!CL:CL,"1")</f>
        <v>0</v>
      </c>
      <c r="E202" s="124">
        <f>COUNTIFS(เรื่องร้องเรียน!E:E,"2",เรื่องร้องเรียน!N:N,"ภาษีเจริญ",เรื่องร้องเรียน!AN:AN,"หลักสอง")</f>
        <v>0</v>
      </c>
      <c r="F202" s="124">
        <f>COUNTIFS(เรื่องร้องเรียน!E:E,"2",เรื่องร้องเรียน!N:N,"ภาษีเจริญ",เรื่องร้องเรียน!AN:AN,"หลักสอง",เรื่องร้องเรียน!CL:CL,"1")</f>
        <v>0</v>
      </c>
      <c r="G202" s="124">
        <f>COUNTIFS(เรื่องร้องเรียน!E:E,"3",เรื่องร้องเรียน!N:N,"ภาษีเจริญ",เรื่องร้องเรียน!AN:AN,"หลักสอง")</f>
        <v>0</v>
      </c>
      <c r="H202" s="124">
        <f>COUNTIFS(เรื่องร้องเรียน!E:E,"3",เรื่องร้องเรียน!N:N,"ภาษีเจริญ",เรื่องร้องเรียน!AN:AN,"หลักสอง",เรื่องร้องเรียน!CL:CL,"1")</f>
        <v>0</v>
      </c>
      <c r="I202" s="124">
        <f>COUNTIFS(เรื่องร้องเรียน!E:E,"4",เรื่องร้องเรียน!N:N,"ภาษีเจริญ",เรื่องร้องเรียน!AN:AN,"หลักสอง")</f>
        <v>0</v>
      </c>
      <c r="J202" s="157">
        <f>COUNTIFS(เรื่องร้องเรียน!E:E,"4",เรื่องร้องเรียน!N:N,"ภาษีเจริญ",เรื่องร้องเรียน!AN:AN,"หลักสอง",เรื่องร้องเรียน!CL:CL,"1")</f>
        <v>0</v>
      </c>
      <c r="K202" s="157"/>
      <c r="L202" s="157"/>
      <c r="M202" s="124">
        <f>SUM(C202,E202,G202,I202,K202)</f>
        <v>0</v>
      </c>
      <c r="N202" s="158">
        <f>SUM(D202,F202,H202,J202,L202)</f>
        <v>0</v>
      </c>
      <c r="O202" s="159">
        <f>COUNTIFS(เรื่องร้องเรียน!E:E,"1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P202" s="157">
        <f>COUNTIFS(เรื่องร้องเรียน!E:E,"2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Q202" s="157">
        <f>COUNTIFS(เรื่องร้องเรียน!E:E,"3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R202" s="157">
        <f>COUNTIFS(เรื่องร้องเรียน!E:E,"4",เรื่องร้องเรียน!N:N,"ภาษีเจริญ",เรื่องร้องเรียน!AN:AN,"หลักสอง",เรื่องร้องเรียน!AQ:AQ,"1",เรื่องร้องเรียน!CL:CL,"")</f>
        <v>0</v>
      </c>
      <c r="S202" s="157"/>
      <c r="T202" s="160">
        <f>SUM(O202:S202)</f>
        <v>0</v>
      </c>
      <c r="U202" s="184">
        <f>M202-N202-T202</f>
        <v>0</v>
      </c>
      <c r="W202" s="129">
        <f t="shared" si="55"/>
        <v>0</v>
      </c>
    </row>
    <row r="203" spans="1:23" ht="21.6" thickBot="1">
      <c r="A203" s="130" t="s">
        <v>116</v>
      </c>
      <c r="B203" s="169" t="s">
        <v>152</v>
      </c>
      <c r="C203" s="132">
        <f>SUM(C204:C207 )</f>
        <v>0</v>
      </c>
      <c r="D203" s="131">
        <f t="shared" ref="D203:T203" si="78">SUM(D204:D207 )</f>
        <v>0</v>
      </c>
      <c r="E203" s="131">
        <f t="shared" si="78"/>
        <v>0</v>
      </c>
      <c r="F203" s="131">
        <f t="shared" si="78"/>
        <v>0</v>
      </c>
      <c r="G203" s="131">
        <f t="shared" si="78"/>
        <v>0</v>
      </c>
      <c r="H203" s="131">
        <f t="shared" si="78"/>
        <v>0</v>
      </c>
      <c r="I203" s="131">
        <f t="shared" si="78"/>
        <v>0</v>
      </c>
      <c r="J203" s="131">
        <f t="shared" si="78"/>
        <v>0</v>
      </c>
      <c r="K203" s="131">
        <f t="shared" si="78"/>
        <v>0</v>
      </c>
      <c r="L203" s="131">
        <f t="shared" si="78"/>
        <v>0</v>
      </c>
      <c r="M203" s="131">
        <f t="shared" si="78"/>
        <v>0</v>
      </c>
      <c r="N203" s="163">
        <f t="shared" si="78"/>
        <v>0</v>
      </c>
      <c r="O203" s="132">
        <f t="shared" si="78"/>
        <v>0</v>
      </c>
      <c r="P203" s="131">
        <f t="shared" si="78"/>
        <v>0</v>
      </c>
      <c r="Q203" s="131">
        <f t="shared" si="78"/>
        <v>0</v>
      </c>
      <c r="R203" s="131">
        <f t="shared" si="78"/>
        <v>0</v>
      </c>
      <c r="S203" s="131">
        <f t="shared" si="78"/>
        <v>0</v>
      </c>
      <c r="T203" s="133">
        <f t="shared" si="78"/>
        <v>0</v>
      </c>
      <c r="U203" s="134">
        <f t="shared" si="62"/>
        <v>0</v>
      </c>
      <c r="W203" s="135">
        <f t="shared" si="55"/>
        <v>0</v>
      </c>
    </row>
    <row r="204" spans="1:23">
      <c r="A204" s="173"/>
      <c r="B204" s="170" t="s">
        <v>20</v>
      </c>
      <c r="C204" s="140"/>
      <c r="D204" s="138"/>
      <c r="E204" s="138"/>
      <c r="F204" s="138"/>
      <c r="G204" s="138"/>
      <c r="H204" s="138"/>
      <c r="I204" s="138"/>
      <c r="J204" s="138"/>
      <c r="K204" s="138">
        <f>COUNTIFS(เรื่องร้องเรียน!E:E,"5",เรื่องร้องเรียน!N:N,"มีนบุรี")</f>
        <v>0</v>
      </c>
      <c r="L204" s="138">
        <f>COUNTIFS(เรื่องร้องเรียน!E:E,"5",เรื่องร้องเรียน!N:N,"มีนบุรี",เรื่องร้องเรียน!CL:CL,"1")</f>
        <v>0</v>
      </c>
      <c r="M204" s="138">
        <f t="shared" ref="M204:N207" si="79">SUM(C204,E204,G204,I204,K204)</f>
        <v>0</v>
      </c>
      <c r="N204" s="139">
        <f t="shared" si="79"/>
        <v>0</v>
      </c>
      <c r="O204" s="140"/>
      <c r="P204" s="138"/>
      <c r="Q204" s="138"/>
      <c r="R204" s="138"/>
      <c r="S204" s="138">
        <f>COUNTIFS(เรื่องร้องเรียน!E:E,"5",เรื่องร้องเรียน!N:N,"มีนบุรี",เรื่องร้องเรียน!AQ:AQ,"1",เรื่องร้องเรียน!CL:CL,"")</f>
        <v>0</v>
      </c>
      <c r="T204" s="141">
        <f t="shared" si="65"/>
        <v>0</v>
      </c>
      <c r="U204" s="129">
        <f t="shared" si="62"/>
        <v>0</v>
      </c>
      <c r="W204" s="129">
        <f t="shared" si="55"/>
        <v>0</v>
      </c>
    </row>
    <row r="205" spans="1:23">
      <c r="A205" s="148"/>
      <c r="B205" s="171" t="s">
        <v>124</v>
      </c>
      <c r="C205" s="246">
        <f>COUNTIFS(เรื่องร้องเรียน!E:E,"1",เรื่องร้องเรียน!N:N,"มีนบุรี",เรื่องร้องเรียน!AN:AN,"ฉลองกรุง")</f>
        <v>0</v>
      </c>
      <c r="D205" s="109">
        <f>COUNTIFS(เรื่องร้องเรียน!E:E,"1",เรื่องร้องเรียน!N:N,"มีนบุรี",เรื่องร้องเรียน!AN:AN,"ฉลองกรุง",เรื่องร้องเรียน!CL:CL,"1")</f>
        <v>0</v>
      </c>
      <c r="E205" s="109">
        <f>COUNTIFS(เรื่องร้องเรียน!E:E,"2",เรื่องร้องเรียน!N:N,"มีนบุรี",เรื่องร้องเรียน!AN:AN,"ฉลองกรุง")</f>
        <v>0</v>
      </c>
      <c r="F205" s="109">
        <f>COUNTIFS(เรื่องร้องเรียน!E:E,"2",เรื่องร้องเรียน!N:N,"มีนบุรี",เรื่องร้องเรียน!AN:AN,"ฉลองกรุง",เรื่องร้องเรียน!CL:CL,"1")</f>
        <v>0</v>
      </c>
      <c r="G205" s="109">
        <f>COUNTIFS(เรื่องร้องเรียน!E:E,"3",เรื่องร้องเรียน!N:N,"มีนบุรี",เรื่องร้องเรียน!AN:AN,"ฉลองกรุง")</f>
        <v>0</v>
      </c>
      <c r="H205" s="109">
        <f>COUNTIFS(เรื่องร้องเรียน!E:E,"3",เรื่องร้องเรียน!N:N,"มีนบุรี",เรื่องร้องเรียน!AN:AN,"ฉลองกรุง",เรื่องร้องเรียน!CL:CL,"1")</f>
        <v>0</v>
      </c>
      <c r="I205" s="109">
        <f>COUNTIFS(เรื่องร้องเรียน!E:E,"4",เรื่องร้องเรียน!N:N,"มีนบุรี",เรื่องร้องเรียน!AN:AN,"ฉลองกรุง")</f>
        <v>0</v>
      </c>
      <c r="J205" s="144">
        <f>COUNTIFS(เรื่องร้องเรียน!E:E,"4",เรื่องร้องเรียน!N:N,"มีนบุรี",เรื่องร้องเรียน!AN:AN,"ฉลองกรุง",เรื่องร้องเรียน!CL:CL,"1")</f>
        <v>0</v>
      </c>
      <c r="K205" s="144"/>
      <c r="L205" s="144"/>
      <c r="M205" s="109">
        <f t="shared" si="79"/>
        <v>0</v>
      </c>
      <c r="N205" s="145">
        <f t="shared" si="79"/>
        <v>0</v>
      </c>
      <c r="O205" s="146">
        <f>COUNTIFS(เรื่องร้องเรียน!E:E,"1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P205" s="144">
        <f>COUNTIFS(เรื่องร้องเรียน!E:E,"2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Q205" s="144">
        <f>COUNTIFS(เรื่องร้องเรียน!E:E,"3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R205" s="144">
        <f>COUNTIFS(เรื่องร้องเรียน!E:E,"4",เรื่องร้องเรียน!N:N,"มีนบุรี",เรื่องร้องเรียน!AN:AN,"ฉลองกรุง",เรื่องร้องเรียน!AQ:AQ,"1",เรื่องร้องเรียน!CL:CL,"")</f>
        <v>0</v>
      </c>
      <c r="S205" s="144"/>
      <c r="T205" s="147">
        <f t="shared" si="65"/>
        <v>0</v>
      </c>
      <c r="U205" s="129">
        <f t="shared" si="62"/>
        <v>0</v>
      </c>
      <c r="W205" s="129">
        <f t="shared" si="55"/>
        <v>0</v>
      </c>
    </row>
    <row r="206" spans="1:23">
      <c r="A206" s="148"/>
      <c r="B206" s="171" t="s">
        <v>116</v>
      </c>
      <c r="C206" s="246">
        <f>COUNTIFS(เรื่องร้องเรียน!E:E,"1",เรื่องร้องเรียน!N:N,"มีนบุรี",เรื่องร้องเรียน!AN:AN,"มีนบุรี")</f>
        <v>0</v>
      </c>
      <c r="D206" s="109">
        <f>COUNTIFS(เรื่องร้องเรียน!E:E,"1",เรื่องร้องเรียน!N:N,"มีนบุรี",เรื่องร้องเรียน!AN:AN,"มีนบุรี",เรื่องร้องเรียน!CL:CL,"1")</f>
        <v>0</v>
      </c>
      <c r="E206" s="109">
        <f>COUNTIFS(เรื่องร้องเรียน!E:E,"2",เรื่องร้องเรียน!N:N,"มีนบุรี",เรื่องร้องเรียน!AN:AN,"มีนบุรี")</f>
        <v>0</v>
      </c>
      <c r="F206" s="109">
        <f>COUNTIFS(เรื่องร้องเรียน!E:E,"2",เรื่องร้องเรียน!N:N,"มีนบุรี",เรื่องร้องเรียน!AN:AN,"มีนบุรี",เรื่องร้องเรียน!CL:CL,"1")</f>
        <v>0</v>
      </c>
      <c r="G206" s="109">
        <f>COUNTIFS(เรื่องร้องเรียน!E:E,"3",เรื่องร้องเรียน!N:N,"มีนบุรี",เรื่องร้องเรียน!AN:AN,"มีนบุรี")</f>
        <v>0</v>
      </c>
      <c r="H206" s="109">
        <f>COUNTIFS(เรื่องร้องเรียน!E:E,"3",เรื่องร้องเรียน!N:N,"มีนบุรี",เรื่องร้องเรียน!AN:AN,"มีนบุรี",เรื่องร้องเรียน!CL:CL,"1")</f>
        <v>0</v>
      </c>
      <c r="I206" s="109">
        <f>COUNTIFS(เรื่องร้องเรียน!E:E,"4",เรื่องร้องเรียน!N:N,"มีนบุรี",เรื่องร้องเรียน!AN:AN,"มีนบุรี")</f>
        <v>0</v>
      </c>
      <c r="J206" s="144">
        <f>COUNTIFS(เรื่องร้องเรียน!E:E,"4",เรื่องร้องเรียน!N:N,"มีนบุรี",เรื่องร้องเรียน!AN:AN,"มีนบุรี",เรื่องร้องเรียน!CL:CL,"1")</f>
        <v>0</v>
      </c>
      <c r="K206" s="144"/>
      <c r="L206" s="144"/>
      <c r="M206" s="109">
        <f t="shared" si="79"/>
        <v>0</v>
      </c>
      <c r="N206" s="145">
        <f t="shared" si="79"/>
        <v>0</v>
      </c>
      <c r="O206" s="146">
        <f>COUNTIFS(เรื่องร้องเรียน!E:E,"1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P206" s="144">
        <f>COUNTIFS(เรื่องร้องเรียน!E:E,"2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Q206" s="144">
        <f>COUNTIFS(เรื่องร้องเรียน!E:E,"3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R206" s="144">
        <f>COUNTIFS(เรื่องร้องเรียน!E:E,"4",เรื่องร้องเรียน!N:N,"มีนบุรี",เรื่องร้องเรียน!AN:AN,"มีนบุรี",เรื่องร้องเรียน!AQ:AQ,"1",เรื่องร้องเรียน!CL:CL,"")</f>
        <v>0</v>
      </c>
      <c r="S206" s="144"/>
      <c r="T206" s="147">
        <f t="shared" si="65"/>
        <v>0</v>
      </c>
      <c r="U206" s="129">
        <f t="shared" si="62"/>
        <v>0</v>
      </c>
      <c r="W206" s="129">
        <f t="shared" si="55"/>
        <v>0</v>
      </c>
    </row>
    <row r="207" spans="1:23" ht="21.6" thickBot="1">
      <c r="A207" s="150"/>
      <c r="B207" s="177" t="s">
        <v>175</v>
      </c>
      <c r="C207" s="123">
        <f>COUNTIFS(เรื่องร้องเรียน!E:E,"1",เรื่องร้องเรียน!N:N,"มีนบุรี",เรื่องร้องเรียน!AN:AN,"ร่มเกล้า")</f>
        <v>0</v>
      </c>
      <c r="D207" s="117">
        <f>COUNTIFS(เรื่องร้องเรียน!E:E,"1",เรื่องร้องเรียน!N:N,"มีนบุรี",เรื่องร้องเรียน!AN:AN,"ร่มเกล้า",เรื่องร้องเรียน!CL:CL,"1")</f>
        <v>0</v>
      </c>
      <c r="E207" s="117">
        <f>COUNTIFS(เรื่องร้องเรียน!E:E,"2",เรื่องร้องเรียน!N:N,"มีนบุรี",เรื่องร้องเรียน!AN:AN,"ร่มเกล้า")</f>
        <v>0</v>
      </c>
      <c r="F207" s="117">
        <f>COUNTIFS(เรื่องร้องเรียน!E:E,"2",เรื่องร้องเรียน!N:N,"มีนบุรี",เรื่องร้องเรียน!AN:AN,"ร่มเกล้า",เรื่องร้องเรียน!CL:CL,"1")</f>
        <v>0</v>
      </c>
      <c r="G207" s="117">
        <f>COUNTIFS(เรื่องร้องเรียน!E:E,"3",เรื่องร้องเรียน!N:N,"มีนบุรี",เรื่องร้องเรียน!AN:AN,"ร่มเกล้า")</f>
        <v>0</v>
      </c>
      <c r="H207" s="117">
        <f>COUNTIFS(เรื่องร้องเรียน!E:E,"3",เรื่องร้องเรียน!N:N,"มีนบุรี",เรื่องร้องเรียน!AN:AN,"ร่มเกล้า",เรื่องร้องเรียน!CL:CL,"1")</f>
        <v>0</v>
      </c>
      <c r="I207" s="117">
        <f>COUNTIFS(เรื่องร้องเรียน!E:E,"4",เรื่องร้องเรียน!N:N,"มีนบุรี",เรื่องร้องเรียน!AN:AN,"ร่มเกล้า")</f>
        <v>0</v>
      </c>
      <c r="J207" s="152">
        <f>COUNTIFS(เรื่องร้องเรียน!E:E,"4",เรื่องร้องเรียน!N:N,"มีนบุรี",เรื่องร้องเรียน!AN:AN,"ร่มเกล้า",เรื่องร้องเรียน!CL:CL,"1")</f>
        <v>0</v>
      </c>
      <c r="K207" s="152"/>
      <c r="L207" s="152"/>
      <c r="M207" s="117">
        <f t="shared" si="79"/>
        <v>0</v>
      </c>
      <c r="N207" s="122">
        <f t="shared" si="79"/>
        <v>0</v>
      </c>
      <c r="O207" s="153">
        <f>COUNTIFS(เรื่องร้องเรียน!E:E,"1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P207" s="152">
        <f>COUNTIFS(เรื่องร้องเรียน!E:E,"2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Q207" s="152">
        <f>COUNTIFS(เรื่องร้องเรียน!E:E,"3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R207" s="152">
        <f>COUNTIFS(เรื่องร้องเรียน!E:E,"4",เรื่องร้องเรียน!N:N,"มีนบุรี",เรื่องร้องเรียน!AN:AN,"ร่มเกล้า",เรื่องร้องเรียน!AQ:AQ,"1",เรื่องร้องเรียน!CL:CL,"")</f>
        <v>0</v>
      </c>
      <c r="S207" s="152"/>
      <c r="T207" s="154">
        <f t="shared" si="65"/>
        <v>0</v>
      </c>
      <c r="U207" s="129">
        <f t="shared" si="62"/>
        <v>0</v>
      </c>
      <c r="W207" s="129">
        <f t="shared" si="55"/>
        <v>0</v>
      </c>
    </row>
    <row r="208" spans="1:23" ht="21.6" thickBot="1">
      <c r="A208" s="130" t="s">
        <v>80</v>
      </c>
      <c r="B208" s="169" t="s">
        <v>152</v>
      </c>
      <c r="C208" s="132">
        <f>SUM(C209:C212)</f>
        <v>0</v>
      </c>
      <c r="D208" s="131">
        <f t="shared" ref="D208:T208" si="80">SUM(D209:D212)</f>
        <v>0</v>
      </c>
      <c r="E208" s="131">
        <f t="shared" si="80"/>
        <v>0</v>
      </c>
      <c r="F208" s="131">
        <f t="shared" si="80"/>
        <v>0</v>
      </c>
      <c r="G208" s="131">
        <f t="shared" si="80"/>
        <v>0</v>
      </c>
      <c r="H208" s="131">
        <f t="shared" si="80"/>
        <v>0</v>
      </c>
      <c r="I208" s="131">
        <f t="shared" si="80"/>
        <v>0</v>
      </c>
      <c r="J208" s="131">
        <f t="shared" si="80"/>
        <v>0</v>
      </c>
      <c r="K208" s="131">
        <f t="shared" si="80"/>
        <v>0</v>
      </c>
      <c r="L208" s="131">
        <f t="shared" si="80"/>
        <v>0</v>
      </c>
      <c r="M208" s="131">
        <f t="shared" si="80"/>
        <v>0</v>
      </c>
      <c r="N208" s="163">
        <f t="shared" si="80"/>
        <v>0</v>
      </c>
      <c r="O208" s="132">
        <f t="shared" si="80"/>
        <v>0</v>
      </c>
      <c r="P208" s="132">
        <f t="shared" si="80"/>
        <v>0</v>
      </c>
      <c r="Q208" s="132">
        <f t="shared" si="80"/>
        <v>0</v>
      </c>
      <c r="R208" s="132">
        <f t="shared" si="80"/>
        <v>0</v>
      </c>
      <c r="S208" s="132">
        <f t="shared" si="80"/>
        <v>0</v>
      </c>
      <c r="T208" s="133">
        <f t="shared" si="80"/>
        <v>0</v>
      </c>
      <c r="U208" s="134">
        <f t="shared" si="62"/>
        <v>0</v>
      </c>
      <c r="W208" s="135">
        <f t="shared" ref="W208:W271" si="81">SUM(M208-N208)</f>
        <v>0</v>
      </c>
    </row>
    <row r="209" spans="1:23">
      <c r="A209" s="173"/>
      <c r="B209" s="170" t="s">
        <v>20</v>
      </c>
      <c r="C209" s="180"/>
      <c r="D209" s="178"/>
      <c r="E209" s="178"/>
      <c r="F209" s="178"/>
      <c r="G209" s="178"/>
      <c r="H209" s="178"/>
      <c r="I209" s="178"/>
      <c r="J209" s="178"/>
      <c r="K209" s="178">
        <f>COUNTIFS(เรื่องร้องเรียน!E:E,"5",เรื่องร้องเรียน!N:N,"ยานนาวา")</f>
        <v>0</v>
      </c>
      <c r="L209" s="178">
        <f>COUNTIFS(เรื่องร้องเรียน!E:E,"5",เรื่องร้องเรียน!N:N,"ยานนาวา",เรื่องร้องเรียน!CL:CL,"1")</f>
        <v>0</v>
      </c>
      <c r="M209" s="178">
        <f t="shared" ref="M209:N211" si="82">SUM(C209,E209,G209,I209,K209)</f>
        <v>0</v>
      </c>
      <c r="N209" s="179">
        <f t="shared" si="82"/>
        <v>0</v>
      </c>
      <c r="O209" s="180"/>
      <c r="P209" s="178"/>
      <c r="Q209" s="178"/>
      <c r="R209" s="178"/>
      <c r="S209" s="178">
        <f>COUNTIFS(เรื่องร้องเรียน!E:E,"5",เรื่องร้องเรียน!N:N,"ยานนาวา",เรื่องร้องเรียน!AQ:AQ,"1",เรื่องร้องเรียน!CL:CL,"")</f>
        <v>0</v>
      </c>
      <c r="T209" s="181">
        <f t="shared" si="65"/>
        <v>0</v>
      </c>
      <c r="U209" s="182">
        <f t="shared" si="62"/>
        <v>0</v>
      </c>
      <c r="V209" s="10" t="s">
        <v>104</v>
      </c>
      <c r="W209" s="129">
        <f t="shared" si="81"/>
        <v>0</v>
      </c>
    </row>
    <row r="210" spans="1:23">
      <c r="A210" s="148"/>
      <c r="B210" s="171" t="s">
        <v>142</v>
      </c>
      <c r="C210" s="246">
        <f>COUNTIFS(เรื่องร้องเรียน!E:E,"1",เรื่องร้องเรียน!N:N,"ยานนาวา",เรื่องร้องเรียน!AN:AN,"ทุ่งมหาเมฆ")</f>
        <v>0</v>
      </c>
      <c r="D210" s="109">
        <f>COUNTIFS(เรื่องร้องเรียน!E:E,"1",เรื่องร้องเรียน!N:N,"ยานนาวา",เรื่องร้องเรียน!AN:AN,"ทุ่งมหาเมฆ",เรื่องร้องเรียน!CL:CL,"1")</f>
        <v>0</v>
      </c>
      <c r="E210" s="109">
        <f>COUNTIFS(เรื่องร้องเรียน!E:E,"2",เรื่องร้องเรียน!N:N,"ยานนาวา",เรื่องร้องเรียน!AN:AN,"ทุ่งมหาเมฆ")</f>
        <v>0</v>
      </c>
      <c r="F210" s="109">
        <f>COUNTIFS(เรื่องร้องเรียน!E:E,"2",เรื่องร้องเรียน!N:N,"ยานนาวา",เรื่องร้องเรียน!AN:AN,"ทุ่งมหาเมฆ",เรื่องร้องเรียน!CL:CL,"1")</f>
        <v>0</v>
      </c>
      <c r="G210" s="109">
        <f>COUNTIFS(เรื่องร้องเรียน!E:E,"3",เรื่องร้องเรียน!N:N,"ยานนาวา",เรื่องร้องเรียน!AN:AN,"ทุ่งมหาเมฆ")</f>
        <v>0</v>
      </c>
      <c r="H210" s="109">
        <f>COUNTIFS(เรื่องร้องเรียน!E:E,"3",เรื่องร้องเรียน!N:N,"ยานนาวา",เรื่องร้องเรียน!AN:AN,"ทุ่งมหาเมฆ",เรื่องร้องเรียน!CL:CL,"1")</f>
        <v>0</v>
      </c>
      <c r="I210" s="109">
        <f>COUNTIFS(เรื่องร้องเรียน!E:E,"4",เรื่องร้องเรียน!N:N,"ยานนาวา",เรื่องร้องเรียน!AN:AN,"ทุ่งมหาเมฆ")</f>
        <v>0</v>
      </c>
      <c r="J210" s="144">
        <f>COUNTIFS(เรื่องร้องเรียน!E:E,"4",เรื่องร้องเรียน!N:N,"ยานนาวา",เรื่องร้องเรียน!AN:AN,"ทุ่งมหาเมฆ",เรื่องร้องเรียน!CL:CL,"1")</f>
        <v>0</v>
      </c>
      <c r="K210" s="144"/>
      <c r="L210" s="144"/>
      <c r="M210" s="109">
        <f t="shared" si="82"/>
        <v>0</v>
      </c>
      <c r="N210" s="145">
        <f t="shared" si="82"/>
        <v>0</v>
      </c>
      <c r="O210" s="146">
        <f>COUNTIFS(เรื่องร้องเรียน!E:E,"1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P210" s="144">
        <f>COUNTIFS(เรื่องร้องเรียน!E:E,"2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Q210" s="144">
        <f>COUNTIFS(เรื่องร้องเรียน!E:E,"3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R210" s="144">
        <f>COUNTIFS(เรื่องร้องเรียน!E:E,"4",เรื่องร้องเรียน!N:N,"ยานนาวา",เรื่องร้องเรียน!AN:AN,"ทุ่งมหาเมฆ",เรื่องร้องเรียน!AQ:AQ,"1",เรื่องร้องเรียน!CL:CL,"")</f>
        <v>0</v>
      </c>
      <c r="S210" s="144"/>
      <c r="T210" s="147">
        <f t="shared" si="65"/>
        <v>0</v>
      </c>
      <c r="U210" s="183">
        <f t="shared" si="62"/>
        <v>0</v>
      </c>
      <c r="W210" s="129">
        <f t="shared" si="81"/>
        <v>0</v>
      </c>
    </row>
    <row r="211" spans="1:23">
      <c r="A211" s="148"/>
      <c r="B211" s="171" t="s">
        <v>180</v>
      </c>
      <c r="C211" s="246">
        <f>COUNTIFS(เรื่องร้องเรียน!E:E,"1",เรื่องร้องเรียน!N:N,"ยานนาวา",เรื่องร้องเรียน!AN:AN,"บางโพงพาง")</f>
        <v>0</v>
      </c>
      <c r="D211" s="109">
        <f>COUNTIFS(เรื่องร้องเรียน!E:E,"1",เรื่องร้องเรียน!N:N,"ยานนาวา",เรื่องร้องเรียน!AN:AN,"บางโพงพาง",เรื่องร้องเรียน!CL:CL,"1")</f>
        <v>0</v>
      </c>
      <c r="E211" s="109">
        <f>COUNTIFS(เรื่องร้องเรียน!E:E,"2",เรื่องร้องเรียน!N:N,"ยานนาวา",เรื่องร้องเรียน!AN:AN,"บางโพงพาง")</f>
        <v>0</v>
      </c>
      <c r="F211" s="109">
        <f>COUNTIFS(เรื่องร้องเรียน!E:E,"2",เรื่องร้องเรียน!N:N,"ยานนาวา",เรื่องร้องเรียน!AN:AN,"บางโพงพาง",เรื่องร้องเรียน!CL:CL,"1")</f>
        <v>0</v>
      </c>
      <c r="G211" s="109">
        <f>COUNTIFS(เรื่องร้องเรียน!E:E,"3",เรื่องร้องเรียน!N:N,"ยานนาวา",เรื่องร้องเรียน!AN:AN,"บางโพงพาง")</f>
        <v>0</v>
      </c>
      <c r="H211" s="109">
        <f>COUNTIFS(เรื่องร้องเรียน!E:E,"3",เรื่องร้องเรียน!N:N,"ยานนาวา",เรื่องร้องเรียน!AN:AN,"บางโพงพาง",เรื่องร้องเรียน!CL:CL,"1")</f>
        <v>0</v>
      </c>
      <c r="I211" s="109">
        <f>COUNTIFS(เรื่องร้องเรียน!E:E,"4",เรื่องร้องเรียน!N:N,"ยานนาวา",เรื่องร้องเรียน!AN:AN,"บางโพงพาง")</f>
        <v>0</v>
      </c>
      <c r="J211" s="144">
        <f>COUNTIFS(เรื่องร้องเรียน!E:E,"4",เรื่องร้องเรียน!N:N,"ยานนาวา",เรื่องร้องเรียน!AN:AN,"บางโพงพาง",เรื่องร้องเรียน!CL:CL,"1")</f>
        <v>0</v>
      </c>
      <c r="K211" s="144"/>
      <c r="L211" s="144"/>
      <c r="M211" s="109">
        <f t="shared" si="82"/>
        <v>0</v>
      </c>
      <c r="N211" s="145">
        <f t="shared" si="82"/>
        <v>0</v>
      </c>
      <c r="O211" s="146">
        <f>COUNTIFS(เรื่องร้องเรียน!E:E,"1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P211" s="144">
        <f>COUNTIFS(เรื่องร้องเรียน!E:E,"2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Q211" s="144">
        <f>COUNTIFS(เรื่องร้องเรียน!E:E,"3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R211" s="144">
        <f>COUNTIFS(เรื่องร้องเรียน!E:E,"4",เรื่องร้องเรียน!N:N,"ยานนาวา",เรื่องร้องเรียน!AN:AN,"บางโพงพาง",เรื่องร้องเรียน!AQ:AQ,"1",เรื่องร้องเรียน!CL:CL,"")</f>
        <v>0</v>
      </c>
      <c r="S211" s="144"/>
      <c r="T211" s="147">
        <f t="shared" si="65"/>
        <v>0</v>
      </c>
      <c r="U211" s="183">
        <f t="shared" si="62"/>
        <v>0</v>
      </c>
      <c r="W211" s="129">
        <f t="shared" si="81"/>
        <v>0</v>
      </c>
    </row>
    <row r="212" spans="1:23" ht="21.6" thickBot="1">
      <c r="A212" s="174"/>
      <c r="B212" s="172" t="s">
        <v>104</v>
      </c>
      <c r="C212" s="231">
        <f>COUNTIFS(เรื่องร้องเรียน!E:E,"1",เรื่องร้องเรียน!N:N,"ยานนาวา",เรื่องร้องเรียน!AN:AN,"วัดพระยาไกร")</f>
        <v>0</v>
      </c>
      <c r="D212" s="124">
        <f>COUNTIFS(เรื่องร้องเรียน!E:E,"1",เรื่องร้องเรียน!N:N,"ยานนาวา",เรื่องร้องเรียน!AN:AN,"วัดพระยาไกร",เรื่องร้องเรียน!CL:CL,"1")</f>
        <v>0</v>
      </c>
      <c r="E212" s="124">
        <f>COUNTIFS(เรื่องร้องเรียน!E:E,"2",เรื่องร้องเรียน!N:N,"ยานนาวา",เรื่องร้องเรียน!AN:AN,"วัดพระยาไกร")</f>
        <v>0</v>
      </c>
      <c r="F212" s="124">
        <f>COUNTIFS(เรื่องร้องเรียน!E:E,"2",เรื่องร้องเรียน!N:N,"ยานนาวา",เรื่องร้องเรียน!AN:AN,"วัดพระยาไกร",เรื่องร้องเรียน!CL:CL,"1")</f>
        <v>0</v>
      </c>
      <c r="G212" s="124">
        <f>COUNTIFS(เรื่องร้องเรียน!E:E,"3",เรื่องร้องเรียน!N:N,"ยานนาวา",เรื่องร้องเรียน!AN:AN,"วัดพระยาไกร")</f>
        <v>0</v>
      </c>
      <c r="H212" s="124">
        <f>COUNTIFS(เรื่องร้องเรียน!E:E,"3",เรื่องร้องเรียน!N:N,"ยานนาวา",เรื่องร้องเรียน!AN:AN,"วัดพระยาไกร",เรื่องร้องเรียน!CL:CL,"1")</f>
        <v>0</v>
      </c>
      <c r="I212" s="124">
        <f>COUNTIFS(เรื่องร้องเรียน!E:E,"4",เรื่องร้องเรียน!N:N,"ยานนาวา",เรื่องร้องเรียน!AN:AN,"วัดพระยาไกร")</f>
        <v>0</v>
      </c>
      <c r="J212" s="157">
        <f>COUNTIFS(เรื่องร้องเรียน!E:E,"4",เรื่องร้องเรียน!N:N,"ยานนาวา",เรื่องร้องเรียน!AN:AN,"วัดพระยาไกร",เรื่องร้องเรียน!CL:CL,"1")</f>
        <v>0</v>
      </c>
      <c r="K212" s="157"/>
      <c r="L212" s="157"/>
      <c r="M212" s="124">
        <f>SUM(C212,E212,G212,I212,K212)</f>
        <v>0</v>
      </c>
      <c r="N212" s="158">
        <f>SUM(D212,F212,H212,J212,L212)</f>
        <v>0</v>
      </c>
      <c r="O212" s="159">
        <f>COUNTIFS(เรื่องร้องเรียน!E:E,"1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P212" s="157">
        <f>COUNTIFS(เรื่องร้องเรียน!E:E,"2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Q212" s="157">
        <f>COUNTIFS(เรื่องร้องเรียน!E:E,"3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R212" s="157">
        <f>COUNTIFS(เรื่องร้องเรียน!E:E,"4",เรื่องร้องเรียน!N:N,"ยานนาวา",เรื่องร้องเรียน!AN:AN,"วัดพระยาไกร",เรื่องร้องเรียน!AQ:AQ,"1",เรื่องร้องเรียน!CL:CL,"")</f>
        <v>0</v>
      </c>
      <c r="S212" s="157"/>
      <c r="T212" s="160">
        <f>SUM(O212:S212)</f>
        <v>0</v>
      </c>
      <c r="U212" s="184">
        <f>M212-N212-T212</f>
        <v>0</v>
      </c>
      <c r="W212" s="129">
        <f t="shared" si="81"/>
        <v>0</v>
      </c>
    </row>
    <row r="213" spans="1:23" ht="21.6" thickBot="1">
      <c r="A213" s="130" t="s">
        <v>114</v>
      </c>
      <c r="B213" s="169" t="s">
        <v>152</v>
      </c>
      <c r="C213" s="132">
        <f>SUM(C214:C218)</f>
        <v>0</v>
      </c>
      <c r="D213" s="131">
        <f t="shared" ref="D213:T213" si="83">SUM(D214:D218)</f>
        <v>0</v>
      </c>
      <c r="E213" s="131">
        <f t="shared" si="83"/>
        <v>0</v>
      </c>
      <c r="F213" s="131">
        <f t="shared" si="83"/>
        <v>0</v>
      </c>
      <c r="G213" s="131">
        <f t="shared" si="83"/>
        <v>0</v>
      </c>
      <c r="H213" s="131">
        <f t="shared" si="83"/>
        <v>0</v>
      </c>
      <c r="I213" s="131">
        <f t="shared" si="83"/>
        <v>0</v>
      </c>
      <c r="J213" s="131">
        <f t="shared" si="83"/>
        <v>0</v>
      </c>
      <c r="K213" s="131">
        <f t="shared" si="83"/>
        <v>0</v>
      </c>
      <c r="L213" s="131">
        <f t="shared" si="83"/>
        <v>0</v>
      </c>
      <c r="M213" s="131">
        <f t="shared" si="83"/>
        <v>0</v>
      </c>
      <c r="N213" s="163">
        <f t="shared" si="83"/>
        <v>0</v>
      </c>
      <c r="O213" s="132">
        <f t="shared" si="83"/>
        <v>0</v>
      </c>
      <c r="P213" s="132">
        <f t="shared" si="83"/>
        <v>0</v>
      </c>
      <c r="Q213" s="132">
        <f t="shared" si="83"/>
        <v>0</v>
      </c>
      <c r="R213" s="132">
        <f t="shared" si="83"/>
        <v>0</v>
      </c>
      <c r="S213" s="132">
        <f t="shared" si="83"/>
        <v>0</v>
      </c>
      <c r="T213" s="133">
        <f t="shared" si="83"/>
        <v>0</v>
      </c>
      <c r="U213" s="134">
        <f t="shared" si="62"/>
        <v>0</v>
      </c>
      <c r="W213" s="135">
        <f t="shared" si="81"/>
        <v>0</v>
      </c>
    </row>
    <row r="214" spans="1:23">
      <c r="A214" s="173"/>
      <c r="B214" s="170" t="s">
        <v>20</v>
      </c>
      <c r="C214" s="180"/>
      <c r="D214" s="178"/>
      <c r="E214" s="178"/>
      <c r="F214" s="178"/>
      <c r="G214" s="178"/>
      <c r="H214" s="178"/>
      <c r="I214" s="178"/>
      <c r="J214" s="178"/>
      <c r="K214" s="178">
        <f>COUNTIFS(เรื่องร้องเรียน!E:E,"5",เรื่องร้องเรียน!N:N,"ราชเทวี")</f>
        <v>0</v>
      </c>
      <c r="L214" s="178">
        <f>COUNTIFS(เรื่องร้องเรียน!E:E,"5",เรื่องร้องเรียน!N:N,"ราชเทวี",เรื่องร้องเรียน!CL:CL,"1")</f>
        <v>0</v>
      </c>
      <c r="M214" s="178">
        <f t="shared" ref="M214:N217" si="84">SUM(C214,E214,G214,I214,K214)</f>
        <v>0</v>
      </c>
      <c r="N214" s="179">
        <f t="shared" si="84"/>
        <v>0</v>
      </c>
      <c r="O214" s="180"/>
      <c r="P214" s="178"/>
      <c r="Q214" s="178"/>
      <c r="R214" s="178"/>
      <c r="S214" s="178">
        <f>COUNTIFS(เรื่องร้องเรียน!E:E,"5",เรื่องร้องเรียน!N:N,"ราชเทวี",เรื่องร้องเรียน!AQ:AQ,"1",เรื่องร้องเรียน!CL:CL,"")</f>
        <v>0</v>
      </c>
      <c r="T214" s="181">
        <f t="shared" si="65"/>
        <v>0</v>
      </c>
      <c r="U214" s="182">
        <f t="shared" si="62"/>
        <v>0</v>
      </c>
      <c r="V214" s="10" t="s">
        <v>169</v>
      </c>
      <c r="W214" s="129">
        <f t="shared" si="81"/>
        <v>0</v>
      </c>
    </row>
    <row r="215" spans="1:23">
      <c r="A215" s="148"/>
      <c r="B215" s="171" t="s">
        <v>86</v>
      </c>
      <c r="C215" s="246">
        <f>COUNTIFS(เรื่องร้องเรียน!E:E,"1",เรื่องร้องเรียน!N:N,"ราชเทวี",เรื่องร้องเรียน!AN:AN,"ดินแดง")</f>
        <v>0</v>
      </c>
      <c r="D215" s="109">
        <f>COUNTIFS(เรื่องร้องเรียน!E:E,"1",เรื่องร้องเรียน!N:N,"ราชเทวี",เรื่องร้องเรียน!AN:AN,"ดินแดง",เรื่องร้องเรียน!CL:CL,"1")</f>
        <v>0</v>
      </c>
      <c r="E215" s="109">
        <f>COUNTIFS(เรื่องร้องเรียน!E:E,"2",เรื่องร้องเรียน!N:N,"ราชเทวี",เรื่องร้องเรียน!AN:AN,"ดินแดง")</f>
        <v>0</v>
      </c>
      <c r="F215" s="109">
        <f>COUNTIFS(เรื่องร้องเรียน!E:E,"2",เรื่องร้องเรียน!N:N,"ราชเทวี",เรื่องร้องเรียน!AN:AN,"ดินแดง",เรื่องร้องเรียน!CL:CL,"1")</f>
        <v>0</v>
      </c>
      <c r="G215" s="109">
        <f>COUNTIFS(เรื่องร้องเรียน!E:E,"3",เรื่องร้องเรียน!N:N,"ราชเทวี",เรื่องร้องเรียน!AN:AN,"ดินแดง")</f>
        <v>0</v>
      </c>
      <c r="H215" s="109">
        <f>COUNTIFS(เรื่องร้องเรียน!E:E,"3",เรื่องร้องเรียน!N:N,"ราชเทวี",เรื่องร้องเรียน!AN:AN,"ดินแดง",เรื่องร้องเรียน!CL:CL,"1")</f>
        <v>0</v>
      </c>
      <c r="I215" s="109">
        <f>COUNTIFS(เรื่องร้องเรียน!E:E,"4",เรื่องร้องเรียน!N:N,"ราชเทวี",เรื่องร้องเรียน!AN:AN,"ดินแดง")</f>
        <v>0</v>
      </c>
      <c r="J215" s="144">
        <f>COUNTIFS(เรื่องร้องเรียน!E:E,"4",เรื่องร้องเรียน!N:N,"ราชเทวี",เรื่องร้องเรียน!AN:AN,"ดินแดง",เรื่องร้องเรียน!CL:CL,"1")</f>
        <v>0</v>
      </c>
      <c r="K215" s="144"/>
      <c r="L215" s="144"/>
      <c r="M215" s="109">
        <f t="shared" si="84"/>
        <v>0</v>
      </c>
      <c r="N215" s="145">
        <f t="shared" si="84"/>
        <v>0</v>
      </c>
      <c r="O215" s="146">
        <f>COUNTIFS(เรื่องร้องเรียน!E:E,"1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P215" s="144">
        <f>COUNTIFS(เรื่องร้องเรียน!E:E,"2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Q215" s="144">
        <f>COUNTIFS(เรื่องร้องเรียน!E:E,"3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R215" s="144">
        <f>COUNTIFS(เรื่องร้องเรียน!E:E,"4",เรื่องร้องเรียน!N:N,"ราชเทวี",เรื่องร้องเรียน!AN:AN,"ดินแดง",เรื่องร้องเรียน!AQ:AQ,"1",เรื่องร้องเรียน!CL:CL,"")</f>
        <v>0</v>
      </c>
      <c r="S215" s="144"/>
      <c r="T215" s="147">
        <f t="shared" si="65"/>
        <v>0</v>
      </c>
      <c r="U215" s="183">
        <f t="shared" si="62"/>
        <v>0</v>
      </c>
      <c r="W215" s="129">
        <f t="shared" si="81"/>
        <v>0</v>
      </c>
    </row>
    <row r="216" spans="1:23">
      <c r="A216" s="148"/>
      <c r="B216" s="171" t="s">
        <v>89</v>
      </c>
      <c r="C216" s="246">
        <f>COUNTIFS(เรื่องร้องเรียน!E:E,"1",เรื่องร้องเรียน!N:N,"ราชเทวี",เรื่องร้องเรียน!AN:AN,"พญาไท")</f>
        <v>0</v>
      </c>
      <c r="D216" s="109">
        <f>COUNTIFS(เรื่องร้องเรียน!E:E,"1",เรื่องร้องเรียน!N:N,"ราชเทวี",เรื่องร้องเรียน!AN:AN,"พญาไท",เรื่องร้องเรียน!CL:CL,"1")</f>
        <v>0</v>
      </c>
      <c r="E216" s="109">
        <f>COUNTIFS(เรื่องร้องเรียน!E:E,"2",เรื่องร้องเรียน!N:N,"ราชเทวี",เรื่องร้องเรียน!AN:AN,"พญาไท")</f>
        <v>0</v>
      </c>
      <c r="F216" s="109">
        <f>COUNTIFS(เรื่องร้องเรียน!E:E,"2",เรื่องร้องเรียน!N:N,"ราชเทวี",เรื่องร้องเรียน!AN:AN,"พญาไท",เรื่องร้องเรียน!CL:CL,"1")</f>
        <v>0</v>
      </c>
      <c r="G216" s="109">
        <f>COUNTIFS(เรื่องร้องเรียน!E:E,"3",เรื่องร้องเรียน!N:N,"ราชเทวี",เรื่องร้องเรียน!AN:AN,"พญาไท")</f>
        <v>0</v>
      </c>
      <c r="H216" s="109">
        <f>COUNTIFS(เรื่องร้องเรียน!E:E,"3",เรื่องร้องเรียน!N:N,"ราชเทวี",เรื่องร้องเรียน!AN:AN,"พญาไท",เรื่องร้องเรียน!CL:CL,"1")</f>
        <v>0</v>
      </c>
      <c r="I216" s="109">
        <f>COUNTIFS(เรื่องร้องเรียน!E:E,"4",เรื่องร้องเรียน!N:N,"ราชเทวี",เรื่องร้องเรียน!AN:AN,"พญาไท")</f>
        <v>0</v>
      </c>
      <c r="J216" s="144">
        <f>COUNTIFS(เรื่องร้องเรียน!E:E,"4",เรื่องร้องเรียน!N:N,"ราชเทวี",เรื่องร้องเรียน!AN:AN,"พญาไท",เรื่องร้องเรียน!CL:CL,"1")</f>
        <v>0</v>
      </c>
      <c r="K216" s="144"/>
      <c r="L216" s="144"/>
      <c r="M216" s="109">
        <f t="shared" si="84"/>
        <v>0</v>
      </c>
      <c r="N216" s="145">
        <f t="shared" si="84"/>
        <v>0</v>
      </c>
      <c r="O216" s="146">
        <f>COUNTIFS(เรื่องร้องเรียน!E:E,"1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P216" s="144">
        <f>COUNTIFS(เรื่องร้องเรียน!E:E,"2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Q216" s="144">
        <f>COUNTIFS(เรื่องร้องเรียน!E:E,"3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R216" s="144">
        <f>COUNTIFS(เรื่องร้องเรียน!E:E,"4",เรื่องร้องเรียน!N:N,"ราชเทวี",เรื่องร้องเรียน!AN:AN,"พญาไท",เรื่องร้องเรียน!AQ:AQ,"1",เรื่องร้องเรียน!CL:CL,"")</f>
        <v>0</v>
      </c>
      <c r="S216" s="144"/>
      <c r="T216" s="147">
        <f t="shared" si="65"/>
        <v>0</v>
      </c>
      <c r="U216" s="183">
        <f t="shared" si="62"/>
        <v>0</v>
      </c>
      <c r="W216" s="129">
        <f t="shared" si="81"/>
        <v>0</v>
      </c>
    </row>
    <row r="217" spans="1:23">
      <c r="A217" s="148"/>
      <c r="B217" s="171" t="s">
        <v>170</v>
      </c>
      <c r="C217" s="246">
        <f>COUNTIFS(เรื่องร้องเรียน!E:E,"1",เรื่องร้องเรียน!N:N,"ราชเทวี",เรื่องร้องเรียน!AN:AN,"มักกะสัน")</f>
        <v>0</v>
      </c>
      <c r="D217" s="109">
        <f>COUNTIFS(เรื่องร้องเรียน!E:E,"1",เรื่องร้องเรียน!N:N,"ราชเทวี",เรื่องร้องเรียน!AN:AN,"มักกะสัน",เรื่องร้องเรียน!CL:CL,"1")</f>
        <v>0</v>
      </c>
      <c r="E217" s="109">
        <f>COUNTIFS(เรื่องร้องเรียน!E:E,"2",เรื่องร้องเรียน!N:N,"ราชเทวี",เรื่องร้องเรียน!AN:AN,"มักกะสัน")</f>
        <v>0</v>
      </c>
      <c r="F217" s="109">
        <f>COUNTIFS(เรื่องร้องเรียน!E:E,"2",เรื่องร้องเรียน!N:N,"ราชเทวี",เรื่องร้องเรียน!AN:AN,"มักกะสัน",เรื่องร้องเรียน!CL:CL,"1")</f>
        <v>0</v>
      </c>
      <c r="G217" s="109">
        <f>COUNTIFS(เรื่องร้องเรียน!E:E,"3",เรื่องร้องเรียน!N:N,"ราชเทวี",เรื่องร้องเรียน!AN:AN,"มักกะสัน")</f>
        <v>0</v>
      </c>
      <c r="H217" s="109">
        <f>COUNTIFS(เรื่องร้องเรียน!E:E,"3",เรื่องร้องเรียน!N:N,"ราชเทวี",เรื่องร้องเรียน!AN:AN,"มักกะสัน",เรื่องร้องเรียน!CL:CL,"1")</f>
        <v>0</v>
      </c>
      <c r="I217" s="109">
        <f>COUNTIFS(เรื่องร้องเรียน!E:E,"4",เรื่องร้องเรียน!N:N,"ราชเทวี",เรื่องร้องเรียน!AN:AN,"มักกะสัน")</f>
        <v>0</v>
      </c>
      <c r="J217" s="144">
        <f>COUNTIFS(เรื่องร้องเรียน!E:E,"4",เรื่องร้องเรียน!N:N,"ราชเทวี",เรื่องร้องเรียน!AN:AN,"มักกะสัน",เรื่องร้องเรียน!CL:CL,"1")</f>
        <v>0</v>
      </c>
      <c r="K217" s="144"/>
      <c r="L217" s="144"/>
      <c r="M217" s="109">
        <f t="shared" si="84"/>
        <v>0</v>
      </c>
      <c r="N217" s="145">
        <f t="shared" si="84"/>
        <v>0</v>
      </c>
      <c r="O217" s="146">
        <f>COUNTIFS(เรื่องร้องเรียน!E:E,"1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P217" s="144">
        <f>COUNTIFS(เรื่องร้องเรียน!E:E,"2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Q217" s="144">
        <f>COUNTIFS(เรื่องร้องเรียน!E:E,"3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R217" s="144">
        <f>COUNTIFS(เรื่องร้องเรียน!E:E,"4",เรื่องร้องเรียน!N:N,"ราชเทวี",เรื่องร้องเรียน!AN:AN,"มักกะสัน",เรื่องร้องเรียน!AQ:AQ,"1",เรื่องร้องเรียน!CL:CL,"")</f>
        <v>0</v>
      </c>
      <c r="S217" s="144"/>
      <c r="T217" s="147">
        <f t="shared" si="65"/>
        <v>0</v>
      </c>
      <c r="U217" s="183">
        <f t="shared" si="62"/>
        <v>0</v>
      </c>
      <c r="W217" s="129">
        <f t="shared" si="81"/>
        <v>0</v>
      </c>
    </row>
    <row r="218" spans="1:23" ht="21.6" thickBot="1">
      <c r="A218" s="174"/>
      <c r="B218" s="172" t="s">
        <v>169</v>
      </c>
      <c r="C218" s="231">
        <f>COUNTIFS(เรื่องร้องเรียน!E:E,"1",เรื่องร้องเรียน!N:N,"ราชเทวี",เรื่องร้องเรียน!AN:AN,"นางเลิ้ง")</f>
        <v>0</v>
      </c>
      <c r="D218" s="124">
        <f>COUNTIFS(เรื่องร้องเรียน!E:E,"1",เรื่องร้องเรียน!N:N,"ราชเทวี",เรื่องร้องเรียน!AN:AN,"นางเลิ้ง",เรื่องร้องเรียน!CL:CL,"1")</f>
        <v>0</v>
      </c>
      <c r="E218" s="124">
        <f>COUNTIFS(เรื่องร้องเรียน!E:E,"2",เรื่องร้องเรียน!N:N,"ราชเทวี",เรื่องร้องเรียน!AN:AN,"นางเลิ้ง")</f>
        <v>0</v>
      </c>
      <c r="F218" s="124">
        <f>COUNTIFS(เรื่องร้องเรียน!E:E,"2",เรื่องร้องเรียน!N:N,"ราชเทวี",เรื่องร้องเรียน!AN:AN,"นางเลิ้ง",เรื่องร้องเรียน!CL:CL,"1")</f>
        <v>0</v>
      </c>
      <c r="G218" s="124">
        <f>COUNTIFS(เรื่องร้องเรียน!E:E,"3",เรื่องร้องเรียน!N:N,"ราชเทวี",เรื่องร้องเรียน!AN:AN,"นางเลิ้ง")</f>
        <v>0</v>
      </c>
      <c r="H218" s="124">
        <f>COUNTIFS(เรื่องร้องเรียน!E:E,"3",เรื่องร้องเรียน!N:N,"ราชเทวี",เรื่องร้องเรียน!AN:AN,"นางเลิ้ง",เรื่องร้องเรียน!CL:CL,"1")</f>
        <v>0</v>
      </c>
      <c r="I218" s="124">
        <f>COUNTIFS(เรื่องร้องเรียน!E:E,"4",เรื่องร้องเรียน!N:N,"ราชเทวี",เรื่องร้องเรียน!AN:AN,"นางเลิ้ง")</f>
        <v>0</v>
      </c>
      <c r="J218" s="157">
        <f>COUNTIFS(เรื่องร้องเรียน!E:E,"4",เรื่องร้องเรียน!N:N,"ราชเทวี",เรื่องร้องเรียน!AN:AN,"นางเลิ้ง",เรื่องร้องเรียน!CL:CL,"1")</f>
        <v>0</v>
      </c>
      <c r="K218" s="157"/>
      <c r="L218" s="157"/>
      <c r="M218" s="124">
        <f>SUM(C218,E218,G218,I218,K218)</f>
        <v>0</v>
      </c>
      <c r="N218" s="158">
        <f>SUM(D218,F218,H218,J218,L218)</f>
        <v>0</v>
      </c>
      <c r="O218" s="159">
        <f>COUNTIFS(เรื่องร้องเรียน!E:E,"1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P218" s="157">
        <f>COUNTIFS(เรื่องร้องเรียน!E:E,"2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Q218" s="157">
        <f>COUNTIFS(เรื่องร้องเรียน!E:E,"3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R218" s="157">
        <f>COUNTIFS(เรื่องร้องเรียน!E:E,"4",เรื่องร้องเรียน!N:N,"ราชเทวี",เรื่องร้องเรียน!AN:AN,"นางเลิ้ง",เรื่องร้องเรียน!AQ:AQ,"1",เรื่องร้องเรียน!CL:CL,"")</f>
        <v>0</v>
      </c>
      <c r="S218" s="157"/>
      <c r="T218" s="160">
        <f>SUM(O218:S218)</f>
        <v>0</v>
      </c>
      <c r="U218" s="184">
        <f>M218-N218-T218</f>
        <v>0</v>
      </c>
      <c r="W218" s="129">
        <f t="shared" si="81"/>
        <v>0</v>
      </c>
    </row>
    <row r="219" spans="1:23" ht="21.6" thickBot="1">
      <c r="A219" s="168" t="s">
        <v>113</v>
      </c>
      <c r="B219" s="166" t="s">
        <v>152</v>
      </c>
      <c r="C219" s="132">
        <f>SUM(C220:C224)</f>
        <v>0</v>
      </c>
      <c r="D219" s="131">
        <f t="shared" ref="D219:T219" si="85">SUM(D220:D224)</f>
        <v>0</v>
      </c>
      <c r="E219" s="131">
        <f t="shared" si="85"/>
        <v>0</v>
      </c>
      <c r="F219" s="131">
        <f t="shared" si="85"/>
        <v>0</v>
      </c>
      <c r="G219" s="131">
        <f t="shared" si="85"/>
        <v>0</v>
      </c>
      <c r="H219" s="131">
        <f t="shared" si="85"/>
        <v>0</v>
      </c>
      <c r="I219" s="131">
        <f t="shared" si="85"/>
        <v>0</v>
      </c>
      <c r="J219" s="131">
        <f t="shared" si="85"/>
        <v>0</v>
      </c>
      <c r="K219" s="131">
        <f t="shared" si="85"/>
        <v>0</v>
      </c>
      <c r="L219" s="131">
        <f t="shared" si="85"/>
        <v>0</v>
      </c>
      <c r="M219" s="131">
        <f t="shared" si="85"/>
        <v>0</v>
      </c>
      <c r="N219" s="163">
        <f t="shared" si="85"/>
        <v>0</v>
      </c>
      <c r="O219" s="186">
        <f t="shared" si="85"/>
        <v>0</v>
      </c>
      <c r="P219" s="186">
        <f t="shared" si="85"/>
        <v>0</v>
      </c>
      <c r="Q219" s="186">
        <f t="shared" si="85"/>
        <v>0</v>
      </c>
      <c r="R219" s="186">
        <f t="shared" si="85"/>
        <v>0</v>
      </c>
      <c r="S219" s="186">
        <f t="shared" si="85"/>
        <v>0</v>
      </c>
      <c r="T219" s="133">
        <f t="shared" si="85"/>
        <v>0</v>
      </c>
      <c r="U219" s="134">
        <f t="shared" si="62"/>
        <v>0</v>
      </c>
      <c r="W219" s="135">
        <f t="shared" si="81"/>
        <v>0</v>
      </c>
    </row>
    <row r="220" spans="1:23">
      <c r="A220" s="173"/>
      <c r="B220" s="170" t="s">
        <v>20</v>
      </c>
      <c r="C220" s="180"/>
      <c r="D220" s="178"/>
      <c r="E220" s="178"/>
      <c r="F220" s="178"/>
      <c r="G220" s="178"/>
      <c r="H220" s="178"/>
      <c r="I220" s="178"/>
      <c r="J220" s="178"/>
      <c r="K220" s="178">
        <f>COUNTIFS(เรื่องร้องเรียน!E:E,"5",เรื่องร้องเรียน!N:N,"ราษฎร์บูรณะ")</f>
        <v>0</v>
      </c>
      <c r="L220" s="178">
        <f>COUNTIFS(เรื่องร้องเรียน!E:E,"5",เรื่องร้องเรียน!N:N,"ราษฎร์บูรณะ",เรื่องร้องเรียน!CL:CL,"1")</f>
        <v>0</v>
      </c>
      <c r="M220" s="178">
        <f t="shared" ref="M220:N222" si="86">SUM(C220,E220,G220,I220,K220)</f>
        <v>0</v>
      </c>
      <c r="N220" s="179">
        <f t="shared" si="86"/>
        <v>0</v>
      </c>
      <c r="O220" s="180"/>
      <c r="P220" s="178"/>
      <c r="Q220" s="178"/>
      <c r="R220" s="178"/>
      <c r="S220" s="178">
        <f>COUNTIFS(เรื่องร้องเรียน!E:E,"5",เรื่องร้องเรียน!N:N,"ราษฎร์บูรณะ",เรื่องร้องเรียน!AQ:AQ,"1",เรื่องร้องเรียน!CL:CL,"")</f>
        <v>0</v>
      </c>
      <c r="T220" s="181">
        <f t="shared" si="65"/>
        <v>0</v>
      </c>
      <c r="U220" s="182">
        <f t="shared" si="62"/>
        <v>0</v>
      </c>
      <c r="W220" s="129">
        <f t="shared" si="81"/>
        <v>0</v>
      </c>
    </row>
    <row r="221" spans="1:23">
      <c r="A221" s="148"/>
      <c r="B221" s="171" t="s">
        <v>196</v>
      </c>
      <c r="C221" s="246">
        <f>COUNTIFS(เรื่องร้องเรียน!E:E,"1",เรื่องร้องเรียน!N:N,"ราษฎร์บูรณะ",เรื่องร้องเรียน!AN:AN,"บุคคโล")</f>
        <v>0</v>
      </c>
      <c r="D221" s="109">
        <f>COUNTIFS(เรื่องร้องเรียน!E:E,"1",เรื่องร้องเรียน!N:N,"ราษฎร์บูรณะ",เรื่องร้องเรียน!AN:AN,"บุคคโล",เรื่องร้องเรียน!CL:CL,"1")</f>
        <v>0</v>
      </c>
      <c r="E221" s="109">
        <f>COUNTIFS(เรื่องร้องเรียน!E:E,"2",เรื่องร้องเรียน!N:N,"ราษฎร์บูรณะ",เรื่องร้องเรียน!AN:AN,"บุคคโล")</f>
        <v>0</v>
      </c>
      <c r="F221" s="109">
        <f>COUNTIFS(เรื่องร้องเรียน!E:E,"2",เรื่องร้องเรียน!N:N,"ราษฎร์บูรณะ",เรื่องร้องเรียน!AN:AN,"บุคคโล",เรื่องร้องเรียน!CL:CL,"1")</f>
        <v>0</v>
      </c>
      <c r="G221" s="109">
        <f>COUNTIFS(เรื่องร้องเรียน!E:E,"3",เรื่องร้องเรียน!N:N,"ราษฎร์บูรณะ",เรื่องร้องเรียน!AN:AN,"บุคคโล")</f>
        <v>0</v>
      </c>
      <c r="H221" s="109">
        <f>COUNTIFS(เรื่องร้องเรียน!E:E,"3",เรื่องร้องเรียน!N:N,"ราษฎร์บูรณะ",เรื่องร้องเรียน!AN:AN,"บุคคโล",เรื่องร้องเรียน!CL:CL,"1")</f>
        <v>0</v>
      </c>
      <c r="I221" s="109">
        <f>COUNTIFS(เรื่องร้องเรียน!E:E,"4",เรื่องร้องเรียน!N:N,"ราษฎร์บูรณะ",เรื่องร้องเรียน!AN:AN,"บุคคโล")</f>
        <v>0</v>
      </c>
      <c r="J221" s="144">
        <f>COUNTIFS(เรื่องร้องเรียน!E:E,"4",เรื่องร้องเรียน!N:N,"ราษฎร์บูรณะ",เรื่องร้องเรียน!AN:AN,"บุคคโล",เรื่องร้องเรียน!CL:CL,"1")</f>
        <v>0</v>
      </c>
      <c r="K221" s="144"/>
      <c r="L221" s="144"/>
      <c r="M221" s="109">
        <f t="shared" si="86"/>
        <v>0</v>
      </c>
      <c r="N221" s="145">
        <f t="shared" si="86"/>
        <v>0</v>
      </c>
      <c r="O221" s="146">
        <f>COUNTIFS(เรื่องร้องเรียน!E:E,"1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P221" s="144">
        <f>COUNTIFS(เรื่องร้องเรียน!E:E,"2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Q221" s="144">
        <f>COUNTIFS(เรื่องร้องเรียน!E:E,"3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R221" s="144">
        <f>COUNTIFS(เรื่องร้องเรียน!E:E,"4",เรื่องร้องเรียน!N:N,"ราษฎร์บูรณะ",เรื่องร้องเรียน!AN:AN,"บุคคโล",เรื่องร้องเรียน!AQ:AQ,"1",เรื่องร้องเรียน!CL:CL,"")</f>
        <v>0</v>
      </c>
      <c r="S221" s="144"/>
      <c r="T221" s="147">
        <f t="shared" si="65"/>
        <v>0</v>
      </c>
      <c r="U221" s="183">
        <f t="shared" si="62"/>
        <v>0</v>
      </c>
      <c r="V221" s="10" t="s">
        <v>110</v>
      </c>
      <c r="W221" s="129">
        <f t="shared" si="81"/>
        <v>0</v>
      </c>
    </row>
    <row r="222" spans="1:23">
      <c r="A222" s="148"/>
      <c r="B222" s="171" t="s">
        <v>113</v>
      </c>
      <c r="C222" s="246">
        <f>COUNTIFS(เรื่องร้องเรียน!E:E,"1",เรื่องร้องเรียน!N:N,"ราษฎร์บูรณะ",เรื่องร้องเรียน!AN:AN,"ราษฎร์บูรณะ")</f>
        <v>0</v>
      </c>
      <c r="D222" s="109">
        <f>COUNTIFS(เรื่องร้องเรียน!E:E,"1",เรื่องร้องเรียน!N:N,"ราษฎร์บูรณะ",เรื่องร้องเรียน!AN:AN,"ราษฎร์บูรณะ",เรื่องร้องเรียน!CL:CL,"1")</f>
        <v>0</v>
      </c>
      <c r="E222" s="109">
        <f>COUNTIFS(เรื่องร้องเรียน!E:E,"2",เรื่องร้องเรียน!N:N,"ราษฎร์บูรณะ",เรื่องร้องเรียน!AN:AN,"ราษฎร์บูรณะ")</f>
        <v>0</v>
      </c>
      <c r="F222" s="109">
        <f>COUNTIFS(เรื่องร้องเรียน!E:E,"2",เรื่องร้องเรียน!N:N,"ราษฎร์บูรณะ",เรื่องร้องเรียน!AN:AN,"ราษฎร์บูรณะ",เรื่องร้องเรียน!CL:CL,"1")</f>
        <v>0</v>
      </c>
      <c r="G222" s="109">
        <f>COUNTIFS(เรื่องร้องเรียน!E:E,"3",เรื่องร้องเรียน!N:N,"ราษฎร์บูรณะ",เรื่องร้องเรียน!AN:AN,"ราษฎร์บูรณะ")</f>
        <v>0</v>
      </c>
      <c r="H222" s="109">
        <f>COUNTIFS(เรื่องร้องเรียน!E:E,"3",เรื่องร้องเรียน!N:N,"ราษฎร์บูรณะ",เรื่องร้องเรียน!AN:AN,"ราษฎร์บูรณะ",เรื่องร้องเรียน!CL:CL,"1")</f>
        <v>0</v>
      </c>
      <c r="I222" s="109">
        <f>COUNTIFS(เรื่องร้องเรียน!E:E,"4",เรื่องร้องเรียน!N:N,"ราษฎร์บูรณะ",เรื่องร้องเรียน!AN:AN,"ราษฎร์บูรณะ")</f>
        <v>0</v>
      </c>
      <c r="J222" s="144">
        <f>COUNTIFS(เรื่องร้องเรียน!E:E,"4",เรื่องร้องเรียน!N:N,"ราษฎร์บูรณะ",เรื่องร้องเรียน!AN:AN,"ราษฎร์บูรณะ",เรื่องร้องเรียน!CL:CL,"1")</f>
        <v>0</v>
      </c>
      <c r="K222" s="144"/>
      <c r="L222" s="144"/>
      <c r="M222" s="109">
        <f t="shared" si="86"/>
        <v>0</v>
      </c>
      <c r="N222" s="145">
        <f t="shared" si="86"/>
        <v>0</v>
      </c>
      <c r="O222" s="146">
        <f>COUNTIFS(เรื่องร้องเรียน!E:E,"1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P222" s="144">
        <f>COUNTIFS(เรื่องร้องเรียน!E:E,"2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Q222" s="144">
        <f>COUNTIFS(เรื่องร้องเรียน!E:E,"3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R222" s="144">
        <f>COUNTIFS(เรื่องร้องเรียน!E:E,"4",เรื่องร้องเรียน!N:N,"ราษฎร์บูรณะ",เรื่องร้องเรียน!AN:AN,"ราษฎร์บูรณะ",เรื่องร้องเรียน!AQ:AQ,"1",เรื่องร้องเรียน!CL:CL,"")</f>
        <v>0</v>
      </c>
      <c r="S222" s="144"/>
      <c r="T222" s="147">
        <f t="shared" si="65"/>
        <v>0</v>
      </c>
      <c r="U222" s="183">
        <f t="shared" si="62"/>
        <v>0</v>
      </c>
      <c r="V222" s="10" t="s">
        <v>105</v>
      </c>
      <c r="W222" s="129">
        <f t="shared" si="81"/>
        <v>0</v>
      </c>
    </row>
    <row r="223" spans="1:23">
      <c r="A223" s="148"/>
      <c r="B223" s="171" t="s">
        <v>110</v>
      </c>
      <c r="C223" s="246">
        <f>COUNTIFS(เรื่องร้องเรียน!E:E,"1",เรื่องร้องเรียน!N:N,"ราษฎร์บูรณะ",เรื่องร้องเรียน!AN:AN,"บางมด")</f>
        <v>0</v>
      </c>
      <c r="D223" s="109">
        <f>COUNTIFS(เรื่องร้องเรียน!E:E,"1",เรื่องร้องเรียน!N:N,"ราษฎร์บูรณะ",เรื่องร้องเรียน!AN:AN,"บางมด",เรื่องร้องเรียน!CL:CL,"1")</f>
        <v>0</v>
      </c>
      <c r="E223" s="109">
        <f>COUNTIFS(เรื่องร้องเรียน!E:E,"2",เรื่องร้องเรียน!N:N,"ราษฎร์บูรณะ",เรื่องร้องเรียน!AN:AN,"บางมด")</f>
        <v>0</v>
      </c>
      <c r="F223" s="109">
        <f>COUNTIFS(เรื่องร้องเรียน!E:E,"2",เรื่องร้องเรียน!N:N,"ราษฎร์บูรณะ",เรื่องร้องเรียน!AN:AN,"บางมด",เรื่องร้องเรียน!CL:CL,"1")</f>
        <v>0</v>
      </c>
      <c r="G223" s="109">
        <f>COUNTIFS(เรื่องร้องเรียน!E:E,"3",เรื่องร้องเรียน!N:N,"ราษฎร์บูรณะ",เรื่องร้องเรียน!AN:AN,"บางมด")</f>
        <v>0</v>
      </c>
      <c r="H223" s="109">
        <f>COUNTIFS(เรื่องร้องเรียน!E:E,"3",เรื่องร้องเรียน!N:N,"ราษฎร์บูรณะ",เรื่องร้องเรียน!AN:AN,"บางมด",เรื่องร้องเรียน!CL:CL,"1")</f>
        <v>0</v>
      </c>
      <c r="I223" s="109">
        <f>COUNTIFS(เรื่องร้องเรียน!E:E,"4",เรื่องร้องเรียน!N:N,"ราษฎร์บูรณะ",เรื่องร้องเรียน!AN:AN,"บางมด")</f>
        <v>0</v>
      </c>
      <c r="J223" s="144">
        <f>COUNTIFS(เรื่องร้องเรียน!E:E,"4",เรื่องร้องเรียน!N:N,"ราษฎร์บูรณะ",เรื่องร้องเรียน!AN:AN,"บางมด",เรื่องร้องเรียน!CL:CL,"1")</f>
        <v>0</v>
      </c>
      <c r="K223" s="144"/>
      <c r="L223" s="144"/>
      <c r="M223" s="109">
        <f>SUM(C223,E223,G223,I223,K223)</f>
        <v>0</v>
      </c>
      <c r="N223" s="145">
        <f>SUM(D223,F223,H223,J223,L223)</f>
        <v>0</v>
      </c>
      <c r="O223" s="146">
        <f>COUNTIFS(เรื่องร้องเรียน!E:E,"1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P223" s="144">
        <f>COUNTIFS(เรื่องร้องเรียน!E:E,"2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Q223" s="144">
        <f>COUNTIFS(เรื่องร้องเรียน!E:E,"3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R223" s="144">
        <f>COUNTIFS(เรื่องร้องเรียน!E:E,"4",เรื่องร้องเรียน!N:N,"ราษฎร์บูรณะ",เรื่องร้องเรียน!AN:AN,"บางมด",เรื่องร้องเรียน!AQ:AQ,"1",เรื่องร้องเรียน!CL:CL,"")</f>
        <v>0</v>
      </c>
      <c r="S223" s="144"/>
      <c r="T223" s="147">
        <f>SUM(O223:S223)</f>
        <v>0</v>
      </c>
      <c r="U223" s="183">
        <f>M223-N223-T223</f>
        <v>0</v>
      </c>
      <c r="W223" s="129">
        <f t="shared" si="81"/>
        <v>0</v>
      </c>
    </row>
    <row r="224" spans="1:23" ht="21.6" thickBot="1">
      <c r="A224" s="174"/>
      <c r="B224" s="172" t="s">
        <v>105</v>
      </c>
      <c r="C224" s="231">
        <f>COUNTIFS(เรื่องร้องเรียน!E:E,"1",เรื่องร้องเรียน!N:N,"ราษฎร์บูรณะ",เรื่องร้องเรียน!AN:AN,"บางคอแหลม")</f>
        <v>0</v>
      </c>
      <c r="D224" s="124">
        <f>COUNTIFS(เรื่องร้องเรียน!E:E,"1",เรื่องร้องเรียน!N:N,"ราษฎร์บูรณะ",เรื่องร้องเรียน!AN:AN,"บางคอแหลม",เรื่องร้องเรียน!CL:CL,"1")</f>
        <v>0</v>
      </c>
      <c r="E224" s="124">
        <f>COUNTIFS(เรื่องร้องเรียน!E:E,"2",เรื่องร้องเรียน!N:N,"ราษฎร์บูรณะ",เรื่องร้องเรียน!AN:AN,"บางคอแหลม")</f>
        <v>0</v>
      </c>
      <c r="F224" s="124">
        <f>COUNTIFS(เรื่องร้องเรียน!E:E,"2",เรื่องร้องเรียน!N:N,"ราษฎร์บูรณะ",เรื่องร้องเรียน!AN:AN,"บางคอแหลม",เรื่องร้องเรียน!CL:CL,"1")</f>
        <v>0</v>
      </c>
      <c r="G224" s="124">
        <f>COUNTIFS(เรื่องร้องเรียน!E:E,"3",เรื่องร้องเรียน!N:N,"ราษฎร์บูรณะ",เรื่องร้องเรียน!AN:AN,"บางคอแหลม")</f>
        <v>0</v>
      </c>
      <c r="H224" s="124">
        <f>COUNTIFS(เรื่องร้องเรียน!E:E,"3",เรื่องร้องเรียน!N:N,"ราษฎร์บูรณะ",เรื่องร้องเรียน!AN:AN,"บางคอแหลม",เรื่องร้องเรียน!CL:CL,"1")</f>
        <v>0</v>
      </c>
      <c r="I224" s="124">
        <f>COUNTIFS(เรื่องร้องเรียน!E:E,"4",เรื่องร้องเรียน!N:N,"ราษฎร์บูรณะ",เรื่องร้องเรียน!AN:AN,"บางคอแหลม")</f>
        <v>0</v>
      </c>
      <c r="J224" s="157">
        <f>COUNTIFS(เรื่องร้องเรียน!E:E,"4",เรื่องร้องเรียน!N:N,"ราษฎร์บูรณะ",เรื่องร้องเรียน!AN:AN,"บางคอแหลม",เรื่องร้องเรียน!CL:CL,"1")</f>
        <v>0</v>
      </c>
      <c r="K224" s="157"/>
      <c r="L224" s="157"/>
      <c r="M224" s="124">
        <f>SUM(C224,E224,G224,I224,K224)</f>
        <v>0</v>
      </c>
      <c r="N224" s="158">
        <f>SUM(D224,F224,H224,J224,L224)</f>
        <v>0</v>
      </c>
      <c r="O224" s="159">
        <f>COUNTIFS(เรื่องร้องเรียน!E:E,"1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P224" s="157">
        <f>COUNTIFS(เรื่องร้องเรียน!E:E,"2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Q224" s="157">
        <f>COUNTIFS(เรื่องร้องเรียน!E:E,"3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R224" s="157">
        <f>COUNTIFS(เรื่องร้องเรียน!E:E,"4",เรื่องร้องเรียน!N:N,"ราษฎร์บูรณะ",เรื่องร้องเรียน!AN:AN,"บางคอแหลม",เรื่องร้องเรียน!AQ:AQ,"1",เรื่องร้องเรียน!CL:CL,"")</f>
        <v>0</v>
      </c>
      <c r="S224" s="157"/>
      <c r="T224" s="160">
        <f>SUM(O224:S224)</f>
        <v>0</v>
      </c>
      <c r="U224" s="184">
        <f>M224-N224-T224</f>
        <v>0</v>
      </c>
      <c r="W224" s="129">
        <f t="shared" si="81"/>
        <v>0</v>
      </c>
    </row>
    <row r="225" spans="1:23" ht="21.6" thickBot="1">
      <c r="A225" s="168" t="s">
        <v>84</v>
      </c>
      <c r="B225" s="166" t="s">
        <v>152</v>
      </c>
      <c r="C225" s="132">
        <f>SUM(C226:C231)</f>
        <v>0</v>
      </c>
      <c r="D225" s="131">
        <f t="shared" ref="D225:T225" si="87">SUM(D226:D231)</f>
        <v>0</v>
      </c>
      <c r="E225" s="131">
        <f t="shared" si="87"/>
        <v>0</v>
      </c>
      <c r="F225" s="131">
        <f t="shared" si="87"/>
        <v>0</v>
      </c>
      <c r="G225" s="131">
        <f t="shared" si="87"/>
        <v>0</v>
      </c>
      <c r="H225" s="131">
        <f t="shared" si="87"/>
        <v>0</v>
      </c>
      <c r="I225" s="131">
        <f t="shared" si="87"/>
        <v>0</v>
      </c>
      <c r="J225" s="131">
        <f t="shared" si="87"/>
        <v>0</v>
      </c>
      <c r="K225" s="131">
        <f t="shared" si="87"/>
        <v>0</v>
      </c>
      <c r="L225" s="131">
        <f t="shared" si="87"/>
        <v>0</v>
      </c>
      <c r="M225" s="131">
        <f t="shared" si="87"/>
        <v>0</v>
      </c>
      <c r="N225" s="163">
        <f t="shared" si="87"/>
        <v>0</v>
      </c>
      <c r="O225" s="186">
        <f t="shared" si="87"/>
        <v>0</v>
      </c>
      <c r="P225" s="186">
        <f t="shared" si="87"/>
        <v>0</v>
      </c>
      <c r="Q225" s="186">
        <f t="shared" si="87"/>
        <v>0</v>
      </c>
      <c r="R225" s="186">
        <f t="shared" si="87"/>
        <v>0</v>
      </c>
      <c r="S225" s="186">
        <f t="shared" si="87"/>
        <v>0</v>
      </c>
      <c r="T225" s="133">
        <f t="shared" si="87"/>
        <v>0</v>
      </c>
      <c r="U225" s="134">
        <f t="shared" si="62"/>
        <v>0</v>
      </c>
      <c r="W225" s="135">
        <f t="shared" si="81"/>
        <v>0</v>
      </c>
    </row>
    <row r="226" spans="1:23">
      <c r="A226" s="173"/>
      <c r="B226" s="170" t="s">
        <v>20</v>
      </c>
      <c r="C226" s="180"/>
      <c r="D226" s="178"/>
      <c r="E226" s="178"/>
      <c r="F226" s="178"/>
      <c r="G226" s="178"/>
      <c r="H226" s="178"/>
      <c r="I226" s="178"/>
      <c r="J226" s="178"/>
      <c r="K226" s="178">
        <f>COUNTIFS(เรื่องร้องเรียน!E:E,"5",เรื่องร้องเรียน!N:N,"ลาดกระบัง")</f>
        <v>0</v>
      </c>
      <c r="L226" s="178">
        <f>COUNTIFS(เรื่องร้องเรียน!E:E,"5",เรื่องร้องเรียน!N:N,"ลาดกระบัง",เรื่องร้องเรียน!CL:CL,"1")</f>
        <v>0</v>
      </c>
      <c r="M226" s="178">
        <f t="shared" ref="M226:N230" si="88">SUM(C226,E226,G226,I226,K226)</f>
        <v>0</v>
      </c>
      <c r="N226" s="179">
        <f t="shared" si="88"/>
        <v>0</v>
      </c>
      <c r="O226" s="180"/>
      <c r="P226" s="178"/>
      <c r="Q226" s="178"/>
      <c r="R226" s="178"/>
      <c r="S226" s="178">
        <f>COUNTIFS(เรื่องร้องเรียน!E:E,"5",เรื่องร้องเรียน!N:N,"ลาดกระบัง",เรื่องร้องเรียน!AQ:AQ,"1",เรื่องร้องเรียน!CL:CL,"")</f>
        <v>0</v>
      </c>
      <c r="T226" s="181">
        <f t="shared" si="65"/>
        <v>0</v>
      </c>
      <c r="U226" s="182">
        <f t="shared" si="62"/>
        <v>0</v>
      </c>
      <c r="V226" s="10" t="s">
        <v>116</v>
      </c>
      <c r="W226" s="129">
        <f t="shared" si="81"/>
        <v>0</v>
      </c>
    </row>
    <row r="227" spans="1:23">
      <c r="A227" s="148"/>
      <c r="B227" s="171" t="s">
        <v>85</v>
      </c>
      <c r="C227" s="246">
        <f>COUNTIFS(เรื่องร้องเรียน!E:E,"1",เรื่องร้องเรียน!N:N,"ลาดกระบัง",เรื่องร้องเรียน!AN:AN,"จรเข้น้อย")</f>
        <v>0</v>
      </c>
      <c r="D227" s="109">
        <f>COUNTIFS(เรื่องร้องเรียน!E:E,"1",เรื่องร้องเรียน!N:N,"ลาดกระบัง",เรื่องร้องเรียน!AN:AN,"จรเข้น้อย",เรื่องร้องเรียน!CL:CL,"1")</f>
        <v>0</v>
      </c>
      <c r="E227" s="109">
        <f>COUNTIFS(เรื่องร้องเรียน!E:E,"2",เรื่องร้องเรียน!N:N,"ลาดกระบัง",เรื่องร้องเรียน!AN:AN,"จรเข้น้อย")</f>
        <v>0</v>
      </c>
      <c r="F227" s="109">
        <f>COUNTIFS(เรื่องร้องเรียน!E:E,"2",เรื่องร้องเรียน!N:N,"ลาดกระบัง",เรื่องร้องเรียน!AN:AN,"จรเข้น้อย",เรื่องร้องเรียน!CL:CL,"1")</f>
        <v>0</v>
      </c>
      <c r="G227" s="109">
        <f>COUNTIFS(เรื่องร้องเรียน!E:E,"3",เรื่องร้องเรียน!N:N,"ลาดกระบัง",เรื่องร้องเรียน!AN:AN,"จรเข้น้อย")</f>
        <v>0</v>
      </c>
      <c r="H227" s="109">
        <f>COUNTIFS(เรื่องร้องเรียน!E:E,"3",เรื่องร้องเรียน!N:N,"ลาดกระบัง",เรื่องร้องเรียน!AN:AN,"จรเข้น้อย",เรื่องร้องเรียน!CL:CL,"1")</f>
        <v>0</v>
      </c>
      <c r="I227" s="109">
        <f>COUNTIFS(เรื่องร้องเรียน!E:E,"4",เรื่องร้องเรียน!N:N,"ลาดกระบัง",เรื่องร้องเรียน!AN:AN,"จรเข้น้อย")</f>
        <v>0</v>
      </c>
      <c r="J227" s="144">
        <f>COUNTIFS(เรื่องร้องเรียน!E:E,"4",เรื่องร้องเรียน!N:N,"ลาดกระบัง",เรื่องร้องเรียน!AN:AN,"จรเข้น้อย",เรื่องร้องเรียน!CL:CL,"1")</f>
        <v>0</v>
      </c>
      <c r="K227" s="144"/>
      <c r="L227" s="144"/>
      <c r="M227" s="109">
        <f t="shared" si="88"/>
        <v>0</v>
      </c>
      <c r="N227" s="145">
        <f t="shared" si="88"/>
        <v>0</v>
      </c>
      <c r="O227" s="146">
        <f>COUNTIFS(เรื่องร้องเรียน!E:E,"1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P227" s="144">
        <f>COUNTIFS(เรื่องร้องเรียน!E:E,"2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Q227" s="144">
        <f>COUNTIFS(เรื่องร้องเรียน!E:E,"3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R227" s="144">
        <f>COUNTIFS(เรื่องร้องเรียน!E:E,"4",เรื่องร้องเรียน!N:N,"ลาดกระบัง",เรื่องร้องเรียน!AN:AN,"จรเข้น้อย",เรื่องร้องเรียน!AQ:AQ,"1",เรื่องร้องเรียน!CL:CL,"")</f>
        <v>0</v>
      </c>
      <c r="S227" s="144"/>
      <c r="T227" s="147">
        <f t="shared" si="65"/>
        <v>0</v>
      </c>
      <c r="U227" s="183">
        <f t="shared" si="62"/>
        <v>0</v>
      </c>
      <c r="W227" s="129">
        <f t="shared" si="81"/>
        <v>0</v>
      </c>
    </row>
    <row r="228" spans="1:23">
      <c r="A228" s="148"/>
      <c r="B228" s="171" t="s">
        <v>124</v>
      </c>
      <c r="C228" s="246">
        <f>COUNTIFS(เรื่องร้องเรียน!E:E,"1",เรื่องร้องเรียน!N:N,"ลาดกระบัง",เรื่องร้องเรียน!AN:AN,"ฉลองกรุง")</f>
        <v>0</v>
      </c>
      <c r="D228" s="109">
        <f>COUNTIFS(เรื่องร้องเรียน!E:E,"1",เรื่องร้องเรียน!N:N,"ลาดกระบัง",เรื่องร้องเรียน!AN:AN,"ฉลองกรุง",เรื่องร้องเรียน!CL:CL,"1")</f>
        <v>0</v>
      </c>
      <c r="E228" s="109">
        <f>COUNTIFS(เรื่องร้องเรียน!E:E,"2",เรื่องร้องเรียน!N:N,"ลาดกระบัง",เรื่องร้องเรียน!AN:AN,"ฉลองกรุง")</f>
        <v>0</v>
      </c>
      <c r="F228" s="109">
        <f>COUNTIFS(เรื่องร้องเรียน!E:E,"2",เรื่องร้องเรียน!N:N,"ลาดกระบัง",เรื่องร้องเรียน!AN:AN,"ฉลองกรุง",เรื่องร้องเรียน!CL:CL,"1")</f>
        <v>0</v>
      </c>
      <c r="G228" s="109">
        <f>COUNTIFS(เรื่องร้องเรียน!E:E,"3",เรื่องร้องเรียน!N:N,"ลาดกระบัง",เรื่องร้องเรียน!AN:AN,"ฉลองกรุง")</f>
        <v>0</v>
      </c>
      <c r="H228" s="109">
        <f>COUNTIFS(เรื่องร้องเรียน!E:E,"3",เรื่องร้องเรียน!N:N,"ลาดกระบัง",เรื่องร้องเรียน!AN:AN,"ฉลองกรุง",เรื่องร้องเรียน!CL:CL,"1")</f>
        <v>0</v>
      </c>
      <c r="I228" s="109">
        <f>COUNTIFS(เรื่องร้องเรียน!E:E,"4",เรื่องร้องเรียน!N:N,"ลาดกระบัง",เรื่องร้องเรียน!AN:AN,"ฉลองกรุง")</f>
        <v>0</v>
      </c>
      <c r="J228" s="144">
        <f>COUNTIFS(เรื่องร้องเรียน!E:E,"4",เรื่องร้องเรียน!N:N,"ลาดกระบัง",เรื่องร้องเรียน!AN:AN,"ฉลองกรุง",เรื่องร้องเรียน!CL:CL,"1")</f>
        <v>0</v>
      </c>
      <c r="K228" s="144"/>
      <c r="L228" s="144"/>
      <c r="M228" s="109">
        <f t="shared" si="88"/>
        <v>0</v>
      </c>
      <c r="N228" s="145">
        <f t="shared" si="88"/>
        <v>0</v>
      </c>
      <c r="O228" s="146">
        <f>COUNTIFS(เรื่องร้องเรียน!E:E,"1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P228" s="144">
        <f>COUNTIFS(เรื่องร้องเรียน!E:E,"2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Q228" s="144">
        <f>COUNTIFS(เรื่องร้องเรียน!E:E,"3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R228" s="144">
        <f>COUNTIFS(เรื่องร้องเรียน!E:E,"4",เรื่องร้องเรียน!N:N,"ลาดกระบัง",เรื่องร้องเรียน!AN:AN,"ฉลองกรุง",เรื่องร้องเรียน!AQ:AQ,"1",เรื่องร้องเรียน!CL:CL,"")</f>
        <v>0</v>
      </c>
      <c r="S228" s="144"/>
      <c r="T228" s="147">
        <f t="shared" si="65"/>
        <v>0</v>
      </c>
      <c r="U228" s="183">
        <f t="shared" si="62"/>
        <v>0</v>
      </c>
      <c r="W228" s="129">
        <f t="shared" si="81"/>
        <v>0</v>
      </c>
    </row>
    <row r="229" spans="1:23">
      <c r="A229" s="148"/>
      <c r="B229" s="171" t="s">
        <v>175</v>
      </c>
      <c r="C229" s="246">
        <f>COUNTIFS(เรื่องร้องเรียน!E:E,"1",เรื่องร้องเรียน!N:N,"ลาดกระบัง",เรื่องร้องเรียน!AN:AN,"ร่มเกล้า")</f>
        <v>0</v>
      </c>
      <c r="D229" s="109">
        <f>COUNTIFS(เรื่องร้องเรียน!E:E,"1",เรื่องร้องเรียน!N:N,"ลาดกระบัง",เรื่องร้องเรียน!AN:AN,"ร่มเกล้า",เรื่องร้องเรียน!CL:CL,"1")</f>
        <v>0</v>
      </c>
      <c r="E229" s="109">
        <f>COUNTIFS(เรื่องร้องเรียน!E:E,"2",เรื่องร้องเรียน!N:N,"ลาดกระบัง",เรื่องร้องเรียน!AN:AN,"ร่มเกล้า")</f>
        <v>0</v>
      </c>
      <c r="F229" s="109">
        <f>COUNTIFS(เรื่องร้องเรียน!E:E,"2",เรื่องร้องเรียน!N:N,"ลาดกระบัง",เรื่องร้องเรียน!AN:AN,"ร่มเกล้า",เรื่องร้องเรียน!CL:CL,"1")</f>
        <v>0</v>
      </c>
      <c r="G229" s="109">
        <f>COUNTIFS(เรื่องร้องเรียน!E:E,"3",เรื่องร้องเรียน!N:N,"ลาดกระบัง",เรื่องร้องเรียน!AN:AN,"ร่มเกล้า")</f>
        <v>0</v>
      </c>
      <c r="H229" s="109">
        <f>COUNTIFS(เรื่องร้องเรียน!E:E,"3",เรื่องร้องเรียน!N:N,"ลาดกระบัง",เรื่องร้องเรียน!AN:AN,"ร่มเกล้า",เรื่องร้องเรียน!CL:CL,"1")</f>
        <v>0</v>
      </c>
      <c r="I229" s="109">
        <f>COUNTIFS(เรื่องร้องเรียน!E:E,"4",เรื่องร้องเรียน!N:N,"ลาดกระบัง",เรื่องร้องเรียน!AN:AN,"ร่มเกล้า")</f>
        <v>0</v>
      </c>
      <c r="J229" s="144">
        <f>COUNTIFS(เรื่องร้องเรียน!E:E,"4",เรื่องร้องเรียน!N:N,"ลาดกระบัง",เรื่องร้องเรียน!AN:AN,"ร่มเกล้า",เรื่องร้องเรียน!CL:CL,"1")</f>
        <v>0</v>
      </c>
      <c r="K229" s="144"/>
      <c r="L229" s="144"/>
      <c r="M229" s="109">
        <f t="shared" si="88"/>
        <v>0</v>
      </c>
      <c r="N229" s="145">
        <f t="shared" si="88"/>
        <v>0</v>
      </c>
      <c r="O229" s="146">
        <f>COUNTIFS(เรื่องร้องเรียน!E:E,"1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P229" s="144">
        <f>COUNTIFS(เรื่องร้องเรียน!E:E,"2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Q229" s="144">
        <f>COUNTIFS(เรื่องร้องเรียน!E:E,"3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R229" s="144">
        <f>COUNTIFS(เรื่องร้องเรียน!E:E,"4",เรื่องร้องเรียน!N:N,"ลาดกระบัง",เรื่องร้องเรียน!AN:AN,"ร่มเกล้า",เรื่องร้องเรียน!AQ:AQ,"1",เรื่องร้องเรียน!CL:CL,"")</f>
        <v>0</v>
      </c>
      <c r="S229" s="144"/>
      <c r="T229" s="147">
        <f t="shared" si="65"/>
        <v>0</v>
      </c>
      <c r="U229" s="183">
        <f t="shared" si="62"/>
        <v>0</v>
      </c>
      <c r="W229" s="129">
        <f t="shared" si="81"/>
        <v>0</v>
      </c>
    </row>
    <row r="230" spans="1:23">
      <c r="A230" s="148"/>
      <c r="B230" s="171" t="s">
        <v>84</v>
      </c>
      <c r="C230" s="246">
        <f>COUNTIFS(เรื่องร้องเรียน!E:E,"1",เรื่องร้องเรียน!N:N,"ลาดกระบัง",เรื่องร้องเรียน!AN:AN,"ลาดกระบัง")</f>
        <v>0</v>
      </c>
      <c r="D230" s="109">
        <f>COUNTIFS(เรื่องร้องเรียน!E:E,"1",เรื่องร้องเรียน!N:N,"ลาดกระบัง",เรื่องร้องเรียน!AN:AN,"ลาดกระบัง",เรื่องร้องเรียน!CL:CL,"1")</f>
        <v>0</v>
      </c>
      <c r="E230" s="109">
        <f>COUNTIFS(เรื่องร้องเรียน!E:E,"2",เรื่องร้องเรียน!N:N,"ลาดกระบัง",เรื่องร้องเรียน!AN:AN,"ลาดกระบัง")</f>
        <v>0</v>
      </c>
      <c r="F230" s="109">
        <f>COUNTIFS(เรื่องร้องเรียน!E:E,"2",เรื่องร้องเรียน!N:N,"ลาดกระบัง",เรื่องร้องเรียน!AN:AN,"ลาดกระบัง",เรื่องร้องเรียน!CL:CL,"1")</f>
        <v>0</v>
      </c>
      <c r="G230" s="109">
        <f>COUNTIFS(เรื่องร้องเรียน!E:E,"3",เรื่องร้องเรียน!N:N,"ลาดกระบัง",เรื่องร้องเรียน!AN:AN,"ลาดกระบัง")</f>
        <v>0</v>
      </c>
      <c r="H230" s="109">
        <f>COUNTIFS(เรื่องร้องเรียน!E:E,"3",เรื่องร้องเรียน!N:N,"ลาดกระบัง",เรื่องร้องเรียน!AN:AN,"ลาดกระบัง",เรื่องร้องเรียน!CL:CL,"1")</f>
        <v>0</v>
      </c>
      <c r="I230" s="109">
        <f>COUNTIFS(เรื่องร้องเรียน!E:E,"4",เรื่องร้องเรียน!N:N,"ลาดกระบัง",เรื่องร้องเรียน!AN:AN,"ลาดกระบัง")</f>
        <v>0</v>
      </c>
      <c r="J230" s="144">
        <f>COUNTIFS(เรื่องร้องเรียน!E:E,"4",เรื่องร้องเรียน!N:N,"ลาดกระบัง",เรื่องร้องเรียน!AN:AN,"ลาดกระบัง",เรื่องร้องเรียน!CL:CL,"1")</f>
        <v>0</v>
      </c>
      <c r="K230" s="144"/>
      <c r="L230" s="144"/>
      <c r="M230" s="109">
        <f t="shared" si="88"/>
        <v>0</v>
      </c>
      <c r="N230" s="145">
        <f t="shared" si="88"/>
        <v>0</v>
      </c>
      <c r="O230" s="146">
        <f>COUNTIFS(เรื่องร้องเรียน!E:E,"1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P230" s="144">
        <f>COUNTIFS(เรื่องร้องเรียน!E:E,"2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Q230" s="144">
        <f>COUNTIFS(เรื่องร้องเรียน!E:E,"3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R230" s="144">
        <f>COUNTIFS(เรื่องร้องเรียน!E:E,"4",เรื่องร้องเรียน!N:N,"ลาดกระบัง",เรื่องร้องเรียน!AN:AN,"ลาดกระบัง",เรื่องร้องเรียน!AQ:AQ,"1",เรื่องร้องเรียน!CL:CL,"")</f>
        <v>0</v>
      </c>
      <c r="S230" s="144"/>
      <c r="T230" s="147">
        <f t="shared" si="65"/>
        <v>0</v>
      </c>
      <c r="U230" s="183">
        <f t="shared" si="62"/>
        <v>0</v>
      </c>
      <c r="W230" s="129">
        <f t="shared" si="81"/>
        <v>0</v>
      </c>
    </row>
    <row r="231" spans="1:23" ht="21.6" thickBot="1">
      <c r="A231" s="174"/>
      <c r="B231" s="172" t="s">
        <v>116</v>
      </c>
      <c r="C231" s="231">
        <f>COUNTIFS(เรื่องร้องเรียน!E:E,"1",เรื่องร้องเรียน!N:N,"ลาดกระบัง",เรื่องร้องเรียน!AN:AN,"มีนบุรี")</f>
        <v>0</v>
      </c>
      <c r="D231" s="124">
        <f>COUNTIFS(เรื่องร้องเรียน!E:E,"1",เรื่องร้องเรียน!N:N,"ลาดกระบัง",เรื่องร้องเรียน!AN:AN,"มีนบุรี",เรื่องร้องเรียน!CL:CL,"1")</f>
        <v>0</v>
      </c>
      <c r="E231" s="124">
        <f>COUNTIFS(เรื่องร้องเรียน!E:E,"2",เรื่องร้องเรียน!N:N,"ลาดกระบัง",เรื่องร้องเรียน!AN:AN,"มีนบุรี")</f>
        <v>0</v>
      </c>
      <c r="F231" s="124">
        <f>COUNTIFS(เรื่องร้องเรียน!E:E,"2",เรื่องร้องเรียน!N:N,"ลาดกระบัง",เรื่องร้องเรียน!AN:AN,"มีนบุรี",เรื่องร้องเรียน!CL:CL,"1")</f>
        <v>0</v>
      </c>
      <c r="G231" s="124">
        <f>COUNTIFS(เรื่องร้องเรียน!E:E,"3",เรื่องร้องเรียน!N:N,"ลาดกระบัง",เรื่องร้องเรียน!AN:AN,"มีนบุรี")</f>
        <v>0</v>
      </c>
      <c r="H231" s="124">
        <f>COUNTIFS(เรื่องร้องเรียน!E:E,"3",เรื่องร้องเรียน!N:N,"ลาดกระบัง",เรื่องร้องเรียน!AN:AN,"มีนบุรี",เรื่องร้องเรียน!CL:CL,"1")</f>
        <v>0</v>
      </c>
      <c r="I231" s="124">
        <f>COUNTIFS(เรื่องร้องเรียน!E:E,"4",เรื่องร้องเรียน!N:N,"ลาดกระบัง",เรื่องร้องเรียน!AN:AN,"มีนบุรี")</f>
        <v>0</v>
      </c>
      <c r="J231" s="157">
        <f>COUNTIFS(เรื่องร้องเรียน!E:E,"4",เรื่องร้องเรียน!N:N,"ลาดกระบัง",เรื่องร้องเรียน!AN:AN,"มีนบุรี",เรื่องร้องเรียน!CL:CL,"1")</f>
        <v>0</v>
      </c>
      <c r="K231" s="157"/>
      <c r="L231" s="157"/>
      <c r="M231" s="124">
        <f>SUM(C231,E231,G231,I231,K231)</f>
        <v>0</v>
      </c>
      <c r="N231" s="158">
        <f>SUM(D231,F231,H231,J231,L231)</f>
        <v>0</v>
      </c>
      <c r="O231" s="159">
        <f>COUNTIFS(เรื่องร้องเรียน!E:E,"1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P231" s="157">
        <f>COUNTIFS(เรื่องร้องเรียน!E:E,"2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Q231" s="157">
        <f>COUNTIFS(เรื่องร้องเรียน!E:E,"3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R231" s="157">
        <f>COUNTIFS(เรื่องร้องเรียน!E:E,"4",เรื่องร้องเรียน!N:N,"ลาดกระบัง",เรื่องร้องเรียน!AN:AN,"มีนบุรี",เรื่องร้องเรียน!AQ:AQ,"1",เรื่องร้องเรียน!CL:CL,"")</f>
        <v>0</v>
      </c>
      <c r="S231" s="157"/>
      <c r="T231" s="160">
        <f>SUM(O231:S231)</f>
        <v>0</v>
      </c>
      <c r="U231" s="184">
        <f>M231-N231-T231</f>
        <v>0</v>
      </c>
      <c r="W231" s="129">
        <f t="shared" si="81"/>
        <v>0</v>
      </c>
    </row>
    <row r="232" spans="1:23" ht="21.6" thickBot="1">
      <c r="A232" s="168" t="s">
        <v>120</v>
      </c>
      <c r="B232" s="166" t="s">
        <v>152</v>
      </c>
      <c r="C232" s="132">
        <f>SUM(C233:C236)</f>
        <v>0</v>
      </c>
      <c r="D232" s="131">
        <f t="shared" ref="D232:T232" si="89">SUM(D233:D236)</f>
        <v>0</v>
      </c>
      <c r="E232" s="131">
        <f t="shared" si="89"/>
        <v>0</v>
      </c>
      <c r="F232" s="131">
        <f t="shared" si="89"/>
        <v>0</v>
      </c>
      <c r="G232" s="131">
        <f t="shared" si="89"/>
        <v>0</v>
      </c>
      <c r="H232" s="131">
        <f t="shared" si="89"/>
        <v>0</v>
      </c>
      <c r="I232" s="131">
        <f t="shared" si="89"/>
        <v>0</v>
      </c>
      <c r="J232" s="131">
        <f t="shared" si="89"/>
        <v>0</v>
      </c>
      <c r="K232" s="131">
        <f t="shared" si="89"/>
        <v>0</v>
      </c>
      <c r="L232" s="131">
        <f t="shared" si="89"/>
        <v>0</v>
      </c>
      <c r="M232" s="131">
        <f t="shared" si="89"/>
        <v>0</v>
      </c>
      <c r="N232" s="163">
        <f t="shared" si="89"/>
        <v>0</v>
      </c>
      <c r="O232" s="186">
        <f t="shared" si="89"/>
        <v>0</v>
      </c>
      <c r="P232" s="186">
        <f t="shared" si="89"/>
        <v>0</v>
      </c>
      <c r="Q232" s="186">
        <f t="shared" si="89"/>
        <v>0</v>
      </c>
      <c r="R232" s="186">
        <f t="shared" si="89"/>
        <v>0</v>
      </c>
      <c r="S232" s="186">
        <f t="shared" si="89"/>
        <v>0</v>
      </c>
      <c r="T232" s="133">
        <f t="shared" si="89"/>
        <v>0</v>
      </c>
      <c r="U232" s="134">
        <f t="shared" si="62"/>
        <v>0</v>
      </c>
      <c r="W232" s="135">
        <f t="shared" si="81"/>
        <v>0</v>
      </c>
    </row>
    <row r="233" spans="1:23">
      <c r="A233" s="173"/>
      <c r="B233" s="170" t="s">
        <v>20</v>
      </c>
      <c r="C233" s="180"/>
      <c r="D233" s="178"/>
      <c r="E233" s="178"/>
      <c r="F233" s="178"/>
      <c r="G233" s="178"/>
      <c r="H233" s="178"/>
      <c r="I233" s="178"/>
      <c r="J233" s="178"/>
      <c r="K233" s="178">
        <f>COUNTIFS(เรื่องร้องเรียน!E:E,"5",เรื่องร้องเรียน!N:N,"ลาดพร้าว")</f>
        <v>0</v>
      </c>
      <c r="L233" s="178">
        <f>COUNTIFS(เรื่องร้องเรียน!E:E,"5",เรื่องร้องเรียน!N:N,"ลาดพร้าว",เรื่องร้องเรียน!CL:CL,"1")</f>
        <v>0</v>
      </c>
      <c r="M233" s="178">
        <f t="shared" ref="M233:N235" si="90">SUM(C233,E233,G233,I233,K233)</f>
        <v>0</v>
      </c>
      <c r="N233" s="179">
        <f t="shared" si="90"/>
        <v>0</v>
      </c>
      <c r="O233" s="180"/>
      <c r="P233" s="178"/>
      <c r="Q233" s="178"/>
      <c r="R233" s="178"/>
      <c r="S233" s="178">
        <f>COUNTIFS(เรื่องร้องเรียน!E:E,"5",เรื่องร้องเรียน!N:N,"ลาดพร้าว",เรื่องร้องเรียน!AQ:AQ,"1",เรื่องร้องเรียน!CL:CL,"")</f>
        <v>0</v>
      </c>
      <c r="T233" s="181">
        <f t="shared" si="65"/>
        <v>0</v>
      </c>
      <c r="U233" s="182">
        <f t="shared" si="62"/>
        <v>0</v>
      </c>
      <c r="V233" s="10" t="s">
        <v>100</v>
      </c>
      <c r="W233" s="129">
        <f t="shared" si="81"/>
        <v>0</v>
      </c>
    </row>
    <row r="234" spans="1:23">
      <c r="A234" s="148"/>
      <c r="B234" s="171" t="s">
        <v>69</v>
      </c>
      <c r="C234" s="246">
        <f>COUNTIFS(เรื่องร้องเรียน!E:E,"1",เรื่องร้องเรียน!N:N,"ลาดพร้าว",เรื่องร้องเรียน!AN:AN,"โคกคราม")</f>
        <v>0</v>
      </c>
      <c r="D234" s="109">
        <f>COUNTIFS(เรื่องร้องเรียน!E:E,"1",เรื่องร้องเรียน!N:N,"ลาดพร้าว",เรื่องร้องเรียน!AN:AN,"โคกคราม",เรื่องร้องเรียน!CL:CL,"1")</f>
        <v>0</v>
      </c>
      <c r="E234" s="109">
        <f>COUNTIFS(เรื่องร้องเรียน!E:E,"2",เรื่องร้องเรียน!N:N,"ลาดพร้าว",เรื่องร้องเรียน!AN:AN,"โคกคราม")</f>
        <v>0</v>
      </c>
      <c r="F234" s="109">
        <f>COUNTIFS(เรื่องร้องเรียน!E:E,"2",เรื่องร้องเรียน!N:N,"ลาดพร้าว",เรื่องร้องเรียน!AN:AN,"โคกคราม",เรื่องร้องเรียน!CL:CL,"1")</f>
        <v>0</v>
      </c>
      <c r="G234" s="109">
        <f>COUNTIFS(เรื่องร้องเรียน!E:E,"3",เรื่องร้องเรียน!N:N,"ลาดพร้าว",เรื่องร้องเรียน!AN:AN,"โคกคราม")</f>
        <v>0</v>
      </c>
      <c r="H234" s="109">
        <f>COUNTIFS(เรื่องร้องเรียน!E:E,"3",เรื่องร้องเรียน!N:N,"ลาดพร้าว",เรื่องร้องเรียน!AN:AN,"โคกคราม",เรื่องร้องเรียน!CL:CL,"1")</f>
        <v>0</v>
      </c>
      <c r="I234" s="109">
        <f>COUNTIFS(เรื่องร้องเรียน!E:E,"4",เรื่องร้องเรียน!N:N,"ลาดพร้าว",เรื่องร้องเรียน!AN:AN,"โคกคราม")</f>
        <v>0</v>
      </c>
      <c r="J234" s="144">
        <f>COUNTIFS(เรื่องร้องเรียน!E:E,"4",เรื่องร้องเรียน!N:N,"ลาดพร้าว",เรื่องร้องเรียน!AN:AN,"โคกคราม",เรื่องร้องเรียน!CL:CL,"1")</f>
        <v>0</v>
      </c>
      <c r="K234" s="144"/>
      <c r="L234" s="144"/>
      <c r="M234" s="109">
        <f t="shared" si="90"/>
        <v>0</v>
      </c>
      <c r="N234" s="145">
        <f t="shared" si="90"/>
        <v>0</v>
      </c>
      <c r="O234" s="146">
        <f>COUNTIFS(เรื่องร้องเรียน!E:E,"1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P234" s="144">
        <f>COUNTIFS(เรื่องร้องเรียน!E:E,"2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Q234" s="144">
        <f>COUNTIFS(เรื่องร้องเรียน!E:E,"3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R234" s="144">
        <f>COUNTIFS(เรื่องร้องเรียน!E:E,"4",เรื่องร้องเรียน!N:N,"ลาดพร้าว",เรื่องร้องเรียน!AN:AN,"โคกคราม",เรื่องร้องเรียน!AQ:AQ,"1",เรื่องร้องเรียน!CL:CL,"")</f>
        <v>0</v>
      </c>
      <c r="S234" s="144"/>
      <c r="T234" s="147">
        <f t="shared" si="65"/>
        <v>0</v>
      </c>
      <c r="U234" s="183">
        <f t="shared" ref="U234:U299" si="91">M234-N234-T234</f>
        <v>0</v>
      </c>
      <c r="W234" s="129">
        <f t="shared" si="81"/>
        <v>0</v>
      </c>
    </row>
    <row r="235" spans="1:23">
      <c r="A235" s="148"/>
      <c r="B235" s="171" t="s">
        <v>132</v>
      </c>
      <c r="C235" s="246">
        <f>COUNTIFS(เรื่องร้องเรียน!E:E,"1",เรื่องร้องเรียน!N:N,"ลาดพร้าว",เรื่องร้องเรียน!AN:AN,"โชคชัย")</f>
        <v>0</v>
      </c>
      <c r="D235" s="109">
        <f>COUNTIFS(เรื่องร้องเรียน!E:E,"1",เรื่องร้องเรียน!N:N,"ลาดพร้าว",เรื่องร้องเรียน!AN:AN,"โชคชัย",เรื่องร้องเรียน!CL:CL,"1")</f>
        <v>0</v>
      </c>
      <c r="E235" s="109">
        <f>COUNTIFS(เรื่องร้องเรียน!E:E,"2",เรื่องร้องเรียน!N:N,"ลาดพร้าว",เรื่องร้องเรียน!AN:AN,"โชคชัย")</f>
        <v>0</v>
      </c>
      <c r="F235" s="109">
        <f>COUNTIFS(เรื่องร้องเรียน!E:E,"2",เรื่องร้องเรียน!N:N,"ลาดพร้าว",เรื่องร้องเรียน!AN:AN,"โชคชัย",เรื่องร้องเรียน!CL:CL,"1")</f>
        <v>0</v>
      </c>
      <c r="G235" s="109">
        <f>COUNTIFS(เรื่องร้องเรียน!E:E,"3",เรื่องร้องเรียน!N:N,"ลาดพร้าว",เรื่องร้องเรียน!AN:AN,"โชคชัย")</f>
        <v>0</v>
      </c>
      <c r="H235" s="109">
        <f>COUNTIFS(เรื่องร้องเรียน!E:E,"3",เรื่องร้องเรียน!N:N,"ลาดพร้าว",เรื่องร้องเรียน!AN:AN,"โชคชัย",เรื่องร้องเรียน!CL:CL,"1")</f>
        <v>0</v>
      </c>
      <c r="I235" s="109">
        <f>COUNTIFS(เรื่องร้องเรียน!E:E,"4",เรื่องร้องเรียน!N:N,"ลาดพร้าว",เรื่องร้องเรียน!AN:AN,"โชคชัย")</f>
        <v>0</v>
      </c>
      <c r="J235" s="144">
        <f>COUNTIFS(เรื่องร้องเรียน!E:E,"4",เรื่องร้องเรียน!N:N,"ลาดพร้าว",เรื่องร้องเรียน!AN:AN,"โชคชัย",เรื่องร้องเรียน!CL:CL,"1")</f>
        <v>0</v>
      </c>
      <c r="K235" s="144"/>
      <c r="L235" s="144"/>
      <c r="M235" s="109">
        <f t="shared" si="90"/>
        <v>0</v>
      </c>
      <c r="N235" s="145">
        <f t="shared" si="90"/>
        <v>0</v>
      </c>
      <c r="O235" s="146">
        <f>COUNTIFS(เรื่องร้องเรียน!E:E,"1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P235" s="144">
        <f>COUNTIFS(เรื่องร้องเรียน!E:E,"2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Q235" s="144">
        <f>COUNTIFS(เรื่องร้องเรียน!E:E,"3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R235" s="144">
        <f>COUNTIFS(เรื่องร้องเรียน!E:E,"4",เรื่องร้องเรียน!N:N,"ลาดพร้าว",เรื่องร้องเรียน!AN:AN,"โชคชัย",เรื่องร้องเรียน!AQ:AQ,"1",เรื่องร้องเรียน!CL:CL,"")</f>
        <v>0</v>
      </c>
      <c r="S235" s="144"/>
      <c r="T235" s="147">
        <f t="shared" si="65"/>
        <v>0</v>
      </c>
      <c r="U235" s="183">
        <f t="shared" si="91"/>
        <v>0</v>
      </c>
      <c r="W235" s="129">
        <f t="shared" si="81"/>
        <v>0</v>
      </c>
    </row>
    <row r="236" spans="1:23" ht="21.6" thickBot="1">
      <c r="A236" s="174"/>
      <c r="B236" s="172" t="s">
        <v>100</v>
      </c>
      <c r="C236" s="231">
        <f>COUNTIFS(เรื่องร้องเรียน!E:E,"1",เรื่องร้องเรียน!N:N,"ลาดพร้าว",เรื่องร้องเรียน!AN:AN,"พหลโยธิน")</f>
        <v>0</v>
      </c>
      <c r="D236" s="124">
        <f>COUNTIFS(เรื่องร้องเรียน!E:E,"1",เรื่องร้องเรียน!N:N,"ลาดพร้าว",เรื่องร้องเรียน!AN:AN,"พหลโยธิน",เรื่องร้องเรียน!CL:CL,"1")</f>
        <v>0</v>
      </c>
      <c r="E236" s="124">
        <f>COUNTIFS(เรื่องร้องเรียน!E:E,"2",เรื่องร้องเรียน!N:N,"ลาดพร้าว",เรื่องร้องเรียน!AN:AN,"พหลโยธิน")</f>
        <v>0</v>
      </c>
      <c r="F236" s="124">
        <f>COUNTIFS(เรื่องร้องเรียน!E:E,"2",เรื่องร้องเรียน!N:N,"ลาดพร้าว",เรื่องร้องเรียน!AN:AN,"พหลโยธิน",เรื่องร้องเรียน!CL:CL,"1")</f>
        <v>0</v>
      </c>
      <c r="G236" s="124">
        <f>COUNTIFS(เรื่องร้องเรียน!E:E,"3",เรื่องร้องเรียน!N:N,"ลาดพร้าว",เรื่องร้องเรียน!AN:AN,"พหลโยธิน")</f>
        <v>0</v>
      </c>
      <c r="H236" s="124">
        <f>COUNTIFS(เรื่องร้องเรียน!E:E,"3",เรื่องร้องเรียน!N:N,"ลาดพร้าว",เรื่องร้องเรียน!AN:AN,"พหลโยธิน",เรื่องร้องเรียน!CL:CL,"1")</f>
        <v>0</v>
      </c>
      <c r="I236" s="124">
        <f>COUNTIFS(เรื่องร้องเรียน!E:E,"4",เรื่องร้องเรียน!N:N,"ลาดพร้าว",เรื่องร้องเรียน!AN:AN,"พหลโยธิน")</f>
        <v>0</v>
      </c>
      <c r="J236" s="157">
        <f>COUNTIFS(เรื่องร้องเรียน!E:E,"4",เรื่องร้องเรียน!N:N,"ลาดพร้าว",เรื่องร้องเรียน!AN:AN,"พหลโยธิน",เรื่องร้องเรียน!CL:CL,"1")</f>
        <v>0</v>
      </c>
      <c r="K236" s="157"/>
      <c r="L236" s="157"/>
      <c r="M236" s="124">
        <f>SUM(C236,E236,G236,I236,K236)</f>
        <v>0</v>
      </c>
      <c r="N236" s="158">
        <f>SUM(D236,F236,H236,J236,L236)</f>
        <v>0</v>
      </c>
      <c r="O236" s="159">
        <f>COUNTIFS(เรื่องร้องเรียน!E:E,"1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P236" s="157">
        <f>COUNTIFS(เรื่องร้องเรียน!E:E,"2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Q236" s="157">
        <f>COUNTIFS(เรื่องร้องเรียน!E:E,"3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R236" s="157">
        <f>COUNTIFS(เรื่องร้องเรียน!E:E,"4",เรื่องร้องเรียน!N:N,"ลาดพร้าว",เรื่องร้องเรียน!AN:AN,"พหลโยธิน",เรื่องร้องเรียน!AQ:AQ,"1",เรื่องร้องเรียน!CL:CL,"")</f>
        <v>0</v>
      </c>
      <c r="S236" s="157"/>
      <c r="T236" s="160">
        <f>SUM(O236:S236)</f>
        <v>0</v>
      </c>
      <c r="U236" s="184">
        <f>M236-N236-T236</f>
        <v>0</v>
      </c>
      <c r="W236" s="129">
        <f t="shared" si="81"/>
        <v>0</v>
      </c>
    </row>
    <row r="237" spans="1:23" ht="21.6" thickBot="1">
      <c r="A237" s="168" t="s">
        <v>179</v>
      </c>
      <c r="B237" s="166" t="s">
        <v>152</v>
      </c>
      <c r="C237" s="132">
        <f>SUM(C238:C241)</f>
        <v>0</v>
      </c>
      <c r="D237" s="131">
        <f t="shared" ref="D237:T237" si="92">SUM(D238:D241)</f>
        <v>0</v>
      </c>
      <c r="E237" s="131">
        <f t="shared" si="92"/>
        <v>0</v>
      </c>
      <c r="F237" s="131">
        <f t="shared" si="92"/>
        <v>0</v>
      </c>
      <c r="G237" s="131">
        <f t="shared" si="92"/>
        <v>0</v>
      </c>
      <c r="H237" s="131">
        <f t="shared" si="92"/>
        <v>0</v>
      </c>
      <c r="I237" s="131">
        <f t="shared" si="92"/>
        <v>0</v>
      </c>
      <c r="J237" s="131">
        <f t="shared" si="92"/>
        <v>0</v>
      </c>
      <c r="K237" s="131">
        <f t="shared" si="92"/>
        <v>0</v>
      </c>
      <c r="L237" s="131">
        <f t="shared" si="92"/>
        <v>0</v>
      </c>
      <c r="M237" s="131">
        <f t="shared" si="92"/>
        <v>0</v>
      </c>
      <c r="N237" s="163">
        <f t="shared" si="92"/>
        <v>0</v>
      </c>
      <c r="O237" s="186">
        <f t="shared" si="92"/>
        <v>0</v>
      </c>
      <c r="P237" s="186">
        <f t="shared" si="92"/>
        <v>0</v>
      </c>
      <c r="Q237" s="186">
        <f t="shared" si="92"/>
        <v>0</v>
      </c>
      <c r="R237" s="186">
        <f t="shared" si="92"/>
        <v>0</v>
      </c>
      <c r="S237" s="186">
        <f t="shared" si="92"/>
        <v>0</v>
      </c>
      <c r="T237" s="133">
        <f t="shared" si="92"/>
        <v>0</v>
      </c>
      <c r="U237" s="134">
        <f t="shared" si="91"/>
        <v>0</v>
      </c>
      <c r="W237" s="135">
        <f t="shared" si="81"/>
        <v>0</v>
      </c>
    </row>
    <row r="238" spans="1:23">
      <c r="A238" s="173"/>
      <c r="B238" s="170" t="s">
        <v>20</v>
      </c>
      <c r="C238" s="180"/>
      <c r="D238" s="178"/>
      <c r="E238" s="178"/>
      <c r="F238" s="178"/>
      <c r="G238" s="178"/>
      <c r="H238" s="178"/>
      <c r="I238" s="178"/>
      <c r="J238" s="178"/>
      <c r="K238" s="178">
        <f>COUNTIFS(เรื่องร้องเรียน!E:E,"5",เรื่องร้องเรียน!N:N,"วังทองหลาง")</f>
        <v>0</v>
      </c>
      <c r="L238" s="178">
        <f>COUNTIFS(เรื่องร้องเรียน!E:E,"5",เรื่องร้องเรียน!N:N,"วังทองหลาง",เรื่องร้องเรียน!CL:CL,"1")</f>
        <v>0</v>
      </c>
      <c r="M238" s="178">
        <f t="shared" ref="M238:N240" si="93">SUM(C238,E238,G238,I238,K238)</f>
        <v>0</v>
      </c>
      <c r="N238" s="179">
        <f t="shared" si="93"/>
        <v>0</v>
      </c>
      <c r="O238" s="180"/>
      <c r="P238" s="178"/>
      <c r="Q238" s="178"/>
      <c r="R238" s="178"/>
      <c r="S238" s="178">
        <f>COUNTIFS(เรื่องร้องเรียน!E:E,"5",เรื่องร้องเรียน!N:N,"วังทองหลาง",เรื่องร้องเรียน!AQ:AQ,"1",เรื่องร้องเรียน!CL:CL,"")</f>
        <v>0</v>
      </c>
      <c r="T238" s="181">
        <f t="shared" si="65"/>
        <v>0</v>
      </c>
      <c r="U238" s="182">
        <f t="shared" si="91"/>
        <v>0</v>
      </c>
      <c r="V238" s="10" t="s">
        <v>120</v>
      </c>
      <c r="W238" s="129">
        <f t="shared" si="81"/>
        <v>0</v>
      </c>
    </row>
    <row r="239" spans="1:23">
      <c r="A239" s="148"/>
      <c r="B239" s="171" t="s">
        <v>132</v>
      </c>
      <c r="C239" s="246">
        <f>COUNTIFS(เรื่องร้องเรียน!E:E,"1",เรื่องร้องเรียน!N:N,"วังทองหลาง",เรื่องร้องเรียน!AN:AN,"โชคชัย")</f>
        <v>0</v>
      </c>
      <c r="D239" s="109">
        <f>COUNTIFS(เรื่องร้องเรียน!E:E,"1",เรื่องร้องเรียน!N:N,"วังทองหลาง",เรื่องร้องเรียน!AN:AN,"โชคชัย",เรื่องร้องเรียน!CL:CL,"1")</f>
        <v>0</v>
      </c>
      <c r="E239" s="109">
        <f>COUNTIFS(เรื่องร้องเรียน!E:E,"2",เรื่องร้องเรียน!N:N,"วังทองหลาง",เรื่องร้องเรียน!AN:AN,"โชคชัย")</f>
        <v>0</v>
      </c>
      <c r="F239" s="109">
        <f>COUNTIFS(เรื่องร้องเรียน!E:E,"2",เรื่องร้องเรียน!N:N,"วังทองหลาง",เรื่องร้องเรียน!AN:AN,"โชคชัย",เรื่องร้องเรียน!CL:CL,"1")</f>
        <v>0</v>
      </c>
      <c r="G239" s="109">
        <f>COUNTIFS(เรื่องร้องเรียน!E:E,"3",เรื่องร้องเรียน!N:N,"วังทองหลาง",เรื่องร้องเรียน!AN:AN,"โชคชัย")</f>
        <v>0</v>
      </c>
      <c r="H239" s="109">
        <f>COUNTIFS(เรื่องร้องเรียน!E:E,"3",เรื่องร้องเรียน!N:N,"วังทองหลาง",เรื่องร้องเรียน!AN:AN,"โชคชัย",เรื่องร้องเรียน!CL:CL,"1")</f>
        <v>0</v>
      </c>
      <c r="I239" s="109">
        <f>COUNTIFS(เรื่องร้องเรียน!E:E,"4",เรื่องร้องเรียน!N:N,"วังทองหลาง",เรื่องร้องเรียน!AN:AN,"โชคชัย")</f>
        <v>0</v>
      </c>
      <c r="J239" s="144">
        <f>COUNTIFS(เรื่องร้องเรียน!E:E,"4",เรื่องร้องเรียน!N:N,"วังทองหลาง",เรื่องร้องเรียน!AN:AN,"โชคชัย",เรื่องร้องเรียน!CL:CL,"1")</f>
        <v>0</v>
      </c>
      <c r="K239" s="144"/>
      <c r="L239" s="144"/>
      <c r="M239" s="109">
        <f t="shared" si="93"/>
        <v>0</v>
      </c>
      <c r="N239" s="145">
        <f t="shared" si="93"/>
        <v>0</v>
      </c>
      <c r="O239" s="146">
        <f>COUNTIFS(เรื่องร้องเรียน!E:E,"1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P239" s="144">
        <f>COUNTIFS(เรื่องร้องเรียน!E:E,"2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Q239" s="144">
        <f>COUNTIFS(เรื่องร้องเรียน!E:E,"3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R239" s="144">
        <f>COUNTIFS(เรื่องร้องเรียน!E:E,"4",เรื่องร้องเรียน!N:N,"วังทองหลาง",เรื่องร้องเรียน!AN:AN,"โชคชัย",เรื่องร้องเรียน!AQ:AQ,"1",เรื่องร้องเรียน!CL:CL,"")</f>
        <v>0</v>
      </c>
      <c r="S239" s="144"/>
      <c r="T239" s="147">
        <f t="shared" ref="T239:T299" si="94">SUM(O239:S239)</f>
        <v>0</v>
      </c>
      <c r="U239" s="183">
        <f t="shared" si="91"/>
        <v>0</v>
      </c>
      <c r="W239" s="129">
        <f t="shared" si="81"/>
        <v>0</v>
      </c>
    </row>
    <row r="240" spans="1:23">
      <c r="A240" s="148"/>
      <c r="B240" s="171" t="s">
        <v>179</v>
      </c>
      <c r="C240" s="246">
        <f>COUNTIFS(เรื่องร้องเรียน!E:E,"1",เรื่องร้องเรียน!N:N,"วังทองหลาง",เรื่องร้องเรียน!AN:AN,"วังทองหลาง")</f>
        <v>0</v>
      </c>
      <c r="D240" s="109">
        <f>COUNTIFS(เรื่องร้องเรียน!E:E,"1",เรื่องร้องเรียน!N:N,"วังทองหลาง",เรื่องร้องเรียน!AN:AN,"วังทองหลาง",เรื่องร้องเรียน!CL:CL,"1")</f>
        <v>0</v>
      </c>
      <c r="E240" s="109">
        <f>COUNTIFS(เรื่องร้องเรียน!E:E,"2",เรื่องร้องเรียน!N:N,"วังทองหลาง",เรื่องร้องเรียน!AN:AN,"วังทองหลาง")</f>
        <v>0</v>
      </c>
      <c r="F240" s="109">
        <f>COUNTIFS(เรื่องร้องเรียน!E:E,"2",เรื่องร้องเรียน!N:N,"วังทองหลาง",เรื่องร้องเรียน!AN:AN,"วังทองหลาง",เรื่องร้องเรียน!CL:CL,"1")</f>
        <v>0</v>
      </c>
      <c r="G240" s="109">
        <f>COUNTIFS(เรื่องร้องเรียน!E:E,"3",เรื่องร้องเรียน!N:N,"วังทองหลาง",เรื่องร้องเรียน!AN:AN,"วังทองหลาง")</f>
        <v>0</v>
      </c>
      <c r="H240" s="109">
        <f>COUNTIFS(เรื่องร้องเรียน!E:E,"3",เรื่องร้องเรียน!N:N,"วังทองหลาง",เรื่องร้องเรียน!AN:AN,"วังทองหลาง",เรื่องร้องเรียน!CL:CL,"1")</f>
        <v>0</v>
      </c>
      <c r="I240" s="109">
        <f>COUNTIFS(เรื่องร้องเรียน!E:E,"4",เรื่องร้องเรียน!N:N,"วังทองหลาง",เรื่องร้องเรียน!AN:AN,"วังทองหลาง")</f>
        <v>0</v>
      </c>
      <c r="J240" s="144">
        <f>COUNTIFS(เรื่องร้องเรียน!E:E,"4",เรื่องร้องเรียน!N:N,"วังทองหลาง",เรื่องร้องเรียน!AN:AN,"วังทองหลาง",เรื่องร้องเรียน!CL:CL,"1")</f>
        <v>0</v>
      </c>
      <c r="K240" s="144"/>
      <c r="L240" s="144"/>
      <c r="M240" s="109">
        <f t="shared" si="93"/>
        <v>0</v>
      </c>
      <c r="N240" s="145">
        <f t="shared" si="93"/>
        <v>0</v>
      </c>
      <c r="O240" s="146">
        <f>COUNTIFS(เรื่องร้องเรียน!E:E,"1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P240" s="144">
        <f>COUNTIFS(เรื่องร้องเรียน!E:E,"2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Q240" s="144">
        <f>COUNTIFS(เรื่องร้องเรียน!E:E,"3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R240" s="144">
        <f>COUNTIFS(เรื่องร้องเรียน!E:E,"4",เรื่องร้องเรียน!N:N,"วังทองหลาง",เรื่องร้องเรียน!AN:AN,"วังทองหลาง",เรื่องร้องเรียน!AQ:AQ,"1",เรื่องร้องเรียน!CL:CL,"")</f>
        <v>0</v>
      </c>
      <c r="S240" s="144"/>
      <c r="T240" s="147">
        <f t="shared" si="94"/>
        <v>0</v>
      </c>
      <c r="U240" s="183">
        <f t="shared" si="91"/>
        <v>0</v>
      </c>
      <c r="W240" s="129">
        <f t="shared" si="81"/>
        <v>0</v>
      </c>
    </row>
    <row r="241" spans="1:23" ht="21.6" thickBot="1">
      <c r="A241" s="174"/>
      <c r="B241" s="172" t="s">
        <v>120</v>
      </c>
      <c r="C241" s="231">
        <f>COUNTIFS(เรื่องร้องเรียน!E:E,"1",เรื่องร้องเรียน!N:N,"วังทองหลาง",เรื่องร้องเรียน!AN:AN,"ลาดพร้าว")</f>
        <v>0</v>
      </c>
      <c r="D241" s="124">
        <f>COUNTIFS(เรื่องร้องเรียน!E:E,"1",เรื่องร้องเรียน!N:N,"วังทองหลาง",เรื่องร้องเรียน!AN:AN,"ลาดพร้าว",เรื่องร้องเรียน!CL:CL,"1")</f>
        <v>0</v>
      </c>
      <c r="E241" s="124">
        <f>COUNTIFS(เรื่องร้องเรียน!E:E,"2",เรื่องร้องเรียน!N:N,"วังทองหลาง",เรื่องร้องเรียน!AN:AN,"ลาดพร้าว")</f>
        <v>0</v>
      </c>
      <c r="F241" s="124">
        <f>COUNTIFS(เรื่องร้องเรียน!E:E,"2",เรื่องร้องเรียน!N:N,"วังทองหลาง",เรื่องร้องเรียน!AN:AN,"ลาดพร้าว",เรื่องร้องเรียน!CL:CL,"1")</f>
        <v>0</v>
      </c>
      <c r="G241" s="124">
        <f>COUNTIFS(เรื่องร้องเรียน!E:E,"3",เรื่องร้องเรียน!N:N,"วังทองหลาง",เรื่องร้องเรียน!AN:AN,"ลาดพร้าว")</f>
        <v>0</v>
      </c>
      <c r="H241" s="124">
        <f>COUNTIFS(เรื่องร้องเรียน!E:E,"3",เรื่องร้องเรียน!N:N,"วังทองหลาง",เรื่องร้องเรียน!AN:AN,"ลาดพร้าว",เรื่องร้องเรียน!CL:CL,"1")</f>
        <v>0</v>
      </c>
      <c r="I241" s="124">
        <f>COUNTIFS(เรื่องร้องเรียน!E:E,"4",เรื่องร้องเรียน!N:N,"วังทองหลาง",เรื่องร้องเรียน!AN:AN,"ลาดพร้าว")</f>
        <v>0</v>
      </c>
      <c r="J241" s="157">
        <f>COUNTIFS(เรื่องร้องเรียน!E:E,"4",เรื่องร้องเรียน!N:N,"วังทองหลาง",เรื่องร้องเรียน!AN:AN,"ลาดพร้าว",เรื่องร้องเรียน!CL:CL,"1")</f>
        <v>0</v>
      </c>
      <c r="K241" s="157"/>
      <c r="L241" s="157"/>
      <c r="M241" s="124">
        <f>SUM(C241,E241,G241,I241,K241)</f>
        <v>0</v>
      </c>
      <c r="N241" s="158">
        <f>SUM(D241,F241,H241,J241,L241)</f>
        <v>0</v>
      </c>
      <c r="O241" s="159">
        <f>COUNTIFS(เรื่องร้องเรียน!E:E,"1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P241" s="157">
        <f>COUNTIFS(เรื่องร้องเรียน!E:E,"2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Q241" s="157">
        <f>COUNTIFS(เรื่องร้องเรียน!E:E,"3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R241" s="157">
        <f>COUNTIFS(เรื่องร้องเรียน!E:E,"4",เรื่องร้องเรียน!N:N,"วังทองหลาง",เรื่องร้องเรียน!AN:AN,"ลาดพร้าว",เรื่องร้องเรียน!AQ:AQ,"1",เรื่องร้องเรียน!CL:CL,"")</f>
        <v>0</v>
      </c>
      <c r="S241" s="157"/>
      <c r="T241" s="160">
        <f>SUM(O241:S241)</f>
        <v>0</v>
      </c>
      <c r="U241" s="184">
        <f>M241-N241-T241</f>
        <v>0</v>
      </c>
      <c r="W241" s="129">
        <f t="shared" si="81"/>
        <v>0</v>
      </c>
    </row>
    <row r="242" spans="1:23" ht="21.6" thickBot="1">
      <c r="A242" s="168" t="s">
        <v>136</v>
      </c>
      <c r="B242" s="166" t="s">
        <v>152</v>
      </c>
      <c r="C242" s="132">
        <f>SUM(C243:C247)</f>
        <v>0</v>
      </c>
      <c r="D242" s="131">
        <f t="shared" ref="D242:T242" si="95">SUM(D243:D247)</f>
        <v>0</v>
      </c>
      <c r="E242" s="131">
        <f t="shared" si="95"/>
        <v>0</v>
      </c>
      <c r="F242" s="131">
        <f t="shared" si="95"/>
        <v>0</v>
      </c>
      <c r="G242" s="131">
        <f t="shared" si="95"/>
        <v>0</v>
      </c>
      <c r="H242" s="131">
        <f t="shared" si="95"/>
        <v>0</v>
      </c>
      <c r="I242" s="131">
        <f t="shared" si="95"/>
        <v>0</v>
      </c>
      <c r="J242" s="131">
        <f t="shared" si="95"/>
        <v>0</v>
      </c>
      <c r="K242" s="131">
        <f t="shared" si="95"/>
        <v>0</v>
      </c>
      <c r="L242" s="131">
        <f t="shared" si="95"/>
        <v>0</v>
      </c>
      <c r="M242" s="131">
        <f t="shared" si="95"/>
        <v>0</v>
      </c>
      <c r="N242" s="163">
        <f t="shared" si="95"/>
        <v>0</v>
      </c>
      <c r="O242" s="186">
        <f t="shared" si="95"/>
        <v>0</v>
      </c>
      <c r="P242" s="186">
        <f t="shared" si="95"/>
        <v>0</v>
      </c>
      <c r="Q242" s="186">
        <f t="shared" si="95"/>
        <v>0</v>
      </c>
      <c r="R242" s="186">
        <f t="shared" si="95"/>
        <v>0</v>
      </c>
      <c r="S242" s="186">
        <f t="shared" si="95"/>
        <v>0</v>
      </c>
      <c r="T242" s="133">
        <f t="shared" si="95"/>
        <v>0</v>
      </c>
      <c r="U242" s="134">
        <f t="shared" si="91"/>
        <v>0</v>
      </c>
      <c r="W242" s="135">
        <f t="shared" si="81"/>
        <v>0</v>
      </c>
    </row>
    <row r="243" spans="1:23">
      <c r="A243" s="173"/>
      <c r="B243" s="170" t="s">
        <v>20</v>
      </c>
      <c r="C243" s="180"/>
      <c r="D243" s="178"/>
      <c r="E243" s="178"/>
      <c r="F243" s="178"/>
      <c r="G243" s="178"/>
      <c r="H243" s="178"/>
      <c r="I243" s="178"/>
      <c r="J243" s="178"/>
      <c r="K243" s="178">
        <f>COUNTIFS(เรื่องร้องเรียน!E:E,"5",เรื่องร้องเรียน!N:N,"วัฒนา")</f>
        <v>0</v>
      </c>
      <c r="L243" s="178">
        <f>COUNTIFS(เรื่องร้องเรียน!E:E,"5",เรื่องร้องเรียน!N:N,"วัฒนา",เรื่องร้องเรียน!CL:CL,"1")</f>
        <v>0</v>
      </c>
      <c r="M243" s="178">
        <f t="shared" ref="M243:N246" si="96">SUM(C243,E243,G243,I243,K243)</f>
        <v>0</v>
      </c>
      <c r="N243" s="179">
        <f t="shared" si="96"/>
        <v>0</v>
      </c>
      <c r="O243" s="180"/>
      <c r="P243" s="178"/>
      <c r="Q243" s="178"/>
      <c r="R243" s="178"/>
      <c r="S243" s="178">
        <f>COUNTIFS(เรื่องร้องเรียน!E:E,"5",เรื่องร้องเรียน!N:N,"วัฒนา",เรื่องร้องเรียน!AQ:AQ,"1",เรื่องร้องเรียน!CL:CL,"")</f>
        <v>0</v>
      </c>
      <c r="T243" s="181">
        <f t="shared" si="94"/>
        <v>0</v>
      </c>
      <c r="U243" s="182">
        <f t="shared" si="91"/>
        <v>0</v>
      </c>
      <c r="V243" s="10" t="s">
        <v>115</v>
      </c>
      <c r="W243" s="129">
        <f t="shared" si="81"/>
        <v>0</v>
      </c>
    </row>
    <row r="244" spans="1:23">
      <c r="A244" s="148"/>
      <c r="B244" s="171" t="s">
        <v>128</v>
      </c>
      <c r="C244" s="246">
        <f>COUNTIFS(เรื่องร้องเรียน!E:E,"1",เรื่องร้องเรียน!N:N,"วัฒนา",เรื่องร้องเรียน!AN:AN,"คลองตัน")</f>
        <v>0</v>
      </c>
      <c r="D244" s="109">
        <f>COUNTIFS(เรื่องร้องเรียน!E:E,"1",เรื่องร้องเรียน!N:N,"วัฒนา",เรื่องร้องเรียน!AN:AN,"คลองตัน",เรื่องร้องเรียน!CL:CL,"1")</f>
        <v>0</v>
      </c>
      <c r="E244" s="109">
        <f>COUNTIFS(เรื่องร้องเรียน!E:E,"2",เรื่องร้องเรียน!N:N,"วัฒนา",เรื่องร้องเรียน!AN:AN,"คลองตัน")</f>
        <v>0</v>
      </c>
      <c r="F244" s="109">
        <f>COUNTIFS(เรื่องร้องเรียน!E:E,"2",เรื่องร้องเรียน!N:N,"วัฒนา",เรื่องร้องเรียน!AN:AN,"คลองตัน",เรื่องร้องเรียน!CL:CL,"1")</f>
        <v>0</v>
      </c>
      <c r="G244" s="109">
        <f>COUNTIFS(เรื่องร้องเรียน!E:E,"3",เรื่องร้องเรียน!N:N,"วัฒนา",เรื่องร้องเรียน!AN:AN,"คลองตัน")</f>
        <v>0</v>
      </c>
      <c r="H244" s="109">
        <f>COUNTIFS(เรื่องร้องเรียน!E:E,"3",เรื่องร้องเรียน!N:N,"วัฒนา",เรื่องร้องเรียน!AN:AN,"คลองตัน",เรื่องร้องเรียน!CL:CL,"1")</f>
        <v>0</v>
      </c>
      <c r="I244" s="109">
        <f>COUNTIFS(เรื่องร้องเรียน!E:E,"4",เรื่องร้องเรียน!N:N,"วัฒนา",เรื่องร้องเรียน!AN:AN,"คลองตัน")</f>
        <v>0</v>
      </c>
      <c r="J244" s="144">
        <f>COUNTIFS(เรื่องร้องเรียน!E:E,"4",เรื่องร้องเรียน!N:N,"วัฒนา",เรื่องร้องเรียน!AN:AN,"คลองตัน",เรื่องร้องเรียน!CL:CL,"1")</f>
        <v>0</v>
      </c>
      <c r="K244" s="144"/>
      <c r="L244" s="144"/>
      <c r="M244" s="109">
        <f t="shared" si="96"/>
        <v>0</v>
      </c>
      <c r="N244" s="145">
        <f t="shared" si="96"/>
        <v>0</v>
      </c>
      <c r="O244" s="146">
        <f>COUNTIFS(เรื่องร้องเรียน!E:E,"1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P244" s="144">
        <f>COUNTIFS(เรื่องร้องเรียน!E:E,"2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Q244" s="144">
        <f>COUNTIFS(เรื่องร้องเรียน!E:E,"3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R244" s="144">
        <f>COUNTIFS(เรื่องร้องเรียน!E:E,"4",เรื่องร้องเรียน!N:N,"วัฒนา",เรื่องร้องเรียน!AN:AN,"คลองตัน",เรื่องร้องเรียน!AQ:AQ,"1",เรื่องร้องเรียน!CL:CL,"")</f>
        <v>0</v>
      </c>
      <c r="S244" s="144"/>
      <c r="T244" s="147">
        <f t="shared" si="94"/>
        <v>0</v>
      </c>
      <c r="U244" s="183">
        <f t="shared" si="91"/>
        <v>0</v>
      </c>
      <c r="W244" s="129">
        <f t="shared" si="81"/>
        <v>0</v>
      </c>
    </row>
    <row r="245" spans="1:23">
      <c r="A245" s="148"/>
      <c r="B245" s="171" t="s">
        <v>137</v>
      </c>
      <c r="C245" s="246">
        <f>COUNTIFS(เรื่องร้องเรียน!E:E,"1",เรื่องร้องเรียน!N:N,"วัฒนา",เรื่องร้องเรียน!AN:AN,"ทองหล่อ")</f>
        <v>0</v>
      </c>
      <c r="D245" s="109">
        <f>COUNTIFS(เรื่องร้องเรียน!E:E,"1",เรื่องร้องเรียน!N:N,"วัฒนา",เรื่องร้องเรียน!AN:AN,"ทองหล่อ",เรื่องร้องเรียน!CL:CL,"1")</f>
        <v>0</v>
      </c>
      <c r="E245" s="109">
        <f>COUNTIFS(เรื่องร้องเรียน!E:E,"2",เรื่องร้องเรียน!N:N,"วัฒนา",เรื่องร้องเรียน!AN:AN,"ทองหล่อ")</f>
        <v>0</v>
      </c>
      <c r="F245" s="109">
        <f>COUNTIFS(เรื่องร้องเรียน!E:E,"2",เรื่องร้องเรียน!N:N,"วัฒนา",เรื่องร้องเรียน!AN:AN,"ทองหล่อ",เรื่องร้องเรียน!CL:CL,"1")</f>
        <v>0</v>
      </c>
      <c r="G245" s="109">
        <f>COUNTIFS(เรื่องร้องเรียน!E:E,"3",เรื่องร้องเรียน!N:N,"วัฒนา",เรื่องร้องเรียน!AN:AN,"ทองหล่อ")</f>
        <v>0</v>
      </c>
      <c r="H245" s="109">
        <f>COUNTIFS(เรื่องร้องเรียน!E:E,"3",เรื่องร้องเรียน!N:N,"วัฒนา",เรื่องร้องเรียน!AN:AN,"ทองหล่อ",เรื่องร้องเรียน!CL:CL,"1")</f>
        <v>0</v>
      </c>
      <c r="I245" s="109">
        <f>COUNTIFS(เรื่องร้องเรียน!E:E,"4",เรื่องร้องเรียน!N:N,"วัฒนา",เรื่องร้องเรียน!AN:AN,"ทองหล่อ")</f>
        <v>0</v>
      </c>
      <c r="J245" s="144">
        <f>COUNTIFS(เรื่องร้องเรียน!E:E,"4",เรื่องร้องเรียน!N:N,"วัฒนา",เรื่องร้องเรียน!AN:AN,"ทองหล่อ",เรื่องร้องเรียน!CL:CL,"1")</f>
        <v>0</v>
      </c>
      <c r="K245" s="144"/>
      <c r="L245" s="144"/>
      <c r="M245" s="109">
        <f t="shared" si="96"/>
        <v>0</v>
      </c>
      <c r="N245" s="145">
        <f t="shared" si="96"/>
        <v>0</v>
      </c>
      <c r="O245" s="146">
        <f>COUNTIFS(เรื่องร้องเรียน!E:E,"1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P245" s="144">
        <f>COUNTIFS(เรื่องร้องเรียน!E:E,"2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Q245" s="144">
        <f>COUNTIFS(เรื่องร้องเรียน!E:E,"3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R245" s="144">
        <f>COUNTIFS(เรื่องร้องเรียน!E:E,"4",เรื่องร้องเรียน!N:N,"วัฒนา",เรื่องร้องเรียน!AN:AN,"ทองหล่อ",เรื่องร้องเรียน!AQ:AQ,"1",เรื่องร้องเรียน!CL:CL,"")</f>
        <v>0</v>
      </c>
      <c r="S245" s="144"/>
      <c r="T245" s="147">
        <f t="shared" si="94"/>
        <v>0</v>
      </c>
      <c r="U245" s="183">
        <f t="shared" si="91"/>
        <v>0</v>
      </c>
      <c r="W245" s="129">
        <f t="shared" si="81"/>
        <v>0</v>
      </c>
    </row>
    <row r="246" spans="1:23">
      <c r="A246" s="148"/>
      <c r="B246" s="171" t="s">
        <v>98</v>
      </c>
      <c r="C246" s="246">
        <f>COUNTIFS(เรื่องร้องเรียน!E:E,"1",เรื่องร้องเรียน!N:N,"วัฒนา",เรื่องร้องเรียน!AN:AN,"ลุมพินี")</f>
        <v>0</v>
      </c>
      <c r="D246" s="109">
        <f>COUNTIFS(เรื่องร้องเรียน!E:E,"1",เรื่องร้องเรียน!N:N,"วัฒนา",เรื่องร้องเรียน!AN:AN,"ลุมพินี",เรื่องร้องเรียน!CL:CL,"1")</f>
        <v>0</v>
      </c>
      <c r="E246" s="109">
        <f>COUNTIFS(เรื่องร้องเรียน!E:E,"2",เรื่องร้องเรียน!N:N,"วัฒนา",เรื่องร้องเรียน!AN:AN,"ลุมพินี")</f>
        <v>0</v>
      </c>
      <c r="F246" s="109">
        <f>COUNTIFS(เรื่องร้องเรียน!E:E,"2",เรื่องร้องเรียน!N:N,"วัฒนา",เรื่องร้องเรียน!AN:AN,"ลุมพินี",เรื่องร้องเรียน!CL:CL,"1")</f>
        <v>0</v>
      </c>
      <c r="G246" s="109">
        <f>COUNTIFS(เรื่องร้องเรียน!E:E,"3",เรื่องร้องเรียน!N:N,"วัฒนา",เรื่องร้องเรียน!AN:AN,"ลุมพินี")</f>
        <v>0</v>
      </c>
      <c r="H246" s="109">
        <f>COUNTIFS(เรื่องร้องเรียน!E:E,"3",เรื่องร้องเรียน!N:N,"วัฒนา",เรื่องร้องเรียน!AN:AN,"ลุมพินี",เรื่องร้องเรียน!CL:CL,"1")</f>
        <v>0</v>
      </c>
      <c r="I246" s="109">
        <f>COUNTIFS(เรื่องร้องเรียน!E:E,"4",เรื่องร้องเรียน!N:N,"วัฒนา",เรื่องร้องเรียน!AN:AN,"ลุมพินี")</f>
        <v>0</v>
      </c>
      <c r="J246" s="144">
        <f>COUNTIFS(เรื่องร้องเรียน!E:E,"4",เรื่องร้องเรียน!N:N,"วัฒนา",เรื่องร้องเรียน!AN:AN,"ลุมพินี",เรื่องร้องเรียน!CL:CL,"1")</f>
        <v>0</v>
      </c>
      <c r="K246" s="144"/>
      <c r="L246" s="144"/>
      <c r="M246" s="109">
        <f t="shared" si="96"/>
        <v>0</v>
      </c>
      <c r="N246" s="145">
        <f t="shared" si="96"/>
        <v>0</v>
      </c>
      <c r="O246" s="146">
        <f>COUNTIFS(เรื่องร้องเรียน!E:E,"1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P246" s="144">
        <f>COUNTIFS(เรื่องร้องเรียน!E:E,"2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Q246" s="144">
        <f>COUNTIFS(เรื่องร้องเรียน!E:E,"3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R246" s="144">
        <f>COUNTIFS(เรื่องร้องเรียน!E:E,"4",เรื่องร้องเรียน!N:N,"วัฒนา",เรื่องร้องเรียน!AN:AN,"ลุมพินี",เรื่องร้องเรียน!AQ:AQ,"1",เรื่องร้องเรียน!CL:CL,"")</f>
        <v>0</v>
      </c>
      <c r="S246" s="144"/>
      <c r="T246" s="147">
        <f t="shared" si="94"/>
        <v>0</v>
      </c>
      <c r="U246" s="183">
        <f t="shared" si="91"/>
        <v>0</v>
      </c>
      <c r="W246" s="129">
        <f t="shared" si="81"/>
        <v>0</v>
      </c>
    </row>
    <row r="247" spans="1:23" ht="21.6" thickBot="1">
      <c r="A247" s="174"/>
      <c r="B247" s="172" t="s">
        <v>115</v>
      </c>
      <c r="C247" s="231">
        <f>COUNTIFS(เรื่องร้องเรียน!E:E,"1",เรื่องร้องเรียน!N:N,"วัฒนา",เรื่องร้องเรียน!AN:AN,"พระโขนง")</f>
        <v>0</v>
      </c>
      <c r="D247" s="124">
        <f>COUNTIFS(เรื่องร้องเรียน!E:E,"1",เรื่องร้องเรียน!N:N,"วัฒนา",เรื่องร้องเรียน!AN:AN,"พระโขนง",เรื่องร้องเรียน!CL:CL,"1")</f>
        <v>0</v>
      </c>
      <c r="E247" s="124">
        <f>COUNTIFS(เรื่องร้องเรียน!E:E,"2",เรื่องร้องเรียน!N:N,"วัฒนา",เรื่องร้องเรียน!AN:AN,"พระโขนง")</f>
        <v>0</v>
      </c>
      <c r="F247" s="124">
        <f>COUNTIFS(เรื่องร้องเรียน!E:E,"2",เรื่องร้องเรียน!N:N,"วัฒนา",เรื่องร้องเรียน!AN:AN,"พระโขนง",เรื่องร้องเรียน!CL:CL,"1")</f>
        <v>0</v>
      </c>
      <c r="G247" s="124">
        <f>COUNTIFS(เรื่องร้องเรียน!E:E,"3",เรื่องร้องเรียน!N:N,"วัฒนา",เรื่องร้องเรียน!AN:AN,"พระโขนง")</f>
        <v>0</v>
      </c>
      <c r="H247" s="124">
        <f>COUNTIFS(เรื่องร้องเรียน!E:E,"3",เรื่องร้องเรียน!N:N,"วัฒนา",เรื่องร้องเรียน!AN:AN,"พระโขนง",เรื่องร้องเรียน!CL:CL,"1")</f>
        <v>0</v>
      </c>
      <c r="I247" s="124">
        <f>COUNTIFS(เรื่องร้องเรียน!E:E,"4",เรื่องร้องเรียน!N:N,"วัฒนา",เรื่องร้องเรียน!AN:AN,"พระโขนง")</f>
        <v>0</v>
      </c>
      <c r="J247" s="157">
        <f>COUNTIFS(เรื่องร้องเรียน!E:E,"4",เรื่องร้องเรียน!N:N,"วัฒนา",เรื่องร้องเรียน!AN:AN,"พระโขนง",เรื่องร้องเรียน!CL:CL,"1")</f>
        <v>0</v>
      </c>
      <c r="K247" s="157"/>
      <c r="L247" s="157"/>
      <c r="M247" s="124">
        <f>SUM(C247,E247,G247,I247,K247)</f>
        <v>0</v>
      </c>
      <c r="N247" s="158">
        <f>SUM(D247,F247,H247,J247,L247)</f>
        <v>0</v>
      </c>
      <c r="O247" s="159">
        <f>COUNTIFS(เรื่องร้องเรียน!E:E,"1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P247" s="157">
        <f>COUNTIFS(เรื่องร้องเรียน!E:E,"2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Q247" s="157">
        <f>COUNTIFS(เรื่องร้องเรียน!E:E,"3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R247" s="157">
        <f>COUNTIFS(เรื่องร้องเรียน!E:E,"4",เรื่องร้องเรียน!N:N,"วัฒนา",เรื่องร้องเรียน!AN:AN,"พระโขนง",เรื่องร้องเรียน!AQ:AQ,"1",เรื่องร้องเรียน!CL:CL,"")</f>
        <v>0</v>
      </c>
      <c r="S247" s="157"/>
      <c r="T247" s="160">
        <f>SUM(O247:S247)</f>
        <v>0</v>
      </c>
      <c r="U247" s="184">
        <f>M247-N247-T247</f>
        <v>0</v>
      </c>
      <c r="W247" s="129">
        <f t="shared" si="81"/>
        <v>0</v>
      </c>
    </row>
    <row r="248" spans="1:23" ht="21.6" thickBot="1">
      <c r="A248" s="168" t="s">
        <v>90</v>
      </c>
      <c r="B248" s="166" t="s">
        <v>152</v>
      </c>
      <c r="C248" s="132">
        <f>SUM(C249:C254)</f>
        <v>0</v>
      </c>
      <c r="D248" s="131">
        <f t="shared" ref="D248:T248" si="97">SUM(D249:D254)</f>
        <v>0</v>
      </c>
      <c r="E248" s="131">
        <f t="shared" si="97"/>
        <v>0</v>
      </c>
      <c r="F248" s="131">
        <f t="shared" si="97"/>
        <v>0</v>
      </c>
      <c r="G248" s="131">
        <f t="shared" si="97"/>
        <v>0</v>
      </c>
      <c r="H248" s="131">
        <f t="shared" si="97"/>
        <v>0</v>
      </c>
      <c r="I248" s="131">
        <f t="shared" si="97"/>
        <v>0</v>
      </c>
      <c r="J248" s="131">
        <f t="shared" si="97"/>
        <v>0</v>
      </c>
      <c r="K248" s="131">
        <f t="shared" si="97"/>
        <v>0</v>
      </c>
      <c r="L248" s="131">
        <f t="shared" si="97"/>
        <v>0</v>
      </c>
      <c r="M248" s="131">
        <f t="shared" si="97"/>
        <v>0</v>
      </c>
      <c r="N248" s="163">
        <f t="shared" si="97"/>
        <v>0</v>
      </c>
      <c r="O248" s="186">
        <f t="shared" si="97"/>
        <v>0</v>
      </c>
      <c r="P248" s="186">
        <f t="shared" si="97"/>
        <v>0</v>
      </c>
      <c r="Q248" s="186">
        <f t="shared" si="97"/>
        <v>0</v>
      </c>
      <c r="R248" s="186">
        <f t="shared" si="97"/>
        <v>0</v>
      </c>
      <c r="S248" s="186">
        <f t="shared" si="97"/>
        <v>0</v>
      </c>
      <c r="T248" s="133">
        <f t="shared" si="97"/>
        <v>0</v>
      </c>
      <c r="U248" s="134">
        <f t="shared" si="91"/>
        <v>0</v>
      </c>
      <c r="W248" s="135">
        <f t="shared" si="81"/>
        <v>0</v>
      </c>
    </row>
    <row r="249" spans="1:23">
      <c r="A249" s="173"/>
      <c r="B249" s="170" t="s">
        <v>20</v>
      </c>
      <c r="C249" s="180"/>
      <c r="D249" s="178"/>
      <c r="E249" s="178"/>
      <c r="F249" s="178"/>
      <c r="G249" s="178"/>
      <c r="H249" s="178"/>
      <c r="I249" s="178"/>
      <c r="J249" s="178"/>
      <c r="K249" s="178">
        <f>COUNTIFS(เรื่องร้องเรียน!E:E,"5",เรื่องร้องเรียน!N:N,"สวนหลวง")</f>
        <v>0</v>
      </c>
      <c r="L249" s="178">
        <f>COUNTIFS(เรื่องร้องเรียน!E:E,"5",เรื่องร้องเรียน!N:N,"สวนหลวง",เรื่องร้องเรียน!CL:CL,"1")</f>
        <v>0</v>
      </c>
      <c r="M249" s="178">
        <f t="shared" ref="M249:N253" si="98">SUM(C249,E249,G249,I249,K249)</f>
        <v>0</v>
      </c>
      <c r="N249" s="179">
        <f t="shared" si="98"/>
        <v>0</v>
      </c>
      <c r="O249" s="180"/>
      <c r="P249" s="178"/>
      <c r="Q249" s="178"/>
      <c r="R249" s="178"/>
      <c r="S249" s="178">
        <f>COUNTIFS(เรื่องร้องเรียน!E:E,"5",เรื่องร้องเรียน!N:N,"สวนหลวง",เรื่องร้องเรียน!AQ:AQ,"1",เรื่องร้องเรียน!CL:CL,"")</f>
        <v>0</v>
      </c>
      <c r="T249" s="181">
        <f t="shared" si="94"/>
        <v>0</v>
      </c>
      <c r="U249" s="182">
        <f t="shared" si="91"/>
        <v>0</v>
      </c>
      <c r="W249" s="129">
        <f t="shared" si="81"/>
        <v>0</v>
      </c>
    </row>
    <row r="250" spans="1:23">
      <c r="A250" s="148"/>
      <c r="B250" s="171" t="s">
        <v>128</v>
      </c>
      <c r="C250" s="246">
        <f>COUNTIFS(เรื่องร้องเรียน!E:E,"1",เรื่องร้องเรียน!N:N,"สวนหลวง",เรื่องร้องเรียน!AN:AN,"คลองตัน")</f>
        <v>0</v>
      </c>
      <c r="D250" s="109">
        <f>COUNTIFS(เรื่องร้องเรียน!E:E,"1",เรื่องร้องเรียน!N:N,"สวนหลวง",เรื่องร้องเรียน!AN:AN,"คลองตัน",เรื่องร้องเรียน!CL:CL,"1")</f>
        <v>0</v>
      </c>
      <c r="E250" s="109">
        <f>COUNTIFS(เรื่องร้องเรียน!E:E,"2",เรื่องร้องเรียน!N:N,"สวนหลวง",เรื่องร้องเรียน!AN:AN,"คลองตัน")</f>
        <v>0</v>
      </c>
      <c r="F250" s="109">
        <f>COUNTIFS(เรื่องร้องเรียน!E:E,"2",เรื่องร้องเรียน!N:N,"สวนหลวง",เรื่องร้องเรียน!AN:AN,"คลองตัน",เรื่องร้องเรียน!CL:CL,"1")</f>
        <v>0</v>
      </c>
      <c r="G250" s="109">
        <f>COUNTIFS(เรื่องร้องเรียน!E:E,"3",เรื่องร้องเรียน!N:N,"สวนหลวง",เรื่องร้องเรียน!AN:AN,"คลองตัน")</f>
        <v>0</v>
      </c>
      <c r="H250" s="109">
        <f>COUNTIFS(เรื่องร้องเรียน!E:E,"3",เรื่องร้องเรียน!N:N,"สวนหลวง",เรื่องร้องเรียน!AN:AN,"คลองตัน",เรื่องร้องเรียน!CL:CL,"1")</f>
        <v>0</v>
      </c>
      <c r="I250" s="109">
        <f>COUNTIFS(เรื่องร้องเรียน!E:E,"4",เรื่องร้องเรียน!N:N,"สวนหลวง",เรื่องร้องเรียน!AN:AN,"คลองตัน")</f>
        <v>0</v>
      </c>
      <c r="J250" s="144">
        <f>COUNTIFS(เรื่องร้องเรียน!E:E,"4",เรื่องร้องเรียน!N:N,"สวนหลวง",เรื่องร้องเรียน!AN:AN,"คลองตัน",เรื่องร้องเรียน!CL:CL,"1")</f>
        <v>0</v>
      </c>
      <c r="K250" s="144"/>
      <c r="L250" s="144"/>
      <c r="M250" s="109">
        <f t="shared" si="98"/>
        <v>0</v>
      </c>
      <c r="N250" s="145">
        <f t="shared" si="98"/>
        <v>0</v>
      </c>
      <c r="O250" s="146">
        <f>COUNTIFS(เรื่องร้องเรียน!E:E,"1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P250" s="144">
        <f>COUNTIFS(เรื่องร้องเรียน!E:E,"2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Q250" s="144">
        <f>COUNTIFS(เรื่องร้องเรียน!E:E,"3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R250" s="144">
        <f>COUNTIFS(เรื่องร้องเรียน!E:E,"4",เรื่องร้องเรียน!N:N,"สวนหลวง",เรื่องร้องเรียน!AN:AN,"คลองตัน",เรื่องร้องเรียน!AQ:AQ,"1",เรื่องร้องเรียน!CL:CL,"")</f>
        <v>0</v>
      </c>
      <c r="S250" s="144"/>
      <c r="T250" s="147">
        <f t="shared" si="94"/>
        <v>0</v>
      </c>
      <c r="U250" s="183">
        <f t="shared" si="91"/>
        <v>0</v>
      </c>
      <c r="V250" s="10" t="s">
        <v>74</v>
      </c>
      <c r="W250" s="129">
        <f t="shared" si="81"/>
        <v>0</v>
      </c>
    </row>
    <row r="251" spans="1:23">
      <c r="A251" s="148"/>
      <c r="B251" s="171" t="s">
        <v>73</v>
      </c>
      <c r="C251" s="246">
        <f>COUNTIFS(เรื่องร้องเรียน!E:E,"1",เรื่องร้องเรียน!N:N,"สวนหลวง",เรื่องร้องเรียน!AN:AN,"ประเวศ")</f>
        <v>0</v>
      </c>
      <c r="D251" s="109">
        <f>COUNTIFS(เรื่องร้องเรียน!E:E,"1",เรื่องร้องเรียน!N:N,"สวนหลวง",เรื่องร้องเรียน!AN:AN,"ประเวศ",เรื่องร้องเรียน!CL:CL,"1")</f>
        <v>0</v>
      </c>
      <c r="E251" s="109">
        <f>COUNTIFS(เรื่องร้องเรียน!E:E,"2",เรื่องร้องเรียน!N:N,"สวนหลวง",เรื่องร้องเรียน!AN:AN,"ประเวศ")</f>
        <v>0</v>
      </c>
      <c r="F251" s="109">
        <f>COUNTIFS(เรื่องร้องเรียน!E:E,"2",เรื่องร้องเรียน!N:N,"สวนหลวง",เรื่องร้องเรียน!AN:AN,"ประเวศ",เรื่องร้องเรียน!CL:CL,"1")</f>
        <v>0</v>
      </c>
      <c r="G251" s="109">
        <f>COUNTIFS(เรื่องร้องเรียน!E:E,"3",เรื่องร้องเรียน!N:N,"สวนหลวง",เรื่องร้องเรียน!AN:AN,"ประเวศ")</f>
        <v>0</v>
      </c>
      <c r="H251" s="109">
        <f>COUNTIFS(เรื่องร้องเรียน!E:E,"3",เรื่องร้องเรียน!N:N,"สวนหลวง",เรื่องร้องเรียน!AN:AN,"ประเวศ",เรื่องร้องเรียน!CL:CL,"1")</f>
        <v>0</v>
      </c>
      <c r="I251" s="109">
        <f>COUNTIFS(เรื่องร้องเรียน!E:E,"4",เรื่องร้องเรียน!N:N,"สวนหลวง",เรื่องร้องเรียน!AN:AN,"ประเวศ")</f>
        <v>0</v>
      </c>
      <c r="J251" s="144">
        <f>COUNTIFS(เรื่องร้องเรียน!E:E,"4",เรื่องร้องเรียน!N:N,"สวนหลวง",เรื่องร้องเรียน!AN:AN,"ประเวศ",เรื่องร้องเรียน!CL:CL,"1")</f>
        <v>0</v>
      </c>
      <c r="K251" s="144"/>
      <c r="L251" s="144"/>
      <c r="M251" s="109">
        <f t="shared" si="98"/>
        <v>0</v>
      </c>
      <c r="N251" s="145">
        <f t="shared" si="98"/>
        <v>0</v>
      </c>
      <c r="O251" s="146">
        <f>COUNTIFS(เรื่องร้องเรียน!E:E,"1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P251" s="144">
        <f>COUNTIFS(เรื่องร้องเรียน!E:E,"2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Q251" s="144">
        <f>COUNTIFS(เรื่องร้องเรียน!E:E,"3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R251" s="144">
        <f>COUNTIFS(เรื่องร้องเรียน!E:E,"4",เรื่องร้องเรียน!N:N,"สวนหลวง",เรื่องร้องเรียน!AN:AN,"ประเวศ",เรื่องร้องเรียน!AQ:AQ,"1",เรื่องร้องเรียน!CL:CL,"")</f>
        <v>0</v>
      </c>
      <c r="S251" s="144"/>
      <c r="T251" s="147">
        <f t="shared" si="94"/>
        <v>0</v>
      </c>
      <c r="U251" s="183">
        <f t="shared" si="91"/>
        <v>0</v>
      </c>
      <c r="W251" s="129">
        <f t="shared" si="81"/>
        <v>0</v>
      </c>
    </row>
    <row r="252" spans="1:23">
      <c r="A252" s="148"/>
      <c r="B252" s="171" t="s">
        <v>115</v>
      </c>
      <c r="C252" s="246">
        <f>COUNTIFS(เรื่องร้องเรียน!E:E,"1",เรื่องร้องเรียน!N:N,"สวนหลวง",เรื่องร้องเรียน!AN:AN,"พระโขนง")</f>
        <v>0</v>
      </c>
      <c r="D252" s="109">
        <f>COUNTIFS(เรื่องร้องเรียน!E:E,"1",เรื่องร้องเรียน!N:N,"สวนหลวง",เรื่องร้องเรียน!AN:AN,"พระโขนง",เรื่องร้องเรียน!CL:CL,"1")</f>
        <v>0</v>
      </c>
      <c r="E252" s="109">
        <f>COUNTIFS(เรื่องร้องเรียน!E:E,"2",เรื่องร้องเรียน!N:N,"สวนหลวง",เรื่องร้องเรียน!AN:AN,"พระโขนง")</f>
        <v>0</v>
      </c>
      <c r="F252" s="109">
        <f>COUNTIFS(เรื่องร้องเรียน!E:E,"2",เรื่องร้องเรียน!N:N,"สวนหลวง",เรื่องร้องเรียน!AN:AN,"พระโขนง",เรื่องร้องเรียน!CL:CL,"1")</f>
        <v>0</v>
      </c>
      <c r="G252" s="109">
        <f>COUNTIFS(เรื่องร้องเรียน!E:E,"3",เรื่องร้องเรียน!N:N,"สวนหลวง",เรื่องร้องเรียน!AN:AN,"พระโขนง")</f>
        <v>0</v>
      </c>
      <c r="H252" s="109">
        <f>COUNTIFS(เรื่องร้องเรียน!E:E,"3",เรื่องร้องเรียน!N:N,"สวนหลวง",เรื่องร้องเรียน!AN:AN,"พระโขนง",เรื่องร้องเรียน!CL:CL,"1")</f>
        <v>0</v>
      </c>
      <c r="I252" s="109">
        <f>COUNTIFS(เรื่องร้องเรียน!E:E,"4",เรื่องร้องเรียน!N:N,"สวนหลวง",เรื่องร้องเรียน!AN:AN,"พระโขนง")</f>
        <v>0</v>
      </c>
      <c r="J252" s="144">
        <f>COUNTIFS(เรื่องร้องเรียน!E:E,"4",เรื่องร้องเรียน!N:N,"สวนหลวง",เรื่องร้องเรียน!AN:AN,"พระโขนง",เรื่องร้องเรียน!CL:CL,"1")</f>
        <v>0</v>
      </c>
      <c r="K252" s="144"/>
      <c r="L252" s="144"/>
      <c r="M252" s="109">
        <f t="shared" si="98"/>
        <v>0</v>
      </c>
      <c r="N252" s="145">
        <f t="shared" si="98"/>
        <v>0</v>
      </c>
      <c r="O252" s="146">
        <f>COUNTIFS(เรื่องร้องเรียน!E:E,"1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P252" s="144">
        <f>COUNTIFS(เรื่องร้องเรียน!E:E,"2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Q252" s="144">
        <f>COUNTIFS(เรื่องร้องเรียน!E:E,"3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R252" s="144">
        <f>COUNTIFS(เรื่องร้องเรียน!E:E,"4",เรื่องร้องเรียน!N:N,"สวนหลวง",เรื่องร้องเรียน!AN:AN,"พระโขนง",เรื่องร้องเรียน!AQ:AQ,"1",เรื่องร้องเรียน!CL:CL,"")</f>
        <v>0</v>
      </c>
      <c r="S252" s="144"/>
      <c r="T252" s="147">
        <f t="shared" si="94"/>
        <v>0</v>
      </c>
      <c r="U252" s="183">
        <f t="shared" si="91"/>
        <v>0</v>
      </c>
      <c r="W252" s="129">
        <f t="shared" si="81"/>
        <v>0</v>
      </c>
    </row>
    <row r="253" spans="1:23">
      <c r="A253" s="148"/>
      <c r="B253" s="171" t="s">
        <v>91</v>
      </c>
      <c r="C253" s="246">
        <f>COUNTIFS(เรื่องร้องเรียน!E:E,"1",เรื่องร้องเรียน!N:N,"สวนหลวง",เรื่องร้องเรียน!AN:AN,"หัวหมาก")</f>
        <v>0</v>
      </c>
      <c r="D253" s="109">
        <f>COUNTIFS(เรื่องร้องเรียน!E:E,"1",เรื่องร้องเรียน!N:N,"สวนหลวง",เรื่องร้องเรียน!AN:AN,"หัวหมาก",เรื่องร้องเรียน!CL:CL,"1")</f>
        <v>0</v>
      </c>
      <c r="E253" s="109">
        <f>COUNTIFS(เรื่องร้องเรียน!E:E,"2",เรื่องร้องเรียน!N:N,"สวนหลวง",เรื่องร้องเรียน!AN:AN,"หัวหมาก")</f>
        <v>0</v>
      </c>
      <c r="F253" s="109">
        <f>COUNTIFS(เรื่องร้องเรียน!E:E,"2",เรื่องร้องเรียน!N:N,"สวนหลวง",เรื่องร้องเรียน!AN:AN,"หัวหมาก",เรื่องร้องเรียน!CL:CL,"1")</f>
        <v>0</v>
      </c>
      <c r="G253" s="109">
        <f>COUNTIFS(เรื่องร้องเรียน!E:E,"3",เรื่องร้องเรียน!N:N,"สวนหลวง",เรื่องร้องเรียน!AN:AN,"หัวหมาก")</f>
        <v>0</v>
      </c>
      <c r="H253" s="109">
        <f>COUNTIFS(เรื่องร้องเรียน!E:E,"3",เรื่องร้องเรียน!N:N,"สวนหลวง",เรื่องร้องเรียน!AN:AN,"หัวหมาก",เรื่องร้องเรียน!CL:CL,"1")</f>
        <v>0</v>
      </c>
      <c r="I253" s="109">
        <f>COUNTIFS(เรื่องร้องเรียน!E:E,"4",เรื่องร้องเรียน!N:N,"สวนหลวง",เรื่องร้องเรียน!AN:AN,"หัวหมาก")</f>
        <v>0</v>
      </c>
      <c r="J253" s="144">
        <f>COUNTIFS(เรื่องร้องเรียน!E:E,"4",เรื่องร้องเรียน!N:N,"สวนหลวง",เรื่องร้องเรียน!AN:AN,"หัวหมาก",เรื่องร้องเรียน!CL:CL,"1")</f>
        <v>0</v>
      </c>
      <c r="K253" s="144"/>
      <c r="L253" s="144"/>
      <c r="M253" s="109">
        <f t="shared" si="98"/>
        <v>0</v>
      </c>
      <c r="N253" s="145">
        <f t="shared" si="98"/>
        <v>0</v>
      </c>
      <c r="O253" s="146">
        <f>COUNTIFS(เรื่องร้องเรียน!E:E,"1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P253" s="144">
        <f>COUNTIFS(เรื่องร้องเรียน!E:E,"2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Q253" s="144">
        <f>COUNTIFS(เรื่องร้องเรียน!E:E,"3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R253" s="144">
        <f>COUNTIFS(เรื่องร้องเรียน!E:E,"4",เรื่องร้องเรียน!N:N,"สวนหลวง",เรื่องร้องเรียน!AN:AN,"หัวหมาก",เรื่องร้องเรียน!AQ:AQ,"1",เรื่องร้องเรียน!CL:CL,"")</f>
        <v>0</v>
      </c>
      <c r="S253" s="144"/>
      <c r="T253" s="147">
        <f t="shared" si="94"/>
        <v>0</v>
      </c>
      <c r="U253" s="183">
        <f t="shared" si="91"/>
        <v>0</v>
      </c>
      <c r="W253" s="129">
        <f t="shared" si="81"/>
        <v>0</v>
      </c>
    </row>
    <row r="254" spans="1:23" ht="21.6" thickBot="1">
      <c r="A254" s="174"/>
      <c r="B254" s="172" t="s">
        <v>74</v>
      </c>
      <c r="C254" s="231">
        <f>COUNTIFS(เรื่องร้องเรียน!E:E,"1",เรื่องร้องเรียน!N:N,"สวนหลวง",เรื่องร้องเรียน!AN:AN,"อุดมสุข")</f>
        <v>0</v>
      </c>
      <c r="D254" s="124">
        <f>COUNTIFS(เรื่องร้องเรียน!E:E,"1",เรื่องร้องเรียน!N:N,"สวนหลวง",เรื่องร้องเรียน!AN:AN,"อุดมสุข",เรื่องร้องเรียน!CL:CL,"1")</f>
        <v>0</v>
      </c>
      <c r="E254" s="124">
        <f>COUNTIFS(เรื่องร้องเรียน!E:E,"2",เรื่องร้องเรียน!N:N,"สวนหลวง",เรื่องร้องเรียน!AN:AN,"อุดมสุข")</f>
        <v>0</v>
      </c>
      <c r="F254" s="124">
        <f>COUNTIFS(เรื่องร้องเรียน!E:E,"2",เรื่องร้องเรียน!N:N,"สวนหลวง",เรื่องร้องเรียน!AN:AN,"อุดมสุข",เรื่องร้องเรียน!CL:CL,"1")</f>
        <v>0</v>
      </c>
      <c r="G254" s="124">
        <f>COUNTIFS(เรื่องร้องเรียน!E:E,"3",เรื่องร้องเรียน!N:N,"สวนหลวง",เรื่องร้องเรียน!AN:AN,"อุดมสุข")</f>
        <v>0</v>
      </c>
      <c r="H254" s="124">
        <f>COUNTIFS(เรื่องร้องเรียน!E:E,"3",เรื่องร้องเรียน!N:N,"สวนหลวง",เรื่องร้องเรียน!AN:AN,"อุดมสุข",เรื่องร้องเรียน!CL:CL,"1")</f>
        <v>0</v>
      </c>
      <c r="I254" s="124">
        <f>COUNTIFS(เรื่องร้องเรียน!E:E,"4",เรื่องร้องเรียน!N:N,"สวนหลวง",เรื่องร้องเรียน!AN:AN,"อุดมสุข")</f>
        <v>0</v>
      </c>
      <c r="J254" s="157">
        <f>COUNTIFS(เรื่องร้องเรียน!E:E,"4",เรื่องร้องเรียน!N:N,"สวนหลวง",เรื่องร้องเรียน!AN:AN,"อุดมสุข",เรื่องร้องเรียน!CL:CL,"1")</f>
        <v>0</v>
      </c>
      <c r="K254" s="157"/>
      <c r="L254" s="157"/>
      <c r="M254" s="124">
        <f>SUM(C254,E254,G254,I254,K254)</f>
        <v>0</v>
      </c>
      <c r="N254" s="158">
        <f>SUM(D254,F254,H254,J254,L254)</f>
        <v>0</v>
      </c>
      <c r="O254" s="159">
        <f>COUNTIFS(เรื่องร้องเรียน!E:E,"1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P254" s="157">
        <f>COUNTIFS(เรื่องร้องเรียน!E:E,"2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Q254" s="157">
        <f>COUNTIFS(เรื่องร้องเรียน!E:E,"3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R254" s="157">
        <f>COUNTIFS(เรื่องร้องเรียน!E:E,"4",เรื่องร้องเรียน!N:N,"สวนหลวง",เรื่องร้องเรียน!AN:AN,"อุดมสุข",เรื่องร้องเรียน!AQ:AQ,"1",เรื่องร้องเรียน!CL:CL,"")</f>
        <v>0</v>
      </c>
      <c r="S254" s="157"/>
      <c r="T254" s="160">
        <f>SUM(O254:S254)</f>
        <v>0</v>
      </c>
      <c r="U254" s="184">
        <f>M254-N254-T254</f>
        <v>0</v>
      </c>
      <c r="W254" s="129">
        <f t="shared" si="81"/>
        <v>0</v>
      </c>
    </row>
    <row r="255" spans="1:23" ht="21.6" thickBot="1">
      <c r="A255" s="168" t="s">
        <v>101</v>
      </c>
      <c r="B255" s="166" t="s">
        <v>152</v>
      </c>
      <c r="C255" s="186">
        <f>SUM(C256:C258)</f>
        <v>0</v>
      </c>
      <c r="D255" s="187">
        <f t="shared" ref="D255:T255" si="99">SUM(D256:D258)</f>
        <v>0</v>
      </c>
      <c r="E255" s="187">
        <f t="shared" si="99"/>
        <v>0</v>
      </c>
      <c r="F255" s="187">
        <f t="shared" si="99"/>
        <v>0</v>
      </c>
      <c r="G255" s="187">
        <f t="shared" si="99"/>
        <v>0</v>
      </c>
      <c r="H255" s="187">
        <f t="shared" si="99"/>
        <v>0</v>
      </c>
      <c r="I255" s="187">
        <f t="shared" si="99"/>
        <v>0</v>
      </c>
      <c r="J255" s="187">
        <f t="shared" si="99"/>
        <v>0</v>
      </c>
      <c r="K255" s="187">
        <f t="shared" si="99"/>
        <v>0</v>
      </c>
      <c r="L255" s="187">
        <f t="shared" si="99"/>
        <v>0</v>
      </c>
      <c r="M255" s="187">
        <f t="shared" si="99"/>
        <v>0</v>
      </c>
      <c r="N255" s="188">
        <f t="shared" si="99"/>
        <v>0</v>
      </c>
      <c r="O255" s="186">
        <f t="shared" si="99"/>
        <v>0</v>
      </c>
      <c r="P255" s="187">
        <f t="shared" si="99"/>
        <v>0</v>
      </c>
      <c r="Q255" s="187">
        <f t="shared" si="99"/>
        <v>0</v>
      </c>
      <c r="R255" s="187">
        <f t="shared" si="99"/>
        <v>0</v>
      </c>
      <c r="S255" s="187">
        <f t="shared" si="99"/>
        <v>0</v>
      </c>
      <c r="T255" s="189">
        <f t="shared" si="99"/>
        <v>0</v>
      </c>
      <c r="U255" s="129">
        <f t="shared" si="91"/>
        <v>0</v>
      </c>
      <c r="W255" s="135">
        <f t="shared" si="81"/>
        <v>0</v>
      </c>
    </row>
    <row r="256" spans="1:23">
      <c r="A256" s="173"/>
      <c r="B256" s="170" t="s">
        <v>20</v>
      </c>
      <c r="C256" s="180"/>
      <c r="D256" s="178"/>
      <c r="E256" s="178"/>
      <c r="F256" s="178"/>
      <c r="G256" s="178"/>
      <c r="H256" s="178"/>
      <c r="I256" s="178"/>
      <c r="J256" s="178"/>
      <c r="K256" s="178">
        <f>COUNTIFS(เรื่องร้องเรียน!E:E,"5",เรื่องร้องเรียน!N:N,"สะพานสูง")</f>
        <v>0</v>
      </c>
      <c r="L256" s="178">
        <f>COUNTIFS(เรื่องร้องเรียน!E:E,"5",เรื่องร้องเรียน!N:N,"สะพานสูง",เรื่องร้องเรียน!CL:CL,"1")</f>
        <v>0</v>
      </c>
      <c r="M256" s="178">
        <f t="shared" ref="M256:N258" si="100">SUM(C256,E256,G256,I256,K256)</f>
        <v>0</v>
      </c>
      <c r="N256" s="179">
        <f t="shared" si="100"/>
        <v>0</v>
      </c>
      <c r="O256" s="180"/>
      <c r="P256" s="178"/>
      <c r="Q256" s="178"/>
      <c r="R256" s="178"/>
      <c r="S256" s="178">
        <f>COUNTIFS(เรื่องร้องเรียน!E:E,"5",เรื่องร้องเรียน!N:N,"สะพานสูง",เรื่องร้องเรียน!AQ:AQ,"1",เรื่องร้องเรียน!CL:CL,"")</f>
        <v>0</v>
      </c>
      <c r="T256" s="181">
        <f t="shared" si="94"/>
        <v>0</v>
      </c>
      <c r="U256" s="182">
        <f t="shared" si="91"/>
        <v>0</v>
      </c>
      <c r="W256" s="129">
        <f t="shared" si="81"/>
        <v>0</v>
      </c>
    </row>
    <row r="257" spans="1:23">
      <c r="A257" s="148"/>
      <c r="B257" s="171" t="s">
        <v>102</v>
      </c>
      <c r="C257" s="246">
        <f>COUNTIFS(เรื่องร้องเรียน!E:E,"1",เรื่องร้องเรียน!N:N,"สะพานสูง",เรื่องร้องเรียน!AN:AN,"บางชัน")</f>
        <v>0</v>
      </c>
      <c r="D257" s="109">
        <f>COUNTIFS(เรื่องร้องเรียน!E:E,"1",เรื่องร้องเรียน!N:N,"สะพานสูง",เรื่องร้องเรียน!AN:AN,"บางชัน",เรื่องร้องเรียน!CL:CL,"1")</f>
        <v>0</v>
      </c>
      <c r="E257" s="109">
        <f>COUNTIFS(เรื่องร้องเรียน!E:E,"2",เรื่องร้องเรียน!N:N,"สะพานสูง",เรื่องร้องเรียน!AN:AN,"บางชัน")</f>
        <v>0</v>
      </c>
      <c r="F257" s="109">
        <f>COUNTIFS(เรื่องร้องเรียน!E:E,"2",เรื่องร้องเรียน!N:N,"สะพานสูง",เรื่องร้องเรียน!AN:AN,"บางชัน",เรื่องร้องเรียน!CL:CL,"1")</f>
        <v>0</v>
      </c>
      <c r="G257" s="109">
        <f>COUNTIFS(เรื่องร้องเรียน!E:E,"3",เรื่องร้องเรียน!N:N,"สะพานสูง",เรื่องร้องเรียน!AN:AN,"บางชัน")</f>
        <v>0</v>
      </c>
      <c r="H257" s="109">
        <f>COUNTIFS(เรื่องร้องเรียน!E:E,"3",เรื่องร้องเรียน!N:N,"สะพานสูง",เรื่องร้องเรียน!AN:AN,"บางชัน",เรื่องร้องเรียน!CL:CL,"1")</f>
        <v>0</v>
      </c>
      <c r="I257" s="109">
        <f>COUNTIFS(เรื่องร้องเรียน!E:E,"4",เรื่องร้องเรียน!N:N,"สะพานสูง",เรื่องร้องเรียน!AN:AN,"บางชัน")</f>
        <v>0</v>
      </c>
      <c r="J257" s="144">
        <f>COUNTIFS(เรื่องร้องเรียน!E:E,"4",เรื่องร้องเรียน!N:N,"สะพานสูง",เรื่องร้องเรียน!AN:AN,"บางชัน",เรื่องร้องเรียน!CL:CL,"1")</f>
        <v>0</v>
      </c>
      <c r="K257" s="144"/>
      <c r="L257" s="144"/>
      <c r="M257" s="109">
        <f t="shared" si="100"/>
        <v>0</v>
      </c>
      <c r="N257" s="145">
        <f t="shared" si="100"/>
        <v>0</v>
      </c>
      <c r="O257" s="146">
        <f>COUNTIFS(เรื่องร้องเรียน!E:E,"1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P257" s="144">
        <f>COUNTIFS(เรื่องร้องเรียน!E:E,"2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Q257" s="144">
        <f>COUNTIFS(เรื่องร้องเรียน!E:E,"3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R257" s="144">
        <f>COUNTIFS(เรื่องร้องเรียน!E:E,"4",เรื่องร้องเรียน!N:N,"สะพานสูง",เรื่องร้องเรียน!AN:AN,"บางชัน",เรื่องร้องเรียน!AQ:AQ,"1",เรื่องร้องเรียน!CL:CL,"")</f>
        <v>0</v>
      </c>
      <c r="S257" s="144"/>
      <c r="T257" s="147">
        <f t="shared" si="94"/>
        <v>0</v>
      </c>
      <c r="U257" s="183">
        <f t="shared" si="91"/>
        <v>0</v>
      </c>
      <c r="W257" s="129">
        <f t="shared" si="81"/>
        <v>0</v>
      </c>
    </row>
    <row r="258" spans="1:23" ht="21.6" thickBot="1">
      <c r="A258" s="174"/>
      <c r="B258" s="172" t="s">
        <v>73</v>
      </c>
      <c r="C258" s="231">
        <f>COUNTIFS(เรื่องร้องเรียน!E:E,"1",เรื่องร้องเรียน!N:N,"สะพานสูง",เรื่องร้องเรียน!AN:AN,"ประเวศ")</f>
        <v>0</v>
      </c>
      <c r="D258" s="124">
        <f>COUNTIFS(เรื่องร้องเรียน!E:E,"1",เรื่องร้องเรียน!N:N,"สะพานสูง",เรื่องร้องเรียน!AN:AN,"ประเวศ",เรื่องร้องเรียน!CL:CL,"1")</f>
        <v>0</v>
      </c>
      <c r="E258" s="124">
        <f>COUNTIFS(เรื่องร้องเรียน!E:E,"2",เรื่องร้องเรียน!N:N,"สะพานสูง",เรื่องร้องเรียน!AN:AN,"ประเวศ")</f>
        <v>0</v>
      </c>
      <c r="F258" s="124">
        <f>COUNTIFS(เรื่องร้องเรียน!E:E,"2",เรื่องร้องเรียน!N:N,"สะพานสูง",เรื่องร้องเรียน!AN:AN,"ประเวศ",เรื่องร้องเรียน!CL:CL,"1")</f>
        <v>0</v>
      </c>
      <c r="G258" s="124">
        <f>COUNTIFS(เรื่องร้องเรียน!E:E,"3",เรื่องร้องเรียน!N:N,"สะพานสูง",เรื่องร้องเรียน!AN:AN,"ประเวศ")</f>
        <v>0</v>
      </c>
      <c r="H258" s="124">
        <f>COUNTIFS(เรื่องร้องเรียน!E:E,"3",เรื่องร้องเรียน!N:N,"สะพานสูง",เรื่องร้องเรียน!AN:AN,"ประเวศ",เรื่องร้องเรียน!CL:CL,"1")</f>
        <v>0</v>
      </c>
      <c r="I258" s="124">
        <f>COUNTIFS(เรื่องร้องเรียน!E:E,"4",เรื่องร้องเรียน!N:N,"สะพานสูง",เรื่องร้องเรียน!AN:AN,"ประเวศ")</f>
        <v>0</v>
      </c>
      <c r="J258" s="157">
        <f>COUNTIFS(เรื่องร้องเรียน!E:E,"4",เรื่องร้องเรียน!N:N,"สะพานสูง",เรื่องร้องเรียน!AN:AN,"ประเวศ",เรื่องร้องเรียน!CL:CL,"1")</f>
        <v>0</v>
      </c>
      <c r="K258" s="157"/>
      <c r="L258" s="157"/>
      <c r="M258" s="124">
        <f t="shared" si="100"/>
        <v>0</v>
      </c>
      <c r="N258" s="158">
        <f t="shared" si="100"/>
        <v>0</v>
      </c>
      <c r="O258" s="159">
        <f>COUNTIFS(เรื่องร้องเรียน!E:E,"1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P258" s="157">
        <f>COUNTIFS(เรื่องร้องเรียน!E:E,"2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Q258" s="157">
        <f>COUNTIFS(เรื่องร้องเรียน!E:E,"3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R258" s="157">
        <f>COUNTIFS(เรื่องร้องเรียน!E:E,"4",เรื่องร้องเรียน!N:N,"สะพานสูง",เรื่องร้องเรียน!AN:AN,"ประเวศ",เรื่องร้องเรียน!AQ:AQ,"1",เรื่องร้องเรียน!CL:CL,"")</f>
        <v>0</v>
      </c>
      <c r="S258" s="157"/>
      <c r="T258" s="160">
        <f t="shared" si="94"/>
        <v>0</v>
      </c>
      <c r="U258" s="184">
        <f t="shared" si="91"/>
        <v>0</v>
      </c>
      <c r="W258" s="129">
        <f t="shared" si="81"/>
        <v>0</v>
      </c>
    </row>
    <row r="259" spans="1:23" ht="21.6" thickBot="1">
      <c r="A259" s="168" t="s">
        <v>138</v>
      </c>
      <c r="B259" s="166" t="s">
        <v>152</v>
      </c>
      <c r="C259" s="132">
        <f>SUM(C260:C264)</f>
        <v>0</v>
      </c>
      <c r="D259" s="131">
        <f t="shared" ref="D259:T259" si="101">SUM(D260:D264)</f>
        <v>0</v>
      </c>
      <c r="E259" s="131">
        <f t="shared" si="101"/>
        <v>0</v>
      </c>
      <c r="F259" s="131">
        <f t="shared" si="101"/>
        <v>0</v>
      </c>
      <c r="G259" s="131">
        <f t="shared" si="101"/>
        <v>0</v>
      </c>
      <c r="H259" s="131">
        <f t="shared" si="101"/>
        <v>0</v>
      </c>
      <c r="I259" s="131">
        <f t="shared" si="101"/>
        <v>0</v>
      </c>
      <c r="J259" s="131">
        <f t="shared" si="101"/>
        <v>0</v>
      </c>
      <c r="K259" s="131">
        <f t="shared" si="101"/>
        <v>0</v>
      </c>
      <c r="L259" s="131">
        <f t="shared" si="101"/>
        <v>0</v>
      </c>
      <c r="M259" s="131">
        <f t="shared" si="101"/>
        <v>0</v>
      </c>
      <c r="N259" s="163">
        <f t="shared" si="101"/>
        <v>0</v>
      </c>
      <c r="O259" s="186">
        <f t="shared" si="101"/>
        <v>0</v>
      </c>
      <c r="P259" s="186">
        <f t="shared" si="101"/>
        <v>0</v>
      </c>
      <c r="Q259" s="186">
        <f t="shared" si="101"/>
        <v>0</v>
      </c>
      <c r="R259" s="186">
        <f t="shared" si="101"/>
        <v>0</v>
      </c>
      <c r="S259" s="186">
        <f t="shared" si="101"/>
        <v>0</v>
      </c>
      <c r="T259" s="133">
        <f t="shared" si="101"/>
        <v>0</v>
      </c>
      <c r="U259" s="134">
        <f t="shared" si="91"/>
        <v>0</v>
      </c>
      <c r="W259" s="135">
        <f t="shared" si="81"/>
        <v>0</v>
      </c>
    </row>
    <row r="260" spans="1:23">
      <c r="A260" s="173"/>
      <c r="B260" s="170" t="s">
        <v>20</v>
      </c>
      <c r="C260" s="180"/>
      <c r="D260" s="178"/>
      <c r="E260" s="178"/>
      <c r="F260" s="178"/>
      <c r="G260" s="178"/>
      <c r="H260" s="178"/>
      <c r="I260" s="178"/>
      <c r="J260" s="178"/>
      <c r="K260" s="178">
        <f>COUNTIFS(เรื่องร้องเรียน!E:E,"5",เรื่องร้องเรียน!N:N,"สัมพันธวงศ์")</f>
        <v>0</v>
      </c>
      <c r="L260" s="178">
        <f>COUNTIFS(เรื่องร้องเรียน!E:E,"5",เรื่องร้องเรียน!N:N,"สัมพันธวงศ์",เรื่องร้องเรียน!CL:CL,"1")</f>
        <v>0</v>
      </c>
      <c r="M260" s="178">
        <f t="shared" ref="M260:N262" si="102">SUM(C260,E260,G260,I260,K260)</f>
        <v>0</v>
      </c>
      <c r="N260" s="179">
        <f t="shared" si="102"/>
        <v>0</v>
      </c>
      <c r="O260" s="180"/>
      <c r="P260" s="178"/>
      <c r="Q260" s="178"/>
      <c r="R260" s="178"/>
      <c r="S260" s="178">
        <f>COUNTIFS(เรื่องร้องเรียน!E:E,"5",เรื่องร้องเรียน!N:N,"สัมพันธวงศ์",เรื่องร้องเรียน!AQ:AQ,"1",เรื่องร้องเรียน!CL:CL,"")</f>
        <v>0</v>
      </c>
      <c r="T260" s="181">
        <f t="shared" si="94"/>
        <v>0</v>
      </c>
      <c r="U260" s="182">
        <f t="shared" si="91"/>
        <v>0</v>
      </c>
      <c r="V260" s="10" t="s">
        <v>184</v>
      </c>
      <c r="W260" s="129">
        <f t="shared" si="81"/>
        <v>0</v>
      </c>
    </row>
    <row r="261" spans="1:23">
      <c r="A261" s="148"/>
      <c r="B261" s="171" t="s">
        <v>181</v>
      </c>
      <c r="C261" s="246">
        <f>COUNTIFS(เรื่องร้องเรียน!E:E,"1",เรื่องร้องเรียน!N:N,"สัมพันธวงศ์",เรื่องร้องเรียน!AN:AN,"จักรวรรดิ")</f>
        <v>0</v>
      </c>
      <c r="D261" s="109">
        <f>COUNTIFS(เรื่องร้องเรียน!E:E,"1",เรื่องร้องเรียน!N:N,"สัมพันธวงศ์",เรื่องร้องเรียน!AN:AN,"จักรวรรดิ",เรื่องร้องเรียน!CL:CL,"1")</f>
        <v>0</v>
      </c>
      <c r="E261" s="109">
        <f>COUNTIFS(เรื่องร้องเรียน!E:E,"2",เรื่องร้องเรียน!N:N,"สัมพันธวงศ์",เรื่องร้องเรียน!AN:AN,"จักรวรรดิ")</f>
        <v>0</v>
      </c>
      <c r="F261" s="109">
        <f>COUNTIFS(เรื่องร้องเรียน!E:E,"2",เรื่องร้องเรียน!N:N,"สัมพันธวงศ์",เรื่องร้องเรียน!AN:AN,"จักรวรรดิ",เรื่องร้องเรียน!CL:CL,"1")</f>
        <v>0</v>
      </c>
      <c r="G261" s="109">
        <f>COUNTIFS(เรื่องร้องเรียน!E:E,"3",เรื่องร้องเรียน!N:N,"สัมพันธวงศ์",เรื่องร้องเรียน!AN:AN,"จักรวรรดิ")</f>
        <v>0</v>
      </c>
      <c r="H261" s="109">
        <f>COUNTIFS(เรื่องร้องเรียน!E:E,"3",เรื่องร้องเรียน!N:N,"สัมพันธวงศ์",เรื่องร้องเรียน!AN:AN,"จักรวรรดิ",เรื่องร้องเรียน!CL:CL,"1")</f>
        <v>0</v>
      </c>
      <c r="I261" s="109">
        <f>COUNTIFS(เรื่องร้องเรียน!E:E,"4",เรื่องร้องเรียน!N:N,"สัมพันธวงศ์",เรื่องร้องเรียน!AN:AN,"จักรวรรดิ")</f>
        <v>0</v>
      </c>
      <c r="J261" s="144">
        <f>COUNTIFS(เรื่องร้องเรียน!E:E,"4",เรื่องร้องเรียน!N:N,"สัมพันธวงศ์",เรื่องร้องเรียน!AN:AN,"จักรวรรดิ",เรื่องร้องเรียน!CL:CL,"1")</f>
        <v>0</v>
      </c>
      <c r="K261" s="144"/>
      <c r="L261" s="144"/>
      <c r="M261" s="109">
        <f t="shared" si="102"/>
        <v>0</v>
      </c>
      <c r="N261" s="145">
        <f t="shared" si="102"/>
        <v>0</v>
      </c>
      <c r="O261" s="146">
        <f>COUNTIFS(เรื่องร้องเรียน!E:E,"1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P261" s="144">
        <f>COUNTIFS(เรื่องร้องเรียน!E:E,"2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Q261" s="144">
        <f>COUNTIFS(เรื่องร้องเรียน!E:E,"3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R261" s="144">
        <f>COUNTIFS(เรื่องร้องเรียน!E:E,"4",เรื่องร้องเรียน!N:N,"สัมพันธวงศ์",เรื่องร้องเรียน!AN:AN,"จักรวรรดิ",เรื่องร้องเรียน!AQ:AQ,"1",เรื่องร้องเรียน!CL:CL,"")</f>
        <v>0</v>
      </c>
      <c r="S261" s="144"/>
      <c r="T261" s="147">
        <f t="shared" si="94"/>
        <v>0</v>
      </c>
      <c r="U261" s="183">
        <f t="shared" si="91"/>
        <v>0</v>
      </c>
      <c r="V261" s="10" t="s">
        <v>183</v>
      </c>
      <c r="W261" s="129">
        <f t="shared" si="81"/>
        <v>0</v>
      </c>
    </row>
    <row r="262" spans="1:23">
      <c r="A262" s="148"/>
      <c r="B262" s="171" t="s">
        <v>139</v>
      </c>
      <c r="C262" s="246">
        <f>COUNTIFS(เรื่องร้องเรียน!E:E,"1",เรื่องร้องเรียน!N:N,"สัมพันธวงศ์",เรื่องร้องเรียน!AN:AN,"พลับพลาไชย 2")</f>
        <v>0</v>
      </c>
      <c r="D262" s="109">
        <f>COUNTIFS(เรื่องร้องเรียน!E:E,"1",เรื่องร้องเรียน!N:N,"สัมพันธวงศ์",เรื่องร้องเรียน!AN:AN,"พลับพลาไชย 2",เรื่องร้องเรียน!CL:CL,"1")</f>
        <v>0</v>
      </c>
      <c r="E262" s="109">
        <f>COUNTIFS(เรื่องร้องเรียน!E:E,"2",เรื่องร้องเรียน!N:N,"สัมพันธวงศ์",เรื่องร้องเรียน!AN:AN,"พลับพลาไชย 2")</f>
        <v>0</v>
      </c>
      <c r="F262" s="109">
        <f>COUNTIFS(เรื่องร้องเรียน!E:E,"2",เรื่องร้องเรียน!N:N,"สัมพันธวงศ์",เรื่องร้องเรียน!AN:AN,"พลับพลาไชย 2",เรื่องร้องเรียน!CL:CL,"1")</f>
        <v>0</v>
      </c>
      <c r="G262" s="109">
        <f>COUNTIFS(เรื่องร้องเรียน!E:E,"3",เรื่องร้องเรียน!N:N,"สัมพันธวงศ์",เรื่องร้องเรียน!AN:AN,"พลับพลาไชย 2")</f>
        <v>0</v>
      </c>
      <c r="H262" s="109">
        <f>COUNTIFS(เรื่องร้องเรียน!E:E,"3",เรื่องร้องเรียน!N:N,"สัมพันธวงศ์",เรื่องร้องเรียน!AN:AN,"พลับพลาไชย 2",เรื่องร้องเรียน!CL:CL,"1")</f>
        <v>0</v>
      </c>
      <c r="I262" s="109">
        <f>COUNTIFS(เรื่องร้องเรียน!E:E,"4",เรื่องร้องเรียน!N:N,"สัมพันธวงศ์",เรื่องร้องเรียน!AN:AN,"พลับพลาไชย 2")</f>
        <v>0</v>
      </c>
      <c r="J262" s="144">
        <f>COUNTIFS(เรื่องร้องเรียน!E:E,"4",เรื่องร้องเรียน!N:N,"สัมพันธวงศ์",เรื่องร้องเรียน!AN:AN,"พลับพลาไชย 2",เรื่องร้องเรียน!CL:CL,"1")</f>
        <v>0</v>
      </c>
      <c r="K262" s="144"/>
      <c r="L262" s="144"/>
      <c r="M262" s="109">
        <f t="shared" si="102"/>
        <v>0</v>
      </c>
      <c r="N262" s="145">
        <f t="shared" si="102"/>
        <v>0</v>
      </c>
      <c r="O262" s="146">
        <f>COUNTIFS(เรื่องร้องเรียน!E:E,"1",เรื่องร้องเรียน!N:N,"สัมพันธวงศ์",เรื่องร้องเรียน!AN:AN,"พลับพลาไชย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P262" s="144">
        <f>COUNTIFS(เรื่องร้องเรียน!E:E,"2",เรื่องร้องเรียน!N:N,"สัมพันธวงศ์",เรื่องร้องเรียน!AN:AN,"พลับพลาไชย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Q262" s="144">
        <f>COUNTIFS(เรื่องร้องเรียน!E:E,"3",เรื่องร้องเรียน!N:N,"สัมพันธวงศ์",เรื่องร้องเรียน!AN:AN,"พลับพลาไชย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R262" s="144">
        <f>COUNTIFS(เรื่องร้องเรียน!E:E,"4",เรื่องร้องเรียน!N:N,"สัมพันธวงศ์",เรื่องร้องเรียน!AN:AN,"พลับพลาไชย 2",เรื่องร้องเรียน!AQ:AQ,"1",เรื่องร้องเรียน!CL:CL,"")</f>
        <v>0</v>
      </c>
      <c r="S262" s="144"/>
      <c r="T262" s="147">
        <f t="shared" si="94"/>
        <v>0</v>
      </c>
      <c r="U262" s="183">
        <f t="shared" si="91"/>
        <v>0</v>
      </c>
      <c r="W262" s="129">
        <f t="shared" si="81"/>
        <v>0</v>
      </c>
    </row>
    <row r="263" spans="1:23">
      <c r="A263" s="148"/>
      <c r="B263" s="171" t="s">
        <v>184</v>
      </c>
      <c r="C263" s="246">
        <f>COUNTIFS(เรื่องร้องเรียน!E:E,"1",เรื่องร้องเรียน!N:N,"สัมพันธวงศ์",เรื่องร้องเรียน!AN:AN,"สำราญราษฎร์")</f>
        <v>0</v>
      </c>
      <c r="D263" s="109">
        <f>COUNTIFS(เรื่องร้องเรียน!E:E,"1",เรื่องร้องเรียน!N:N,"สัมพันธวงศ์",เรื่องร้องเรียน!AN:AN,"สำราญราษฎร์",เรื่องร้องเรียน!CL:CL,"1")</f>
        <v>0</v>
      </c>
      <c r="E263" s="109">
        <f>COUNTIFS(เรื่องร้องเรียน!E:E,"2",เรื่องร้องเรียน!N:N,"สัมพันธวงศ์",เรื่องร้องเรียน!AN:AN,"สำราญราษฎร์")</f>
        <v>0</v>
      </c>
      <c r="F263" s="109">
        <f>COUNTIFS(เรื่องร้องเรียน!E:E,"2",เรื่องร้องเรียน!N:N,"สัมพันธวงศ์",เรื่องร้องเรียน!AN:AN,"สำราญราษฎร์",เรื่องร้องเรียน!CL:CL,"1")</f>
        <v>0</v>
      </c>
      <c r="G263" s="109">
        <f>COUNTIFS(เรื่องร้องเรียน!E:E,"3",เรื่องร้องเรียน!N:N,"สัมพันธวงศ์",เรื่องร้องเรียน!AN:AN,"สำราญราษฎร์")</f>
        <v>0</v>
      </c>
      <c r="H263" s="109">
        <f>COUNTIFS(เรื่องร้องเรียน!E:E,"3",เรื่องร้องเรียน!N:N,"สัมพันธวงศ์",เรื่องร้องเรียน!AN:AN,"สำราญราษฎร์",เรื่องร้องเรียน!CL:CL,"1")</f>
        <v>0</v>
      </c>
      <c r="I263" s="109">
        <f>COUNTIFS(เรื่องร้องเรียน!E:E,"4",เรื่องร้องเรียน!N:N,"สัมพันธวงศ์",เรื่องร้องเรียน!AN:AN,"สำราญราษฎร์")</f>
        <v>0</v>
      </c>
      <c r="J263" s="144">
        <f>COUNTIFS(เรื่องร้องเรียน!E:E,"4",เรื่องร้องเรียน!N:N,"สัมพันธวงศ์",เรื่องร้องเรียน!AN:AN,"สำราญราษฎร์",เรื่องร้องเรียน!CL:CL,"1")</f>
        <v>0</v>
      </c>
      <c r="K263" s="144"/>
      <c r="L263" s="144"/>
      <c r="M263" s="109">
        <f>SUM(C263,E263,G263,I263,K263)</f>
        <v>0</v>
      </c>
      <c r="N263" s="145">
        <f>SUM(D263,F263,H263,J263,L263)</f>
        <v>0</v>
      </c>
      <c r="O263" s="146">
        <f>COUNTIFS(เรื่องร้องเรียน!E:E,"1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P263" s="144">
        <f>COUNTIFS(เรื่องร้องเรียน!E:E,"2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Q263" s="144">
        <f>COUNTIFS(เรื่องร้องเรียน!E:E,"3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R263" s="144">
        <f>COUNTIFS(เรื่องร้องเรียน!E:E,"4",เรื่องร้องเรียน!N:N,"สัมพันธวงศ์",เรื่องร้องเรียน!AN:AN,"สำราญราษฎร์",เรื่องร้องเรียน!AQ:AQ,"1",เรื่องร้องเรียน!CL:CL,"")</f>
        <v>0</v>
      </c>
      <c r="S263" s="144"/>
      <c r="T263" s="147">
        <f>SUM(O263:S263)</f>
        <v>0</v>
      </c>
      <c r="U263" s="183">
        <f>M263-N263-T263</f>
        <v>0</v>
      </c>
      <c r="W263" s="129">
        <f t="shared" si="81"/>
        <v>0</v>
      </c>
    </row>
    <row r="264" spans="1:23" ht="21.6" thickBot="1">
      <c r="A264" s="174"/>
      <c r="B264" s="172" t="s">
        <v>183</v>
      </c>
      <c r="C264" s="231">
        <f>COUNTIFS(เรื่องร้องเรียน!E:E,"1",เรื่องร้องเรียน!N:N,"สัมพันธวงศ์",เรื่องร้องเรียน!AN:AN,"พระราชวัง")</f>
        <v>0</v>
      </c>
      <c r="D264" s="124">
        <f>COUNTIFS(เรื่องร้องเรียน!E:E,"1",เรื่องร้องเรียน!N:N,"สัมพันธวงศ์",เรื่องร้องเรียน!AN:AN,"พระราชวัง",เรื่องร้องเรียน!CL:CL,"1")</f>
        <v>0</v>
      </c>
      <c r="E264" s="124">
        <f>COUNTIFS(เรื่องร้องเรียน!E:E,"2",เรื่องร้องเรียน!N:N,"สัมพันธวงศ์",เรื่องร้องเรียน!AN:AN,"พระราชวัง")</f>
        <v>0</v>
      </c>
      <c r="F264" s="124">
        <f>COUNTIFS(เรื่องร้องเรียน!E:E,"2",เรื่องร้องเรียน!N:N,"สัมพันธวงศ์",เรื่องร้องเรียน!AN:AN,"พระราชวัง",เรื่องร้องเรียน!CL:CL,"1")</f>
        <v>0</v>
      </c>
      <c r="G264" s="124">
        <f>COUNTIFS(เรื่องร้องเรียน!E:E,"3",เรื่องร้องเรียน!N:N,"สัมพันธวงศ์",เรื่องร้องเรียน!AN:AN,"พระราชวัง")</f>
        <v>0</v>
      </c>
      <c r="H264" s="124">
        <f>COUNTIFS(เรื่องร้องเรียน!E:E,"3",เรื่องร้องเรียน!N:N,"สัมพันธวงศ์",เรื่องร้องเรียน!AN:AN,"พระราชวัง",เรื่องร้องเรียน!CL:CL,"1")</f>
        <v>0</v>
      </c>
      <c r="I264" s="124">
        <f>COUNTIFS(เรื่องร้องเรียน!E:E,"4",เรื่องร้องเรียน!N:N,"สัมพันธวงศ์",เรื่องร้องเรียน!AN:AN,"พระราชวัง")</f>
        <v>0</v>
      </c>
      <c r="J264" s="157">
        <f>COUNTIFS(เรื่องร้องเรียน!E:E,"4",เรื่องร้องเรียน!N:N,"สัมพันธวงศ์",เรื่องร้องเรียน!AN:AN,"พระราชวัง",เรื่องร้องเรียน!CL:CL,"1")</f>
        <v>0</v>
      </c>
      <c r="K264" s="157"/>
      <c r="L264" s="157"/>
      <c r="M264" s="124">
        <f>SUM(C264,E264,G264,I264,K264)</f>
        <v>0</v>
      </c>
      <c r="N264" s="158">
        <f>SUM(D264,F264,H264,J264,L264)</f>
        <v>0</v>
      </c>
      <c r="O264" s="159">
        <f>COUNTIFS(เรื่องร้องเรียน!E:E,"1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P264" s="157">
        <f>COUNTIFS(เรื่องร้องเรียน!E:E,"2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Q264" s="157">
        <f>COUNTIFS(เรื่องร้องเรียน!E:E,"3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R264" s="157">
        <f>COUNTIFS(เรื่องร้องเรียน!E:E,"4",เรื่องร้องเรียน!N:N,"สัมพันธวงศ์",เรื่องร้องเรียน!AN:AN,"พระราชวัง",เรื่องร้องเรียน!AQ:AQ,"1",เรื่องร้องเรียน!CL:CL,"")</f>
        <v>0</v>
      </c>
      <c r="S264" s="157"/>
      <c r="T264" s="160">
        <f>SUM(O264:S264)</f>
        <v>0</v>
      </c>
      <c r="U264" s="184">
        <f>M264-N264-T264</f>
        <v>0</v>
      </c>
      <c r="W264" s="129">
        <f t="shared" si="81"/>
        <v>0</v>
      </c>
    </row>
    <row r="265" spans="1:23" ht="21.6" thickBot="1">
      <c r="A265" s="168" t="s">
        <v>78</v>
      </c>
      <c r="B265" s="166" t="s">
        <v>152</v>
      </c>
      <c r="C265" s="186">
        <f>SUM(C266:C269)</f>
        <v>0</v>
      </c>
      <c r="D265" s="187">
        <f t="shared" ref="D265:T265" si="103">SUM(D266:D269)</f>
        <v>0</v>
      </c>
      <c r="E265" s="187">
        <f t="shared" si="103"/>
        <v>0</v>
      </c>
      <c r="F265" s="187">
        <f t="shared" si="103"/>
        <v>0</v>
      </c>
      <c r="G265" s="187">
        <f t="shared" si="103"/>
        <v>0</v>
      </c>
      <c r="H265" s="187">
        <f t="shared" si="103"/>
        <v>0</v>
      </c>
      <c r="I265" s="187">
        <f t="shared" si="103"/>
        <v>0</v>
      </c>
      <c r="J265" s="187">
        <f t="shared" si="103"/>
        <v>0</v>
      </c>
      <c r="K265" s="187">
        <f t="shared" si="103"/>
        <v>0</v>
      </c>
      <c r="L265" s="187">
        <f t="shared" si="103"/>
        <v>0</v>
      </c>
      <c r="M265" s="187">
        <f t="shared" si="103"/>
        <v>0</v>
      </c>
      <c r="N265" s="188">
        <f t="shared" si="103"/>
        <v>0</v>
      </c>
      <c r="O265" s="186">
        <f t="shared" si="103"/>
        <v>0</v>
      </c>
      <c r="P265" s="187">
        <f t="shared" si="103"/>
        <v>0</v>
      </c>
      <c r="Q265" s="187">
        <f t="shared" si="103"/>
        <v>0</v>
      </c>
      <c r="R265" s="187">
        <f t="shared" si="103"/>
        <v>0</v>
      </c>
      <c r="S265" s="187">
        <f t="shared" si="103"/>
        <v>0</v>
      </c>
      <c r="T265" s="189">
        <f t="shared" si="103"/>
        <v>0</v>
      </c>
      <c r="U265" s="129">
        <f t="shared" si="91"/>
        <v>0</v>
      </c>
      <c r="W265" s="135">
        <f t="shared" si="81"/>
        <v>0</v>
      </c>
    </row>
    <row r="266" spans="1:23">
      <c r="A266" s="173"/>
      <c r="B266" s="170" t="s">
        <v>20</v>
      </c>
      <c r="C266" s="180"/>
      <c r="D266" s="178"/>
      <c r="E266" s="178"/>
      <c r="F266" s="178"/>
      <c r="G266" s="178"/>
      <c r="H266" s="178"/>
      <c r="I266" s="178"/>
      <c r="J266" s="178"/>
      <c r="K266" s="178">
        <f>COUNTIFS(เรื่องร้องเรียน!E:E,"5",เรื่องร้องเรียน!N:N,"สาทร")</f>
        <v>0</v>
      </c>
      <c r="L266" s="178">
        <f>COUNTIFS(เรื่องร้องเรียน!E:E,"5",เรื่องร้องเรียน!N:N,"สาทร",เรื่องร้องเรียน!CL:CL,"1")</f>
        <v>0</v>
      </c>
      <c r="M266" s="178">
        <f t="shared" ref="M266:N269" si="104">SUM(C266,E266,G266,I266,K266)</f>
        <v>0</v>
      </c>
      <c r="N266" s="179">
        <f t="shared" si="104"/>
        <v>0</v>
      </c>
      <c r="O266" s="180"/>
      <c r="P266" s="178"/>
      <c r="Q266" s="178"/>
      <c r="R266" s="178"/>
      <c r="S266" s="178">
        <f>COUNTIFS(เรื่องร้องเรียน!E:E,"5",เรื่องร้องเรียน!N:N,"สาทร",เรื่องร้องเรียน!AQ:AQ,"1",เรื่องร้องเรียน!CL:CL,"")</f>
        <v>0</v>
      </c>
      <c r="T266" s="181">
        <f t="shared" si="94"/>
        <v>0</v>
      </c>
      <c r="U266" s="182">
        <f t="shared" si="91"/>
        <v>0</v>
      </c>
      <c r="W266" s="129">
        <f t="shared" si="81"/>
        <v>0</v>
      </c>
    </row>
    <row r="267" spans="1:23">
      <c r="A267" s="148"/>
      <c r="B267" s="171" t="s">
        <v>142</v>
      </c>
      <c r="C267" s="246">
        <f>COUNTIFS(เรื่องร้องเรียน!E:E,"1",เรื่องร้องเรียน!N:N,"สาทร",เรื่องร้องเรียน!AN:AN,"ทุ่งมหาเมฆ")</f>
        <v>0</v>
      </c>
      <c r="D267" s="109">
        <f>COUNTIFS(เรื่องร้องเรียน!E:E,"1",เรื่องร้องเรียน!N:N,"สาทร",เรื่องร้องเรียน!AN:AN,"ทุ่งมหาเมฆ",เรื่องร้องเรียน!CL:CL,"1")</f>
        <v>0</v>
      </c>
      <c r="E267" s="109">
        <f>COUNTIFS(เรื่องร้องเรียน!E:E,"2",เรื่องร้องเรียน!N:N,"สาทร",เรื่องร้องเรียน!AN:AN,"ทุ่งมหาเมฆ")</f>
        <v>0</v>
      </c>
      <c r="F267" s="109">
        <f>COUNTIFS(เรื่องร้องเรียน!E:E,"2",เรื่องร้องเรียน!N:N,"สาทร",เรื่องร้องเรียน!AN:AN,"ทุ่งมหาเมฆ",เรื่องร้องเรียน!CL:CL,"1")</f>
        <v>0</v>
      </c>
      <c r="G267" s="109">
        <f>COUNTIFS(เรื่องร้องเรียน!E:E,"3",เรื่องร้องเรียน!N:N,"สาทร",เรื่องร้องเรียน!AN:AN,"ทุ่งมหาเมฆ")</f>
        <v>0</v>
      </c>
      <c r="H267" s="109">
        <f>COUNTIFS(เรื่องร้องเรียน!E:E,"3",เรื่องร้องเรียน!N:N,"สาทร",เรื่องร้องเรียน!AN:AN,"ทุ่งมหาเมฆ",เรื่องร้องเรียน!CL:CL,"1")</f>
        <v>0</v>
      </c>
      <c r="I267" s="109">
        <f>COUNTIFS(เรื่องร้องเรียน!E:E,"4",เรื่องร้องเรียน!N:N,"สาทร",เรื่องร้องเรียน!AN:AN,"ทุ่งมหาเมฆ")</f>
        <v>0</v>
      </c>
      <c r="J267" s="144">
        <f>COUNTIFS(เรื่องร้องเรียน!E:E,"4",เรื่องร้องเรียน!N:N,"สาทร",เรื่องร้องเรียน!AN:AN,"ทุ่งมหาเมฆ",เรื่องร้องเรียน!CL:CL,"1")</f>
        <v>0</v>
      </c>
      <c r="K267" s="144"/>
      <c r="L267" s="144"/>
      <c r="M267" s="109">
        <f t="shared" si="104"/>
        <v>0</v>
      </c>
      <c r="N267" s="145">
        <f t="shared" si="104"/>
        <v>0</v>
      </c>
      <c r="O267" s="146">
        <f>COUNTIFS(เรื่องร้องเรียน!E:E,"1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P267" s="144">
        <f>COUNTIFS(เรื่องร้องเรียน!E:E,"2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Q267" s="144">
        <f>COUNTIFS(เรื่องร้องเรียน!E:E,"3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R267" s="144">
        <f>COUNTIFS(เรื่องร้องเรียน!E:E,"4",เรื่องร้องเรียน!N:N,"สาทร",เรื่องร้องเรียน!AN:AN,"ทุ่งมหาเมฆ",เรื่องร้องเรียน!AQ:AQ,"1",เรื่องร้องเรียน!CL:CL,"")</f>
        <v>0</v>
      </c>
      <c r="S267" s="144"/>
      <c r="T267" s="147">
        <f t="shared" si="94"/>
        <v>0</v>
      </c>
      <c r="U267" s="183">
        <f t="shared" si="91"/>
        <v>0</v>
      </c>
      <c r="W267" s="129">
        <f t="shared" si="81"/>
        <v>0</v>
      </c>
    </row>
    <row r="268" spans="1:23">
      <c r="A268" s="148"/>
      <c r="B268" s="171" t="s">
        <v>80</v>
      </c>
      <c r="C268" s="246">
        <f>COUNTIFS(เรื่องร้องเรียน!E:E,"1",เรื่องร้องเรียน!N:N,"สาทร",เรื่องร้องเรียน!AN:AN,"ยานนาวา")</f>
        <v>0</v>
      </c>
      <c r="D268" s="109">
        <f>COUNTIFS(เรื่องร้องเรียน!E:E,"1",เรื่องร้องเรียน!N:N,"สาทร",เรื่องร้องเรียน!AN:AN,"ยานนาวา",เรื่องร้องเรียน!CL:CL,"1")</f>
        <v>0</v>
      </c>
      <c r="E268" s="109">
        <f>COUNTIFS(เรื่องร้องเรียน!E:E,"2",เรื่องร้องเรียน!N:N,"สาทร",เรื่องร้องเรียน!AN:AN,"ยานนาวา")</f>
        <v>0</v>
      </c>
      <c r="F268" s="109">
        <f>COUNTIFS(เรื่องร้องเรียน!E:E,"2",เรื่องร้องเรียน!N:N,"สาทร",เรื่องร้องเรียน!AN:AN,"ยานนาวา",เรื่องร้องเรียน!CL:CL,"1")</f>
        <v>0</v>
      </c>
      <c r="G268" s="109">
        <f>COUNTIFS(เรื่องร้องเรียน!E:E,"3",เรื่องร้องเรียน!N:N,"สาทร",เรื่องร้องเรียน!AN:AN,"ยานนาวา")</f>
        <v>0</v>
      </c>
      <c r="H268" s="109">
        <f>COUNTIFS(เรื่องร้องเรียน!E:E,"3",เรื่องร้องเรียน!N:N,"สาทร",เรื่องร้องเรียน!AN:AN,"ยานนาวา",เรื่องร้องเรียน!CL:CL,"1")</f>
        <v>0</v>
      </c>
      <c r="I268" s="109">
        <f>COUNTIFS(เรื่องร้องเรียน!E:E,"4",เรื่องร้องเรียน!N:N,"สาทร",เรื่องร้องเรียน!AN:AN,"ยานนาวา")</f>
        <v>0</v>
      </c>
      <c r="J268" s="144">
        <f>COUNTIFS(เรื่องร้องเรียน!E:E,"4",เรื่องร้องเรียน!N:N,"สาทร",เรื่องร้องเรียน!AN:AN,"ยานนาวา",เรื่องร้องเรียน!CL:CL,"1")</f>
        <v>0</v>
      </c>
      <c r="K268" s="144"/>
      <c r="L268" s="144"/>
      <c r="M268" s="109">
        <f t="shared" si="104"/>
        <v>0</v>
      </c>
      <c r="N268" s="145">
        <f t="shared" si="104"/>
        <v>0</v>
      </c>
      <c r="O268" s="146">
        <f>COUNTIFS(เรื่องร้องเรียน!E:E,"1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P268" s="144">
        <f>COUNTIFS(เรื่องร้องเรียน!E:E,"2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Q268" s="144">
        <f>COUNTIFS(เรื่องร้องเรียน!E:E,"3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R268" s="144">
        <f>COUNTIFS(เรื่องร้องเรียน!E:E,"4",เรื่องร้องเรียน!N:N,"สาทร",เรื่องร้องเรียน!AN:AN,"ยานนาวา",เรื่องร้องเรียน!AQ:AQ,"1",เรื่องร้องเรียน!CL:CL,"")</f>
        <v>0</v>
      </c>
      <c r="S268" s="144"/>
      <c r="T268" s="147">
        <f t="shared" si="94"/>
        <v>0</v>
      </c>
      <c r="U268" s="183">
        <f t="shared" si="91"/>
        <v>0</v>
      </c>
      <c r="W268" s="129">
        <f t="shared" si="81"/>
        <v>0</v>
      </c>
    </row>
    <row r="269" spans="1:23" ht="21.6" thickBot="1">
      <c r="A269" s="174"/>
      <c r="B269" s="172" t="s">
        <v>104</v>
      </c>
      <c r="C269" s="231">
        <f>COUNTIFS(เรื่องร้องเรียน!E:E,"1",เรื่องร้องเรียน!N:N,"สาทร",เรื่องร้องเรียน!AN:AN,"วัดพระยาไกร")</f>
        <v>0</v>
      </c>
      <c r="D269" s="124">
        <f>COUNTIFS(เรื่องร้องเรียน!E:E,"1",เรื่องร้องเรียน!N:N,"สาทร",เรื่องร้องเรียน!AN:AN,"วัดพระยาไกร",เรื่องร้องเรียน!CL:CL,"1")</f>
        <v>0</v>
      </c>
      <c r="E269" s="124">
        <f>COUNTIFS(เรื่องร้องเรียน!E:E,"2",เรื่องร้องเรียน!N:N,"สาทร",เรื่องร้องเรียน!AN:AN,"วัดพระยาไกร")</f>
        <v>0</v>
      </c>
      <c r="F269" s="124">
        <f>COUNTIFS(เรื่องร้องเรียน!E:E,"2",เรื่องร้องเรียน!N:N,"สาทร",เรื่องร้องเรียน!AN:AN,"วัดพระยาไกร",เรื่องร้องเรียน!CL:CL,"1")</f>
        <v>0</v>
      </c>
      <c r="G269" s="124">
        <f>COUNTIFS(เรื่องร้องเรียน!E:E,"3",เรื่องร้องเรียน!N:N,"สาทร",เรื่องร้องเรียน!AN:AN,"วัดพระยาไกร")</f>
        <v>0</v>
      </c>
      <c r="H269" s="124">
        <f>COUNTIFS(เรื่องร้องเรียน!E:E,"3",เรื่องร้องเรียน!N:N,"สาทร",เรื่องร้องเรียน!AN:AN,"วัดพระยาไกร",เรื่องร้องเรียน!CL:CL,"1")</f>
        <v>0</v>
      </c>
      <c r="I269" s="124">
        <f>COUNTIFS(เรื่องร้องเรียน!E:E,"4",เรื่องร้องเรียน!N:N,"สาทร",เรื่องร้องเรียน!AN:AN,"วัดพระยาไกร")</f>
        <v>0</v>
      </c>
      <c r="J269" s="157">
        <f>COUNTIFS(เรื่องร้องเรียน!E:E,"4",เรื่องร้องเรียน!N:N,"สาทร",เรื่องร้องเรียน!AN:AN,"วัดพระยาไกร",เรื่องร้องเรียน!CL:CL,"1")</f>
        <v>0</v>
      </c>
      <c r="K269" s="157"/>
      <c r="L269" s="157"/>
      <c r="M269" s="124">
        <f t="shared" si="104"/>
        <v>0</v>
      </c>
      <c r="N269" s="158">
        <f t="shared" si="104"/>
        <v>0</v>
      </c>
      <c r="O269" s="159">
        <f>COUNTIFS(เรื่องร้องเรียน!E:E,"1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P269" s="157">
        <f>COUNTIFS(เรื่องร้องเรียน!E:E,"2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Q269" s="157">
        <f>COUNTIFS(เรื่องร้องเรียน!E:E,"3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R269" s="157">
        <f>COUNTIFS(เรื่องร้องเรียน!E:E,"4",เรื่องร้องเรียน!N:N,"สาทร",เรื่องร้องเรียน!AN:AN,"วัดพระยาไกร",เรื่องร้องเรียน!AQ:AQ,"1",เรื่องร้องเรียน!CL:CL,"")</f>
        <v>0</v>
      </c>
      <c r="S269" s="157"/>
      <c r="T269" s="160">
        <f t="shared" si="94"/>
        <v>0</v>
      </c>
      <c r="U269" s="184">
        <f t="shared" si="91"/>
        <v>0</v>
      </c>
      <c r="W269" s="129">
        <f t="shared" si="81"/>
        <v>0</v>
      </c>
    </row>
    <row r="270" spans="1:23" ht="21.6" thickBot="1">
      <c r="A270" s="168" t="s">
        <v>143</v>
      </c>
      <c r="B270" s="166" t="s">
        <v>152</v>
      </c>
      <c r="C270" s="132">
        <f>SUM(C271:C275)</f>
        <v>0</v>
      </c>
      <c r="D270" s="131">
        <f t="shared" ref="D270:T270" si="105">SUM(D271:D275)</f>
        <v>0</v>
      </c>
      <c r="E270" s="131">
        <f t="shared" si="105"/>
        <v>0</v>
      </c>
      <c r="F270" s="131">
        <f t="shared" si="105"/>
        <v>0</v>
      </c>
      <c r="G270" s="131">
        <f t="shared" si="105"/>
        <v>0</v>
      </c>
      <c r="H270" s="131">
        <f t="shared" si="105"/>
        <v>0</v>
      </c>
      <c r="I270" s="131">
        <f t="shared" si="105"/>
        <v>0</v>
      </c>
      <c r="J270" s="131">
        <f t="shared" si="105"/>
        <v>0</v>
      </c>
      <c r="K270" s="131">
        <f t="shared" si="105"/>
        <v>0</v>
      </c>
      <c r="L270" s="131">
        <f t="shared" si="105"/>
        <v>0</v>
      </c>
      <c r="M270" s="131">
        <f t="shared" si="105"/>
        <v>0</v>
      </c>
      <c r="N270" s="163">
        <f t="shared" si="105"/>
        <v>0</v>
      </c>
      <c r="O270" s="186">
        <f t="shared" si="105"/>
        <v>0</v>
      </c>
      <c r="P270" s="186">
        <f t="shared" si="105"/>
        <v>0</v>
      </c>
      <c r="Q270" s="186">
        <f t="shared" si="105"/>
        <v>0</v>
      </c>
      <c r="R270" s="186">
        <f t="shared" si="105"/>
        <v>0</v>
      </c>
      <c r="S270" s="186">
        <f t="shared" si="105"/>
        <v>0</v>
      </c>
      <c r="T270" s="133">
        <f t="shared" si="105"/>
        <v>0</v>
      </c>
      <c r="U270" s="134">
        <f t="shared" si="91"/>
        <v>0</v>
      </c>
      <c r="W270" s="135">
        <f t="shared" si="81"/>
        <v>0</v>
      </c>
    </row>
    <row r="271" spans="1:23">
      <c r="A271" s="173"/>
      <c r="B271" s="170" t="s">
        <v>20</v>
      </c>
      <c r="C271" s="180"/>
      <c r="D271" s="178"/>
      <c r="E271" s="178"/>
      <c r="F271" s="178"/>
      <c r="G271" s="178"/>
      <c r="H271" s="178"/>
      <c r="I271" s="178"/>
      <c r="J271" s="178"/>
      <c r="K271" s="178">
        <f>COUNTIFS(เรื่องร้องเรียน!E:E,"5",เรื่องร้องเรียน!N:N,"สายไหม")</f>
        <v>0</v>
      </c>
      <c r="L271" s="178">
        <f>COUNTIFS(เรื่องร้องเรียน!E:E,"5",เรื่องร้องเรียน!N:N,"สายไหม",เรื่องร้องเรียน!CL:CL,"1")</f>
        <v>0</v>
      </c>
      <c r="M271" s="178">
        <f t="shared" ref="M271:N274" si="106">SUM(C271,E271,G271,I271,K271)</f>
        <v>0</v>
      </c>
      <c r="N271" s="179">
        <f t="shared" si="106"/>
        <v>0</v>
      </c>
      <c r="O271" s="180"/>
      <c r="P271" s="178"/>
      <c r="Q271" s="178"/>
      <c r="R271" s="178"/>
      <c r="S271" s="178">
        <f>COUNTIFS(เรื่องร้องเรียน!E:E,"5",เรื่องร้องเรียน!N:N,"สายไหม",เรื่องร้องเรียน!AQ:AQ,"1",เรื่องร้องเรียน!CL:CL,"")</f>
        <v>0</v>
      </c>
      <c r="T271" s="181">
        <f t="shared" si="94"/>
        <v>0</v>
      </c>
      <c r="U271" s="182">
        <f t="shared" si="91"/>
        <v>0</v>
      </c>
      <c r="W271" s="129">
        <f t="shared" si="81"/>
        <v>0</v>
      </c>
    </row>
    <row r="272" spans="1:23">
      <c r="A272" s="148"/>
      <c r="B272" s="171" t="s">
        <v>77</v>
      </c>
      <c r="C272" s="246">
        <f>COUNTIFS(เรื่องร้องเรียน!E:E,"1",เรื่องร้องเรียน!N:N,"สายไหม",เรื่องร้องเรียน!AN:AN,"คันนายาว")</f>
        <v>0</v>
      </c>
      <c r="D272" s="109">
        <f>COUNTIFS(เรื่องร้องเรียน!E:E,"1",เรื่องร้องเรียน!N:N,"สายไหม",เรื่องร้องเรียน!AN:AN,"คันนายาว",เรื่องร้องเรียน!CL:CL,"1")</f>
        <v>0</v>
      </c>
      <c r="E272" s="109">
        <f>COUNTIFS(เรื่องร้องเรียน!E:E,"2",เรื่องร้องเรียน!N:N,"สายไหม",เรื่องร้องเรียน!AN:AN,"คันนายาว")</f>
        <v>0</v>
      </c>
      <c r="F272" s="109">
        <f>COUNTIFS(เรื่องร้องเรียน!E:E,"2",เรื่องร้องเรียน!N:N,"สายไหม",เรื่องร้องเรียน!AN:AN,"คันนายาว",เรื่องร้องเรียน!CL:CL,"1")</f>
        <v>0</v>
      </c>
      <c r="G272" s="109">
        <f>COUNTIFS(เรื่องร้องเรียน!E:E,"3",เรื่องร้องเรียน!N:N,"สายไหม",เรื่องร้องเรียน!AN:AN,"คันนายาว")</f>
        <v>0</v>
      </c>
      <c r="H272" s="109">
        <f>COUNTIFS(เรื่องร้องเรียน!E:E,"3",เรื่องร้องเรียน!N:N,"สายไหม",เรื่องร้องเรียน!AN:AN,"คันนายาว",เรื่องร้องเรียน!CL:CL,"1")</f>
        <v>0</v>
      </c>
      <c r="I272" s="109">
        <f>COUNTIFS(เรื่องร้องเรียน!E:E,"4",เรื่องร้องเรียน!N:N,"สายไหม",เรื่องร้องเรียน!AN:AN,"คันนายาว")</f>
        <v>0</v>
      </c>
      <c r="J272" s="144">
        <f>COUNTIFS(เรื่องร้องเรียน!E:E,"4",เรื่องร้องเรียน!N:N,"สายไหม",เรื่องร้องเรียน!AN:AN,"คันนายาว",เรื่องร้องเรียน!CL:CL,"1")</f>
        <v>0</v>
      </c>
      <c r="K272" s="144"/>
      <c r="L272" s="144"/>
      <c r="M272" s="109">
        <f t="shared" si="106"/>
        <v>0</v>
      </c>
      <c r="N272" s="145">
        <f t="shared" si="106"/>
        <v>0</v>
      </c>
      <c r="O272" s="146">
        <f>COUNTIFS(เรื่องร้องเรียน!E:E,"1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P272" s="144">
        <f>COUNTIFS(เรื่องร้องเรียน!E:E,"2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Q272" s="144">
        <f>COUNTIFS(เรื่องร้องเรียน!E:E,"3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R272" s="144">
        <f>COUNTIFS(เรื่องร้องเรียน!E:E,"4",เรื่องร้องเรียน!N:N,"สายไหม",เรื่องร้องเรียน!AN:AN,"คันนายาว",เรื่องร้องเรียน!AQ:AQ,"1",เรื่องร้องเรียน!CL:CL,"")</f>
        <v>0</v>
      </c>
      <c r="S272" s="144"/>
      <c r="T272" s="147">
        <f t="shared" si="94"/>
        <v>0</v>
      </c>
      <c r="U272" s="183">
        <f t="shared" si="91"/>
        <v>0</v>
      </c>
      <c r="V272" s="10" t="s">
        <v>131</v>
      </c>
      <c r="W272" s="129">
        <f t="shared" ref="W272:W301" si="107">SUM(M272-N272)</f>
        <v>0</v>
      </c>
    </row>
    <row r="273" spans="1:23">
      <c r="A273" s="148"/>
      <c r="B273" s="171" t="s">
        <v>107</v>
      </c>
      <c r="C273" s="246">
        <f>COUNTIFS(เรื่องร้องเรียน!E:E,"1",เรื่องร้องเรียน!N:N,"สายไหม",เรื่องร้องเรียน!AN:AN,"บางเขน")</f>
        <v>0</v>
      </c>
      <c r="D273" s="109">
        <f>COUNTIFS(เรื่องร้องเรียน!E:E,"1",เรื่องร้องเรียน!N:N,"สายไหม",เรื่องร้องเรียน!AN:AN,"บางเขน",เรื่องร้องเรียน!CL:CL,"1")</f>
        <v>0</v>
      </c>
      <c r="E273" s="109">
        <f>COUNTIFS(เรื่องร้องเรียน!E:E,"2",เรื่องร้องเรียน!N:N,"สายไหม",เรื่องร้องเรียน!AN:AN,"บางเขน")</f>
        <v>0</v>
      </c>
      <c r="F273" s="109">
        <f>COUNTIFS(เรื่องร้องเรียน!E:E,"2",เรื่องร้องเรียน!N:N,"สายไหม",เรื่องร้องเรียน!AN:AN,"บางเขน",เรื่องร้องเรียน!CL:CL,"1")</f>
        <v>0</v>
      </c>
      <c r="G273" s="109">
        <f>COUNTIFS(เรื่องร้องเรียน!E:E,"3",เรื่องร้องเรียน!N:N,"สายไหม",เรื่องร้องเรียน!AN:AN,"บางเขน")</f>
        <v>0</v>
      </c>
      <c r="H273" s="109">
        <f>COUNTIFS(เรื่องร้องเรียน!E:E,"3",เรื่องร้องเรียน!N:N,"สายไหม",เรื่องร้องเรียน!AN:AN,"บางเขน",เรื่องร้องเรียน!CL:CL,"1")</f>
        <v>0</v>
      </c>
      <c r="I273" s="109">
        <f>COUNTIFS(เรื่องร้องเรียน!E:E,"4",เรื่องร้องเรียน!N:N,"สายไหม",เรื่องร้องเรียน!AN:AN,"บางเขน")</f>
        <v>0</v>
      </c>
      <c r="J273" s="144">
        <f>COUNTIFS(เรื่องร้องเรียน!E:E,"4",เรื่องร้องเรียน!N:N,"สายไหม",เรื่องร้องเรียน!AN:AN,"บางเขน",เรื่องร้องเรียน!CL:CL,"1")</f>
        <v>0</v>
      </c>
      <c r="K273" s="144"/>
      <c r="L273" s="144"/>
      <c r="M273" s="109">
        <f t="shared" si="106"/>
        <v>0</v>
      </c>
      <c r="N273" s="145">
        <f t="shared" si="106"/>
        <v>0</v>
      </c>
      <c r="O273" s="146">
        <f>COUNTIFS(เรื่องร้องเรียน!E:E,"1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P273" s="144">
        <f>COUNTIFS(เรื่องร้องเรียน!E:E,"2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Q273" s="144">
        <f>COUNTIFS(เรื่องร้องเรียน!E:E,"3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R273" s="144">
        <f>COUNTIFS(เรื่องร้องเรียน!E:E,"4",เรื่องร้องเรียน!N:N,"สายไหม",เรื่องร้องเรียน!AN:AN,"บางเขน",เรื่องร้องเรียน!AQ:AQ,"1",เรื่องร้องเรียน!CL:CL,"")</f>
        <v>0</v>
      </c>
      <c r="S273" s="144"/>
      <c r="T273" s="147">
        <f t="shared" si="94"/>
        <v>0</v>
      </c>
      <c r="U273" s="183">
        <f t="shared" si="91"/>
        <v>0</v>
      </c>
      <c r="W273" s="129">
        <f t="shared" si="107"/>
        <v>0</v>
      </c>
    </row>
    <row r="274" spans="1:23">
      <c r="A274" s="148"/>
      <c r="B274" s="171" t="s">
        <v>143</v>
      </c>
      <c r="C274" s="246">
        <f>COUNTIFS(เรื่องร้องเรียน!E:E,"1",เรื่องร้องเรียน!N:N,"สายไหม",เรื่องร้องเรียน!AN:AN,"สายไหม")</f>
        <v>0</v>
      </c>
      <c r="D274" s="109">
        <f>COUNTIFS(เรื่องร้องเรียน!E:E,"1",เรื่องร้องเรียน!N:N,"สายไหม",เรื่องร้องเรียน!AN:AN,"สายไหม",เรื่องร้องเรียน!CL:CL,"1")</f>
        <v>0</v>
      </c>
      <c r="E274" s="109">
        <f>COUNTIFS(เรื่องร้องเรียน!E:E,"2",เรื่องร้องเรียน!N:N,"สายไหม",เรื่องร้องเรียน!AN:AN,"สายไหม")</f>
        <v>0</v>
      </c>
      <c r="F274" s="109">
        <f>COUNTIFS(เรื่องร้องเรียน!E:E,"2",เรื่องร้องเรียน!N:N,"สายไหม",เรื่องร้องเรียน!AN:AN,"สายไหม",เรื่องร้องเรียน!CL:CL,"1")</f>
        <v>0</v>
      </c>
      <c r="G274" s="109">
        <f>COUNTIFS(เรื่องร้องเรียน!E:E,"3",เรื่องร้องเรียน!N:N,"สายไหม",เรื่องร้องเรียน!AN:AN,"สายไหม")</f>
        <v>0</v>
      </c>
      <c r="H274" s="109">
        <f>COUNTIFS(เรื่องร้องเรียน!E:E,"3",เรื่องร้องเรียน!N:N,"สายไหม",เรื่องร้องเรียน!AN:AN,"สายไหม",เรื่องร้องเรียน!CL:CL,"1")</f>
        <v>0</v>
      </c>
      <c r="I274" s="109">
        <f>COUNTIFS(เรื่องร้องเรียน!E:E,"4",เรื่องร้องเรียน!N:N,"สายไหม",เรื่องร้องเรียน!AN:AN,"สายไหม")</f>
        <v>0</v>
      </c>
      <c r="J274" s="144">
        <f>COUNTIFS(เรื่องร้องเรียน!E:E,"4",เรื่องร้องเรียน!N:N,"สายไหม",เรื่องร้องเรียน!AN:AN,"สายไหม",เรื่องร้องเรียน!CL:CL,"1")</f>
        <v>0</v>
      </c>
      <c r="K274" s="144"/>
      <c r="L274" s="144"/>
      <c r="M274" s="109">
        <f t="shared" si="106"/>
        <v>0</v>
      </c>
      <c r="N274" s="145">
        <f t="shared" si="106"/>
        <v>0</v>
      </c>
      <c r="O274" s="146">
        <f>COUNTIFS(เรื่องร้องเรียน!E:E,"1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P274" s="144">
        <f>COUNTIFS(เรื่องร้องเรียน!E:E,"2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Q274" s="144">
        <f>COUNTIFS(เรื่องร้องเรียน!E:E,"3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R274" s="144">
        <f>COUNTIFS(เรื่องร้องเรียน!E:E,"4",เรื่องร้องเรียน!N:N,"สายไหม",เรื่องร้องเรียน!AN:AN,"สายไหม",เรื่องร้องเรียน!AQ:AQ,"1",เรื่องร้องเรียน!CL:CL,"")</f>
        <v>0</v>
      </c>
      <c r="S274" s="144"/>
      <c r="T274" s="147">
        <f t="shared" si="94"/>
        <v>0</v>
      </c>
      <c r="U274" s="183">
        <f t="shared" si="91"/>
        <v>0</v>
      </c>
      <c r="W274" s="129">
        <f t="shared" si="107"/>
        <v>0</v>
      </c>
    </row>
    <row r="275" spans="1:23" ht="21.6" thickBot="1">
      <c r="A275" s="174"/>
      <c r="B275" s="172" t="s">
        <v>131</v>
      </c>
      <c r="C275" s="231">
        <f>COUNTIFS(เรื่องร้องเรียน!E:E,"1",เรื่องร้องเรียน!N:N,"สายไหม",เรื่องร้องเรียน!AN:AN,"นิมิตรใหม่")</f>
        <v>0</v>
      </c>
      <c r="D275" s="124">
        <f>COUNTIFS(เรื่องร้องเรียน!E:E,"1",เรื่องร้องเรียน!N:N,"สายไหม",เรื่องร้องเรียน!AN:AN,"นิมิตรใหม่",เรื่องร้องเรียน!CL:CL,"1")</f>
        <v>0</v>
      </c>
      <c r="E275" s="124">
        <f>COUNTIFS(เรื่องร้องเรียน!E:E,"2",เรื่องร้องเรียน!N:N,"สายไหม",เรื่องร้องเรียน!AN:AN,"นิมิตรใหม่")</f>
        <v>0</v>
      </c>
      <c r="F275" s="124">
        <f>COUNTIFS(เรื่องร้องเรียน!E:E,"2",เรื่องร้องเรียน!N:N,"สายไหม",เรื่องร้องเรียน!AN:AN,"นิมิตรใหม่",เรื่องร้องเรียน!CL:CL,"1")</f>
        <v>0</v>
      </c>
      <c r="G275" s="124">
        <f>COUNTIFS(เรื่องร้องเรียน!E:E,"3",เรื่องร้องเรียน!N:N,"สายไหม",เรื่องร้องเรียน!AN:AN,"นิมิตรใหม่")</f>
        <v>0</v>
      </c>
      <c r="H275" s="124">
        <f>COUNTIFS(เรื่องร้องเรียน!E:E,"3",เรื่องร้องเรียน!N:N,"สายไหม",เรื่องร้องเรียน!AN:AN,"นิมิตรใหม่",เรื่องร้องเรียน!CL:CL,"1")</f>
        <v>0</v>
      </c>
      <c r="I275" s="124">
        <f>COUNTIFS(เรื่องร้องเรียน!E:E,"4",เรื่องร้องเรียน!N:N,"สายไหม",เรื่องร้องเรียน!AN:AN,"นิมิตรใหม่")</f>
        <v>0</v>
      </c>
      <c r="J275" s="157">
        <f>COUNTIFS(เรื่องร้องเรียน!E:E,"4",เรื่องร้องเรียน!N:N,"สายไหม",เรื่องร้องเรียน!AN:AN,"นิมิตรใหม่",เรื่องร้องเรียน!CL:CL,"1")</f>
        <v>0</v>
      </c>
      <c r="K275" s="157"/>
      <c r="L275" s="157"/>
      <c r="M275" s="124">
        <f>SUM(C275,E275,G275,I275,K275)</f>
        <v>0</v>
      </c>
      <c r="N275" s="158">
        <f>SUM(D275,F275,H275,J275,L275)</f>
        <v>0</v>
      </c>
      <c r="O275" s="159">
        <f>COUNTIFS(เรื่องร้องเรียน!E:E,"1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P275" s="157">
        <f>COUNTIFS(เรื่องร้องเรียน!E:E,"2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Q275" s="157">
        <f>COUNTIFS(เรื่องร้องเรียน!E:E,"3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R275" s="157">
        <f>COUNTIFS(เรื่องร้องเรียน!E:E,"4",เรื่องร้องเรียน!N:N,"สายไหม",เรื่องร้องเรียน!AN:AN,"นิมิตรใหม่",เรื่องร้องเรียน!AQ:AQ,"1",เรื่องร้องเรียน!CL:CL,"")</f>
        <v>0</v>
      </c>
      <c r="S275" s="157"/>
      <c r="T275" s="160">
        <f>SUM(O275:S275)</f>
        <v>0</v>
      </c>
      <c r="U275" s="184">
        <f>M275-N275-T275</f>
        <v>0</v>
      </c>
      <c r="W275" s="129">
        <f t="shared" si="107"/>
        <v>0</v>
      </c>
    </row>
    <row r="276" spans="1:23" ht="21.6" thickBot="1">
      <c r="A276" s="168" t="s">
        <v>93</v>
      </c>
      <c r="B276" s="166" t="s">
        <v>152</v>
      </c>
      <c r="C276" s="186">
        <f>SUM(C277:C279)</f>
        <v>0</v>
      </c>
      <c r="D276" s="187">
        <f t="shared" ref="D276:T276" si="108">SUM(D277:D279)</f>
        <v>0</v>
      </c>
      <c r="E276" s="187">
        <f t="shared" si="108"/>
        <v>0</v>
      </c>
      <c r="F276" s="187">
        <f t="shared" si="108"/>
        <v>0</v>
      </c>
      <c r="G276" s="187">
        <f t="shared" si="108"/>
        <v>0</v>
      </c>
      <c r="H276" s="187">
        <f t="shared" si="108"/>
        <v>0</v>
      </c>
      <c r="I276" s="187">
        <f t="shared" si="108"/>
        <v>0</v>
      </c>
      <c r="J276" s="187">
        <f t="shared" si="108"/>
        <v>0</v>
      </c>
      <c r="K276" s="187">
        <f t="shared" si="108"/>
        <v>0</v>
      </c>
      <c r="L276" s="187">
        <f t="shared" si="108"/>
        <v>0</v>
      </c>
      <c r="M276" s="187">
        <f t="shared" si="108"/>
        <v>0</v>
      </c>
      <c r="N276" s="188">
        <f t="shared" si="108"/>
        <v>0</v>
      </c>
      <c r="O276" s="186">
        <f t="shared" si="108"/>
        <v>0</v>
      </c>
      <c r="P276" s="187">
        <f t="shared" si="108"/>
        <v>0</v>
      </c>
      <c r="Q276" s="187">
        <f t="shared" si="108"/>
        <v>0</v>
      </c>
      <c r="R276" s="187">
        <f t="shared" si="108"/>
        <v>0</v>
      </c>
      <c r="S276" s="187">
        <f t="shared" si="108"/>
        <v>0</v>
      </c>
      <c r="T276" s="189">
        <f t="shared" si="108"/>
        <v>0</v>
      </c>
      <c r="U276" s="129">
        <f t="shared" si="91"/>
        <v>0</v>
      </c>
      <c r="W276" s="135">
        <f t="shared" si="107"/>
        <v>0</v>
      </c>
    </row>
    <row r="277" spans="1:23">
      <c r="A277" s="173"/>
      <c r="B277" s="170" t="s">
        <v>20</v>
      </c>
      <c r="C277" s="180"/>
      <c r="D277" s="178"/>
      <c r="E277" s="178"/>
      <c r="F277" s="178"/>
      <c r="G277" s="178"/>
      <c r="H277" s="178"/>
      <c r="I277" s="178"/>
      <c r="J277" s="178"/>
      <c r="K277" s="178">
        <f>COUNTIFS(เรื่องร้องเรียน!E:E,"5",เรื่องร้องเรียน!N:N,"หนองแขม")</f>
        <v>0</v>
      </c>
      <c r="L277" s="178">
        <f>COUNTIFS(เรื่องร้องเรียน!E:E,"5",เรื่องร้องเรียน!N:N,"หนองแขม",เรื่องร้องเรียน!CL:CL,"1")</f>
        <v>0</v>
      </c>
      <c r="M277" s="178">
        <f t="shared" ref="M277:N279" si="109">SUM(C277,E277,G277,I277,K277)</f>
        <v>0</v>
      </c>
      <c r="N277" s="179">
        <f t="shared" si="109"/>
        <v>0</v>
      </c>
      <c r="O277" s="180"/>
      <c r="P277" s="178"/>
      <c r="Q277" s="178"/>
      <c r="R277" s="178"/>
      <c r="S277" s="178">
        <f>COUNTIFS(เรื่องร้องเรียน!E:E,"5",เรื่องร้องเรียน!N:N,"หนองแขม",เรื่องร้องเรียน!AQ:AQ,"1",เรื่องร้องเรียน!CL:CL,"")</f>
        <v>0</v>
      </c>
      <c r="T277" s="181">
        <f t="shared" si="94"/>
        <v>0</v>
      </c>
      <c r="U277" s="182">
        <f t="shared" si="91"/>
        <v>0</v>
      </c>
      <c r="W277" s="129">
        <f t="shared" si="107"/>
        <v>0</v>
      </c>
    </row>
    <row r="278" spans="1:23">
      <c r="A278" s="148"/>
      <c r="B278" s="171" t="s">
        <v>93</v>
      </c>
      <c r="C278" s="246">
        <f>COUNTIFS(เรื่องร้องเรียน!E:E,"1",เรื่องร้องเรียน!N:N,"หนองแขม",เรื่องร้องเรียน!AN:AN,"หนองแขม")</f>
        <v>0</v>
      </c>
      <c r="D278" s="109">
        <f>COUNTIFS(เรื่องร้องเรียน!E:E,"1",เรื่องร้องเรียน!N:N,"หนองแขม",เรื่องร้องเรียน!AN:AN,"หนองแขม",เรื่องร้องเรียน!CL:CL,"1")</f>
        <v>0</v>
      </c>
      <c r="E278" s="109">
        <f>COUNTIFS(เรื่องร้องเรียน!E:E,"2",เรื่องร้องเรียน!N:N,"หนองแขม",เรื่องร้องเรียน!AN:AN,"หนองแขม")</f>
        <v>0</v>
      </c>
      <c r="F278" s="109">
        <f>COUNTIFS(เรื่องร้องเรียน!E:E,"2",เรื่องร้องเรียน!N:N,"หนองแขม",เรื่องร้องเรียน!AN:AN,"หนองแขม",เรื่องร้องเรียน!CL:CL,"1")</f>
        <v>0</v>
      </c>
      <c r="G278" s="109">
        <f>COUNTIFS(เรื่องร้องเรียน!E:E,"3",เรื่องร้องเรียน!N:N,"หนองแขม",เรื่องร้องเรียน!AN:AN,"หนองแขม")</f>
        <v>0</v>
      </c>
      <c r="H278" s="109">
        <f>COUNTIFS(เรื่องร้องเรียน!E:E,"3",เรื่องร้องเรียน!N:N,"หนองแขม",เรื่องร้องเรียน!AN:AN,"หนองแขม",เรื่องร้องเรียน!CL:CL,"1")</f>
        <v>0</v>
      </c>
      <c r="I278" s="109">
        <f>COUNTIFS(เรื่องร้องเรียน!E:E,"4",เรื่องร้องเรียน!N:N,"หนองแขม",เรื่องร้องเรียน!AN:AN,"หนองแขม")</f>
        <v>0</v>
      </c>
      <c r="J278" s="144">
        <f>COUNTIFS(เรื่องร้องเรียน!E:E,"4",เรื่องร้องเรียน!N:N,"หนองแขม",เรื่องร้องเรียน!AN:AN,"หนองแขม",เรื่องร้องเรียน!CL:CL,"1")</f>
        <v>0</v>
      </c>
      <c r="K278" s="144"/>
      <c r="L278" s="144"/>
      <c r="M278" s="109">
        <f t="shared" si="109"/>
        <v>0</v>
      </c>
      <c r="N278" s="145">
        <f t="shared" si="109"/>
        <v>0</v>
      </c>
      <c r="O278" s="146">
        <f>COUNTIFS(เรื่องร้องเรียน!E:E,"1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P278" s="144">
        <f>COUNTIFS(เรื่องร้องเรียน!E:E,"2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Q278" s="144">
        <f>COUNTIFS(เรื่องร้องเรียน!E:E,"3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R278" s="144">
        <f>COUNTIFS(เรื่องร้องเรียน!E:E,"4",เรื่องร้องเรียน!N:N,"หนองแขม",เรื่องร้องเรียน!AN:AN,"หนองแขม",เรื่องร้องเรียน!AQ:AQ,"1",เรื่องร้องเรียน!CL:CL,"")</f>
        <v>0</v>
      </c>
      <c r="S278" s="144"/>
      <c r="T278" s="147">
        <f t="shared" si="94"/>
        <v>0</v>
      </c>
      <c r="U278" s="183">
        <f t="shared" si="91"/>
        <v>0</v>
      </c>
      <c r="W278" s="129">
        <f t="shared" si="107"/>
        <v>0</v>
      </c>
    </row>
    <row r="279" spans="1:23" s="490" customFormat="1" ht="21.6" thickBot="1">
      <c r="A279" s="480"/>
      <c r="B279" s="481" t="s">
        <v>135</v>
      </c>
      <c r="C279" s="482">
        <f>COUNTIFS(เรื่องร้องเรียน!E:E,"1",เรื่องร้องเรียน!N:N,"หนองแขม",เรื่องร้องเรียน!AN:AN,"หนองค้างพลู")</f>
        <v>0</v>
      </c>
      <c r="D279" s="483">
        <f>COUNTIFS(เรื่องร้องเรียน!E:E,"1",เรื่องร้องเรียน!N:N,"หนองแขม",เรื่องร้องเรียน!AN:AN,"หนองค้างพลู",เรื่องร้องเรียน!CL:CL,"1")</f>
        <v>0</v>
      </c>
      <c r="E279" s="483">
        <f>COUNTIFS(เรื่องร้องเรียน!E:E,"2",เรื่องร้องเรียน!N:N,"หนองแขม",เรื่องร้องเรียน!AN:AN,"หนองค้างพลู")</f>
        <v>0</v>
      </c>
      <c r="F279" s="483">
        <f>COUNTIFS(เรื่องร้องเรียน!E:E,"2",เรื่องร้องเรียน!N:N,"หนองแขม",เรื่องร้องเรียน!AN:AN,"หนองค้างพลู",เรื่องร้องเรียน!CL:CL,"1")</f>
        <v>0</v>
      </c>
      <c r="G279" s="483">
        <f>COUNTIFS(เรื่องร้องเรียน!E:E,"3",เรื่องร้องเรียน!N:N,"หนองแขม",เรื่องร้องเรียน!AN:AN,"หนองค้างพลู")</f>
        <v>0</v>
      </c>
      <c r="H279" s="483">
        <f>COUNTIFS(เรื่องร้องเรียน!E:E,"3",เรื่องร้องเรียน!N:N,"หนองแขม",เรื่องร้องเรียน!AN:AN,"หนองค้างพลู",เรื่องร้องเรียน!CL:CL,"1")</f>
        <v>0</v>
      </c>
      <c r="I279" s="483">
        <f>COUNTIFS(เรื่องร้องเรียน!E:E,"4",เรื่องร้องเรียน!N:N,"หนองแขม",เรื่องร้องเรียน!AN:AN,"หนองค้างพลู")</f>
        <v>0</v>
      </c>
      <c r="J279" s="484">
        <f>COUNTIFS(เรื่องร้องเรียน!E:E,"4",เรื่องร้องเรียน!N:N,"หนองแขม",เรื่องร้องเรียน!AN:AN,"หนองค้างพลู",เรื่องร้องเรียน!CL:CL,"1")</f>
        <v>0</v>
      </c>
      <c r="K279" s="484"/>
      <c r="L279" s="484"/>
      <c r="M279" s="483">
        <f>SUM(C279,E279,G279,I279,K279)</f>
        <v>0</v>
      </c>
      <c r="N279" s="485">
        <f t="shared" si="109"/>
        <v>0</v>
      </c>
      <c r="O279" s="486">
        <f>COUNTIFS(เรื่องร้องเรียน!E:E,"1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P279" s="487">
        <f>COUNTIFS(เรื่องร้องเรียน!E:E,"2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Q279" s="487">
        <f>COUNTIFS(เรื่องร้องเรียน!E:E,"3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R279" s="487">
        <f>COUNTIFS(เรื่องร้องเรียน!E:E,"4",เรื่องร้องเรียน!N:N,"หนองแขม",เรื่องร้องเรียน!AN:AN,"หนองค้างพลู",เรื่องร้องเรียน!AQ:AQ,"1",เรื่องร้องเรียน!CL:CL,"")</f>
        <v>0</v>
      </c>
      <c r="S279" s="487"/>
      <c r="T279" s="488">
        <f t="shared" si="94"/>
        <v>0</v>
      </c>
      <c r="U279" s="489">
        <f t="shared" si="91"/>
        <v>0</v>
      </c>
      <c r="W279" s="491">
        <f t="shared" si="107"/>
        <v>0</v>
      </c>
    </row>
    <row r="280" spans="1:23" ht="21.6" thickBot="1">
      <c r="A280" s="168" t="s">
        <v>141</v>
      </c>
      <c r="B280" s="166" t="s">
        <v>152</v>
      </c>
      <c r="C280" s="132">
        <f>SUM(C281:C287)</f>
        <v>0</v>
      </c>
      <c r="D280" s="131">
        <f t="shared" ref="D280:T280" si="110">SUM(D281:D287)</f>
        <v>0</v>
      </c>
      <c r="E280" s="131">
        <f t="shared" si="110"/>
        <v>0</v>
      </c>
      <c r="F280" s="131">
        <f t="shared" si="110"/>
        <v>0</v>
      </c>
      <c r="G280" s="131">
        <f t="shared" si="110"/>
        <v>0</v>
      </c>
      <c r="H280" s="131">
        <f t="shared" si="110"/>
        <v>0</v>
      </c>
      <c r="I280" s="131">
        <f t="shared" si="110"/>
        <v>0</v>
      </c>
      <c r="J280" s="131">
        <f t="shared" si="110"/>
        <v>0</v>
      </c>
      <c r="K280" s="131">
        <f t="shared" si="110"/>
        <v>0</v>
      </c>
      <c r="L280" s="131">
        <f t="shared" si="110"/>
        <v>0</v>
      </c>
      <c r="M280" s="131">
        <f t="shared" si="110"/>
        <v>0</v>
      </c>
      <c r="N280" s="163">
        <f t="shared" si="110"/>
        <v>0</v>
      </c>
      <c r="O280" s="186">
        <f t="shared" si="110"/>
        <v>0</v>
      </c>
      <c r="P280" s="186">
        <f t="shared" si="110"/>
        <v>0</v>
      </c>
      <c r="Q280" s="186">
        <f t="shared" si="110"/>
        <v>0</v>
      </c>
      <c r="R280" s="186">
        <f t="shared" si="110"/>
        <v>0</v>
      </c>
      <c r="S280" s="186">
        <f t="shared" si="110"/>
        <v>0</v>
      </c>
      <c r="T280" s="133">
        <f t="shared" si="110"/>
        <v>0</v>
      </c>
      <c r="U280" s="134">
        <f t="shared" si="91"/>
        <v>0</v>
      </c>
      <c r="W280" s="135">
        <f t="shared" si="107"/>
        <v>0</v>
      </c>
    </row>
    <row r="281" spans="1:23">
      <c r="A281" s="173"/>
      <c r="B281" s="170" t="s">
        <v>20</v>
      </c>
      <c r="C281" s="180"/>
      <c r="D281" s="178"/>
      <c r="E281" s="178"/>
      <c r="F281" s="178"/>
      <c r="G281" s="178"/>
      <c r="H281" s="178"/>
      <c r="I281" s="178"/>
      <c r="J281" s="178"/>
      <c r="K281" s="178">
        <f>COUNTIFS(เรื่องร้องเรียน!E:E,"5",เรื่องร้องเรียน!N:N,"หนองจอก")</f>
        <v>0</v>
      </c>
      <c r="L281" s="178">
        <f>COUNTIFS(เรื่องร้องเรียน!E:E,"5",เรื่องร้องเรียน!N:N,"หนองจอก",เรื่องร้องเรียน!CL:CL,"1")</f>
        <v>0</v>
      </c>
      <c r="M281" s="178">
        <f t="shared" ref="M281:N286" si="111">SUM(C281,E281,G281,I281,K281)</f>
        <v>0</v>
      </c>
      <c r="N281" s="179">
        <f t="shared" si="111"/>
        <v>0</v>
      </c>
      <c r="O281" s="180"/>
      <c r="P281" s="178"/>
      <c r="Q281" s="178"/>
      <c r="R281" s="178"/>
      <c r="S281" s="178">
        <f>COUNTIFS(เรื่องร้องเรียน!E:E,"5",เรื่องร้องเรียน!N:N,"หนองจอก",เรื่องร้องเรียน!AQ:AQ,"1",เรื่องร้องเรียน!CL:CL,"")</f>
        <v>0</v>
      </c>
      <c r="T281" s="181">
        <f t="shared" si="94"/>
        <v>0</v>
      </c>
      <c r="U281" s="182">
        <f t="shared" si="91"/>
        <v>0</v>
      </c>
      <c r="W281" s="129">
        <f t="shared" si="107"/>
        <v>0</v>
      </c>
    </row>
    <row r="282" spans="1:23">
      <c r="A282" s="148"/>
      <c r="B282" s="171" t="s">
        <v>174</v>
      </c>
      <c r="C282" s="246">
        <f>COUNTIFS(เรื่องร้องเรียน!E:E,"1",เรื่องร้องเรียน!N:N,"หนองจอก",เรื่องร้องเรียน!AN:AN,"ประชาสำราญ")</f>
        <v>0</v>
      </c>
      <c r="D282" s="109">
        <f>COUNTIFS(เรื่องร้องเรียน!E:E,"1",เรื่องร้องเรียน!N:N,"หนองจอก",เรื่องร้องเรียน!AN:AN,"ประชาสำราญ",เรื่องร้องเรียน!CL:CL,"1")</f>
        <v>0</v>
      </c>
      <c r="E282" s="109">
        <f>COUNTIFS(เรื่องร้องเรียน!E:E,"2",เรื่องร้องเรียน!N:N,"หนองจอก",เรื่องร้องเรียน!AN:AN,"ประชาสำราญ")</f>
        <v>0</v>
      </c>
      <c r="F282" s="109">
        <f>COUNTIFS(เรื่องร้องเรียน!E:E,"2",เรื่องร้องเรียน!N:N,"หนองจอก",เรื่องร้องเรียน!AN:AN,"ประชาสำราญ",เรื่องร้องเรียน!CL:CL,"1")</f>
        <v>0</v>
      </c>
      <c r="G282" s="109">
        <f>COUNTIFS(เรื่องร้องเรียน!E:E,"3",เรื่องร้องเรียน!N:N,"หนองจอก",เรื่องร้องเรียน!AN:AN,"ประชาสำราญ")</f>
        <v>0</v>
      </c>
      <c r="H282" s="109">
        <f>COUNTIFS(เรื่องร้องเรียน!E:E,"3",เรื่องร้องเรียน!N:N,"หนองจอก",เรื่องร้องเรียน!AN:AN,"ประชาสำราญ",เรื่องร้องเรียน!CL:CL,"1")</f>
        <v>0</v>
      </c>
      <c r="I282" s="109">
        <f>COUNTIFS(เรื่องร้องเรียน!E:E,"4",เรื่องร้องเรียน!N:N,"หนองจอก",เรื่องร้องเรียน!AN:AN,"ประชาสำราญ")</f>
        <v>0</v>
      </c>
      <c r="J282" s="144">
        <f>COUNTIFS(เรื่องร้องเรียน!E:E,"4",เรื่องร้องเรียน!N:N,"หนองจอก",เรื่องร้องเรียน!AN:AN,"ประชาสำราญ",เรื่องร้องเรียน!CL:CL,"1")</f>
        <v>0</v>
      </c>
      <c r="K282" s="144"/>
      <c r="L282" s="144"/>
      <c r="M282" s="109">
        <f t="shared" si="111"/>
        <v>0</v>
      </c>
      <c r="N282" s="145">
        <f t="shared" si="111"/>
        <v>0</v>
      </c>
      <c r="O282" s="146">
        <f>COUNTIFS(เรื่องร้องเรียน!E:E,"1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P282" s="144">
        <f>COUNTIFS(เรื่องร้องเรียน!E:E,"2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Q282" s="144">
        <f>COUNTIFS(เรื่องร้องเรียน!E:E,"3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R282" s="144">
        <f>COUNTIFS(เรื่องร้องเรียน!E:E,"4",เรื่องร้องเรียน!N:N,"หนองจอก",เรื่องร้องเรียน!AN:AN,"ประชาสำราญ",เรื่องร้องเรียน!AQ:AQ,"1",เรื่องร้องเรียน!CL:CL,"")</f>
        <v>0</v>
      </c>
      <c r="S282" s="144"/>
      <c r="T282" s="147">
        <f t="shared" si="94"/>
        <v>0</v>
      </c>
      <c r="U282" s="183">
        <f t="shared" si="91"/>
        <v>0</v>
      </c>
      <c r="V282" s="10" t="s">
        <v>116</v>
      </c>
      <c r="W282" s="129">
        <f t="shared" si="107"/>
        <v>0</v>
      </c>
    </row>
    <row r="283" spans="1:23">
      <c r="A283" s="148"/>
      <c r="B283" s="171" t="s">
        <v>176</v>
      </c>
      <c r="C283" s="246">
        <f>COUNTIFS(เรื่องร้องเรียน!E:E,"1",เรื่องร้องเรียน!N:N,"หนองจอก",เรื่องร้องเรียน!AN:AN,"ลำผักชี")</f>
        <v>0</v>
      </c>
      <c r="D283" s="109">
        <f>COUNTIFS(เรื่องร้องเรียน!E:E,"1",เรื่องร้องเรียน!N:N,"หนองจอก",เรื่องร้องเรียน!AN:AN,"ลำผักชี",เรื่องร้องเรียน!CL:CL,"1")</f>
        <v>0</v>
      </c>
      <c r="E283" s="109">
        <f>COUNTIFS(เรื่องร้องเรียน!E:E,"2",เรื่องร้องเรียน!N:N,"หนองจอก",เรื่องร้องเรียน!AN:AN,"ลำผักชี")</f>
        <v>0</v>
      </c>
      <c r="F283" s="109">
        <f>COUNTIFS(เรื่องร้องเรียน!E:E,"2",เรื่องร้องเรียน!N:N,"หนองจอก",เรื่องร้องเรียน!AN:AN,"ลำผักชี",เรื่องร้องเรียน!CL:CL,"1")</f>
        <v>0</v>
      </c>
      <c r="G283" s="109">
        <f>COUNTIFS(เรื่องร้องเรียน!E:E,"3",เรื่องร้องเรียน!N:N,"หนองจอก",เรื่องร้องเรียน!AN:AN,"ลำผักชี")</f>
        <v>0</v>
      </c>
      <c r="H283" s="109">
        <f>COUNTIFS(เรื่องร้องเรียน!E:E,"3",เรื่องร้องเรียน!N:N,"หนองจอก",เรื่องร้องเรียน!AN:AN,"ลำผักชี",เรื่องร้องเรียน!CL:CL,"1")</f>
        <v>0</v>
      </c>
      <c r="I283" s="109">
        <f>COUNTIFS(เรื่องร้องเรียน!E:E,"4",เรื่องร้องเรียน!N:N,"หนองจอก",เรื่องร้องเรียน!AN:AN,"ลำผักชี")</f>
        <v>0</v>
      </c>
      <c r="J283" s="144">
        <f>COUNTIFS(เรื่องร้องเรียน!E:E,"4",เรื่องร้องเรียน!N:N,"หนองจอก",เรื่องร้องเรียน!AN:AN,"ลำผักชี",เรื่องร้องเรียน!CL:CL,"1")</f>
        <v>0</v>
      </c>
      <c r="K283" s="144"/>
      <c r="L283" s="144"/>
      <c r="M283" s="109">
        <f t="shared" si="111"/>
        <v>0</v>
      </c>
      <c r="N283" s="145">
        <f t="shared" si="111"/>
        <v>0</v>
      </c>
      <c r="O283" s="146">
        <f>COUNTIFS(เรื่องร้องเรียน!E:E,"1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P283" s="144">
        <f>COUNTIFS(เรื่องร้องเรียน!E:E,"2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Q283" s="144">
        <f>COUNTIFS(เรื่องร้องเรียน!E:E,"3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R283" s="144">
        <f>COUNTIFS(เรื่องร้องเรียน!E:E,"4",เรื่องร้องเรียน!N:N,"หนองจอก",เรื่องร้องเรียน!AN:AN,"ลำผักชี",เรื่องร้องเรียน!AQ:AQ,"1",เรื่องร้องเรียน!CL:CL,"")</f>
        <v>0</v>
      </c>
      <c r="S283" s="144"/>
      <c r="T283" s="147">
        <f t="shared" si="94"/>
        <v>0</v>
      </c>
      <c r="U283" s="183">
        <f t="shared" si="91"/>
        <v>0</v>
      </c>
      <c r="W283" s="129">
        <f t="shared" si="107"/>
        <v>0</v>
      </c>
    </row>
    <row r="284" spans="1:23">
      <c r="A284" s="148"/>
      <c r="B284" s="171" t="s">
        <v>177</v>
      </c>
      <c r="C284" s="246">
        <f>COUNTIFS(เรื่องร้องเรียน!E:E,"1",เรื่องร้องเรียน!N:N,"หนองจอก",เรื่องร้องเรียน!AN:AN,"ลำหิน")</f>
        <v>0</v>
      </c>
      <c r="D284" s="109">
        <f>COUNTIFS(เรื่องร้องเรียน!E:E,"1",เรื่องร้องเรียน!N:N,"หนองจอก",เรื่องร้องเรียน!AN:AN,"ลำหิน",เรื่องร้องเรียน!CL:CL,"1")</f>
        <v>0</v>
      </c>
      <c r="E284" s="109">
        <f>COUNTIFS(เรื่องร้องเรียน!E:E,"2",เรื่องร้องเรียน!N:N,"หนองจอก",เรื่องร้องเรียน!AN:AN,"ลำหิน")</f>
        <v>0</v>
      </c>
      <c r="F284" s="109">
        <f>COUNTIFS(เรื่องร้องเรียน!E:E,"2",เรื่องร้องเรียน!N:N,"หนองจอก",เรื่องร้องเรียน!AN:AN,"ลำหิน",เรื่องร้องเรียน!CL:CL,"1")</f>
        <v>0</v>
      </c>
      <c r="G284" s="109">
        <f>COUNTIFS(เรื่องร้องเรียน!E:E,"3",เรื่องร้องเรียน!N:N,"หนองจอก",เรื่องร้องเรียน!AN:AN,"ลำหิน")</f>
        <v>0</v>
      </c>
      <c r="H284" s="109">
        <f>COUNTIFS(เรื่องร้องเรียน!E:E,"3",เรื่องร้องเรียน!N:N,"หนองจอก",เรื่องร้องเรียน!AN:AN,"ลำหิน",เรื่องร้องเรียน!CL:CL,"1")</f>
        <v>0</v>
      </c>
      <c r="I284" s="109">
        <f>COUNTIFS(เรื่องร้องเรียน!E:E,"4",เรื่องร้องเรียน!N:N,"หนองจอก",เรื่องร้องเรียน!AN:AN,"ลำหิน")</f>
        <v>0</v>
      </c>
      <c r="J284" s="144">
        <f>COUNTIFS(เรื่องร้องเรียน!E:E,"4",เรื่องร้องเรียน!N:N,"หนองจอก",เรื่องร้องเรียน!AN:AN,"ลำหิน",เรื่องร้องเรียน!CL:CL,"1")</f>
        <v>0</v>
      </c>
      <c r="K284" s="144"/>
      <c r="L284" s="144"/>
      <c r="M284" s="109">
        <f t="shared" si="111"/>
        <v>0</v>
      </c>
      <c r="N284" s="145">
        <f t="shared" si="111"/>
        <v>0</v>
      </c>
      <c r="O284" s="146">
        <f>COUNTIFS(เรื่องร้องเรียน!E:E,"1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P284" s="144">
        <f>COUNTIFS(เรื่องร้องเรียน!E:E,"2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Q284" s="144">
        <f>COUNTIFS(เรื่องร้องเรียน!E:E,"3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R284" s="144">
        <f>COUNTIFS(เรื่องร้องเรียน!E:E,"4",เรื่องร้องเรียน!N:N,"หนองจอก",เรื่องร้องเรียน!AN:AN,"ลำหิน",เรื่องร้องเรียน!AQ:AQ,"1",เรื่องร้องเรียน!CL:CL,"")</f>
        <v>0</v>
      </c>
      <c r="S284" s="144"/>
      <c r="T284" s="147">
        <f t="shared" si="94"/>
        <v>0</v>
      </c>
      <c r="U284" s="183">
        <f t="shared" si="91"/>
        <v>0</v>
      </c>
      <c r="W284" s="129">
        <f t="shared" si="107"/>
        <v>0</v>
      </c>
    </row>
    <row r="285" spans="1:23">
      <c r="A285" s="148"/>
      <c r="B285" s="171" t="s">
        <v>178</v>
      </c>
      <c r="C285" s="246">
        <f>COUNTIFS(เรื่องร้องเรียน!E:E,"1",เรื่องร้องเรียน!N:N,"หนองจอก",เรื่องร้องเรียน!AN:AN,"สุวินทวงศ์")</f>
        <v>0</v>
      </c>
      <c r="D285" s="109">
        <f>COUNTIFS(เรื่องร้องเรียน!E:E,"1",เรื่องร้องเรียน!N:N,"หนองจอก",เรื่องร้องเรียน!AN:AN,"สุวินทวงศ์",เรื่องร้องเรียน!CL:CL,"1")</f>
        <v>0</v>
      </c>
      <c r="E285" s="109">
        <f>COUNTIFS(เรื่องร้องเรียน!E:E,"2",เรื่องร้องเรียน!N:N,"หนองจอก",เรื่องร้องเรียน!AN:AN,"สุวินทวงศ์")</f>
        <v>0</v>
      </c>
      <c r="F285" s="109">
        <f>COUNTIFS(เรื่องร้องเรียน!E:E,"2",เรื่องร้องเรียน!N:N,"หนองจอก",เรื่องร้องเรียน!AN:AN,"สุวินทวงศ์",เรื่องร้องเรียน!CL:CL,"1")</f>
        <v>0</v>
      </c>
      <c r="G285" s="109">
        <f>COUNTIFS(เรื่องร้องเรียน!E:E,"3",เรื่องร้องเรียน!N:N,"หนองจอก",เรื่องร้องเรียน!AN:AN,"สุวินทวงศ์")</f>
        <v>0</v>
      </c>
      <c r="H285" s="109">
        <f>COUNTIFS(เรื่องร้องเรียน!E:E,"3",เรื่องร้องเรียน!N:N,"หนองจอก",เรื่องร้องเรียน!AN:AN,"สุวินทวงศ์",เรื่องร้องเรียน!CL:CL,"1")</f>
        <v>0</v>
      </c>
      <c r="I285" s="109">
        <f>COUNTIFS(เรื่องร้องเรียน!E:E,"4",เรื่องร้องเรียน!N:N,"หนองจอก",เรื่องร้องเรียน!AN:AN,"สุวินทวงศ์")</f>
        <v>0</v>
      </c>
      <c r="J285" s="144">
        <f>COUNTIFS(เรื่องร้องเรียน!E:E,"4",เรื่องร้องเรียน!N:N,"หนองจอก",เรื่องร้องเรียน!AN:AN,"สุวินทวงศ์",เรื่องร้องเรียน!CL:CL,"1")</f>
        <v>0</v>
      </c>
      <c r="K285" s="144"/>
      <c r="L285" s="144"/>
      <c r="M285" s="109">
        <f t="shared" si="111"/>
        <v>0</v>
      </c>
      <c r="N285" s="145">
        <f t="shared" si="111"/>
        <v>0</v>
      </c>
      <c r="O285" s="146">
        <f>COUNTIFS(เรื่องร้องเรียน!E:E,"1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P285" s="144">
        <f>COUNTIFS(เรื่องร้องเรียน!E:E,"2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Q285" s="144">
        <f>COUNTIFS(เรื่องร้องเรียน!E:E,"3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R285" s="144">
        <f>COUNTIFS(เรื่องร้องเรียน!E:E,"4",เรื่องร้องเรียน!N:N,"หนองจอก",เรื่องร้องเรียน!AN:AN,"สุวินทวงศ์",เรื่องร้องเรียน!AQ:AQ,"1",เรื่องร้องเรียน!CL:CL,"")</f>
        <v>0</v>
      </c>
      <c r="S285" s="144"/>
      <c r="T285" s="147">
        <f t="shared" si="94"/>
        <v>0</v>
      </c>
      <c r="U285" s="183">
        <f t="shared" si="91"/>
        <v>0</v>
      </c>
      <c r="W285" s="129">
        <f t="shared" si="107"/>
        <v>0</v>
      </c>
    </row>
    <row r="286" spans="1:23">
      <c r="A286" s="148"/>
      <c r="B286" s="171" t="s">
        <v>141</v>
      </c>
      <c r="C286" s="246">
        <f>COUNTIFS(เรื่องร้องเรียน!E:E,"1",เรื่องร้องเรียน!N:N,"หนองจอก",เรื่องร้องเรียน!AN:AN,"หนองจอก")</f>
        <v>0</v>
      </c>
      <c r="D286" s="109">
        <f>COUNTIFS(เรื่องร้องเรียน!E:E,"1",เรื่องร้องเรียน!N:N,"หนองจอก",เรื่องร้องเรียน!AN:AN,"หนองจอก",เรื่องร้องเรียน!CL:CL,"1")</f>
        <v>0</v>
      </c>
      <c r="E286" s="109">
        <f>COUNTIFS(เรื่องร้องเรียน!E:E,"2",เรื่องร้องเรียน!N:N,"หนองจอก",เรื่องร้องเรียน!AN:AN,"หนองจอก")</f>
        <v>0</v>
      </c>
      <c r="F286" s="109">
        <f>COUNTIFS(เรื่องร้องเรียน!E:E,"2",เรื่องร้องเรียน!N:N,"หนองจอก",เรื่องร้องเรียน!AN:AN,"หนองจอก",เรื่องร้องเรียน!CL:CL,"1")</f>
        <v>0</v>
      </c>
      <c r="G286" s="109">
        <f>COUNTIFS(เรื่องร้องเรียน!E:E,"3",เรื่องร้องเรียน!N:N,"หนองจอก",เรื่องร้องเรียน!AN:AN,"หนองจอก")</f>
        <v>0</v>
      </c>
      <c r="H286" s="109">
        <f>COUNTIFS(เรื่องร้องเรียน!E:E,"3",เรื่องร้องเรียน!N:N,"หนองจอก",เรื่องร้องเรียน!AN:AN,"หนองจอก",เรื่องร้องเรียน!CL:CL,"1")</f>
        <v>0</v>
      </c>
      <c r="I286" s="109">
        <f>COUNTIFS(เรื่องร้องเรียน!E:E,"4",เรื่องร้องเรียน!N:N,"หนองจอก",เรื่องร้องเรียน!AN:AN,"หนองจอก")</f>
        <v>0</v>
      </c>
      <c r="J286" s="144">
        <f>COUNTIFS(เรื่องร้องเรียน!E:E,"4",เรื่องร้องเรียน!N:N,"หนองจอก",เรื่องร้องเรียน!AN:AN,"หนองจอก",เรื่องร้องเรียน!CL:CL,"1")</f>
        <v>0</v>
      </c>
      <c r="K286" s="144"/>
      <c r="L286" s="144"/>
      <c r="M286" s="109">
        <f t="shared" si="111"/>
        <v>0</v>
      </c>
      <c r="N286" s="145">
        <f t="shared" si="111"/>
        <v>0</v>
      </c>
      <c r="O286" s="146">
        <f>COUNTIFS(เรื่องร้องเรียน!E:E,"1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P286" s="144">
        <f>COUNTIFS(เรื่องร้องเรียน!E:E,"2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Q286" s="144">
        <f>COUNTIFS(เรื่องร้องเรียน!E:E,"3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R286" s="144">
        <f>COUNTIFS(เรื่องร้องเรียน!E:E,"4",เรื่องร้องเรียน!N:N,"หนองจอก",เรื่องร้องเรียน!AN:AN,"หนองจอก",เรื่องร้องเรียน!AQ:AQ,"1",เรื่องร้องเรียน!CL:CL,"")</f>
        <v>0</v>
      </c>
      <c r="S286" s="144"/>
      <c r="T286" s="147">
        <f t="shared" si="94"/>
        <v>0</v>
      </c>
      <c r="U286" s="183">
        <f t="shared" si="91"/>
        <v>0</v>
      </c>
      <c r="W286" s="129">
        <f t="shared" si="107"/>
        <v>0</v>
      </c>
    </row>
    <row r="287" spans="1:23" ht="21.6" thickBot="1">
      <c r="A287" s="174"/>
      <c r="B287" s="172" t="s">
        <v>116</v>
      </c>
      <c r="C287" s="231">
        <f>COUNTIFS(เรื่องร้องเรียน!E:E,"1",เรื่องร้องเรียน!N:N,"หนองจอก",เรื่องร้องเรียน!AN:AN,"มีนบุรี")</f>
        <v>0</v>
      </c>
      <c r="D287" s="124">
        <f>COUNTIFS(เรื่องร้องเรียน!E:E,"1",เรื่องร้องเรียน!N:N,"หนองจอก",เรื่องร้องเรียน!AN:AN,"มีนบุรี",เรื่องร้องเรียน!CL:CL,"1")</f>
        <v>0</v>
      </c>
      <c r="E287" s="124">
        <f>COUNTIFS(เรื่องร้องเรียน!E:E,"2",เรื่องร้องเรียน!N:N,"หนองจอก",เรื่องร้องเรียน!AN:AN,"มีนบุรี")</f>
        <v>0</v>
      </c>
      <c r="F287" s="124">
        <f>COUNTIFS(เรื่องร้องเรียน!E:E,"2",เรื่องร้องเรียน!N:N,"หนองจอก",เรื่องร้องเรียน!AN:AN,"มีนบุรี",เรื่องร้องเรียน!CL:CL,"1")</f>
        <v>0</v>
      </c>
      <c r="G287" s="124">
        <f>COUNTIFS(เรื่องร้องเรียน!E:E,"3",เรื่องร้องเรียน!N:N,"หนองจอก",เรื่องร้องเรียน!AN:AN,"มีนบุรี")</f>
        <v>0</v>
      </c>
      <c r="H287" s="124">
        <f>COUNTIFS(เรื่องร้องเรียน!E:E,"3",เรื่องร้องเรียน!N:N,"หนองจอก",เรื่องร้องเรียน!AN:AN,"มีนบุรี",เรื่องร้องเรียน!CL:CL,"1")</f>
        <v>0</v>
      </c>
      <c r="I287" s="124">
        <f>COUNTIFS(เรื่องร้องเรียน!E:E,"4",เรื่องร้องเรียน!N:N,"หนองจอก",เรื่องร้องเรียน!AN:AN,"มีนบุรี")</f>
        <v>0</v>
      </c>
      <c r="J287" s="157">
        <f>COUNTIFS(เรื่องร้องเรียน!E:E,"4",เรื่องร้องเรียน!N:N,"หนองจอก",เรื่องร้องเรียน!AN:AN,"มีนบุรี",เรื่องร้องเรียน!CL:CL,"1")</f>
        <v>0</v>
      </c>
      <c r="K287" s="157"/>
      <c r="L287" s="157"/>
      <c r="M287" s="124">
        <f>SUM(C287,E287,G287,I287,K287)</f>
        <v>0</v>
      </c>
      <c r="N287" s="158">
        <f>SUM(D287,F287,H287,J287,L287)</f>
        <v>0</v>
      </c>
      <c r="O287" s="159">
        <f>COUNTIFS(เรื่องร้องเรียน!E:E,"1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P287" s="157">
        <f>COUNTIFS(เรื่องร้องเรียน!E:E,"2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Q287" s="157">
        <f>COUNTIFS(เรื่องร้องเรียน!E:E,"3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R287" s="157">
        <f>COUNTIFS(เรื่องร้องเรียน!E:E,"4",เรื่องร้องเรียน!N:N,"หนองจอก",เรื่องร้องเรียน!AN:AN,"มีนบุรี",เรื่องร้องเรียน!AQ:AQ,"1",เรื่องร้องเรียน!CL:CL,"")</f>
        <v>0</v>
      </c>
      <c r="S287" s="157"/>
      <c r="T287" s="160">
        <f>SUM(O287:S287)</f>
        <v>0</v>
      </c>
      <c r="U287" s="184">
        <f>M287-N287-T287</f>
        <v>0</v>
      </c>
      <c r="W287" s="129">
        <f t="shared" si="107"/>
        <v>0</v>
      </c>
    </row>
    <row r="288" spans="1:23" ht="21.6" thickBot="1">
      <c r="A288" s="168" t="s">
        <v>118</v>
      </c>
      <c r="B288" s="166" t="s">
        <v>152</v>
      </c>
      <c r="C288" s="95">
        <f t="shared" ref="C288:T288" si="112">SUM(C289:C292)</f>
        <v>0</v>
      </c>
      <c r="D288" s="92">
        <f t="shared" si="112"/>
        <v>0</v>
      </c>
      <c r="E288" s="92">
        <f t="shared" si="112"/>
        <v>0</v>
      </c>
      <c r="F288" s="92">
        <f t="shared" si="112"/>
        <v>0</v>
      </c>
      <c r="G288" s="92">
        <f t="shared" si="112"/>
        <v>0</v>
      </c>
      <c r="H288" s="92">
        <f t="shared" si="112"/>
        <v>0</v>
      </c>
      <c r="I288" s="92">
        <f t="shared" si="112"/>
        <v>0</v>
      </c>
      <c r="J288" s="92">
        <f t="shared" si="112"/>
        <v>0</v>
      </c>
      <c r="K288" s="92">
        <f t="shared" si="112"/>
        <v>0</v>
      </c>
      <c r="L288" s="92">
        <f t="shared" si="112"/>
        <v>0</v>
      </c>
      <c r="M288" s="92">
        <f t="shared" si="112"/>
        <v>0</v>
      </c>
      <c r="N288" s="94">
        <f t="shared" si="112"/>
        <v>0</v>
      </c>
      <c r="O288" s="116">
        <f t="shared" si="112"/>
        <v>0</v>
      </c>
      <c r="P288" s="116">
        <f t="shared" si="112"/>
        <v>0</v>
      </c>
      <c r="Q288" s="116">
        <f t="shared" si="112"/>
        <v>0</v>
      </c>
      <c r="R288" s="116">
        <f t="shared" si="112"/>
        <v>0</v>
      </c>
      <c r="S288" s="116">
        <f t="shared" si="112"/>
        <v>0</v>
      </c>
      <c r="T288" s="176">
        <f t="shared" si="112"/>
        <v>0</v>
      </c>
      <c r="U288" s="134">
        <f t="shared" si="91"/>
        <v>0</v>
      </c>
      <c r="W288" s="135">
        <f t="shared" si="107"/>
        <v>0</v>
      </c>
    </row>
    <row r="289" spans="1:23">
      <c r="A289" s="173"/>
      <c r="B289" s="170" t="s">
        <v>20</v>
      </c>
      <c r="C289" s="180"/>
      <c r="D289" s="178"/>
      <c r="E289" s="178"/>
      <c r="F289" s="178"/>
      <c r="G289" s="178"/>
      <c r="H289" s="178"/>
      <c r="I289" s="178"/>
      <c r="J289" s="178"/>
      <c r="K289" s="178">
        <f>COUNTIFS(เรื่องร้องเรียน!E:E,"5",เรื่องร้องเรียน!N:N,"หลักสี่")</f>
        <v>0</v>
      </c>
      <c r="L289" s="178">
        <f>COUNTIFS(เรื่องร้องเรียน!E:E,"5",เรื่องร้องเรียน!N:N,"หลักสี่",เรื่องร้องเรียน!CL:CL,"1")</f>
        <v>0</v>
      </c>
      <c r="M289" s="178">
        <f t="shared" ref="M289:N291" si="113">SUM(C289,E289,G289,I289,K289)</f>
        <v>0</v>
      </c>
      <c r="N289" s="179">
        <f t="shared" si="113"/>
        <v>0</v>
      </c>
      <c r="O289" s="180"/>
      <c r="P289" s="178"/>
      <c r="Q289" s="178"/>
      <c r="R289" s="178"/>
      <c r="S289" s="178">
        <f>COUNTIFS(เรื่องร้องเรียน!E:E,"5",เรื่องร้องเรียน!N:N,"หลักสี่",เรื่องร้องเรียน!AQ:AQ,"1",เรื่องร้องเรียน!CL:CL,"")</f>
        <v>0</v>
      </c>
      <c r="T289" s="181">
        <f t="shared" si="94"/>
        <v>0</v>
      </c>
      <c r="U289" s="182">
        <f t="shared" si="91"/>
        <v>0</v>
      </c>
      <c r="V289" s="10" t="s">
        <v>95</v>
      </c>
      <c r="W289" s="129">
        <f t="shared" si="107"/>
        <v>0</v>
      </c>
    </row>
    <row r="290" spans="1:23">
      <c r="A290" s="148"/>
      <c r="B290" s="171" t="s">
        <v>117</v>
      </c>
      <c r="C290" s="246">
        <f>COUNTIFS(เรื่องร้องเรียน!E:E,"1",เรื่องร้องเรียน!N:N,"หลักสี่",เรื่องร้องเรียน!AN:AN,"ทุ่งสองห้อง")</f>
        <v>0</v>
      </c>
      <c r="D290" s="109">
        <f>COUNTIFS(เรื่องร้องเรียน!E:E,"1",เรื่องร้องเรียน!N:N,"หลักสี่",เรื่องร้องเรียน!AN:AN,"ทุ่งสองห้อง",เรื่องร้องเรียน!CL:CL,"1")</f>
        <v>0</v>
      </c>
      <c r="E290" s="109">
        <f>COUNTIFS(เรื่องร้องเรียน!E:E,"2",เรื่องร้องเรียน!N:N,"หลักสี่",เรื่องร้องเรียน!AN:AN,"ทุ่งสองห้อง")</f>
        <v>0</v>
      </c>
      <c r="F290" s="109">
        <f>COUNTIFS(เรื่องร้องเรียน!E:E,"2",เรื่องร้องเรียน!N:N,"หลักสี่",เรื่องร้องเรียน!AN:AN,"ทุ่งสองห้อง",เรื่องร้องเรียน!CL:CL,"1")</f>
        <v>0</v>
      </c>
      <c r="G290" s="109">
        <f>COUNTIFS(เรื่องร้องเรียน!E:E,"3",เรื่องร้องเรียน!N:N,"หลักสี่",เรื่องร้องเรียน!AN:AN,"ทุ่งสองห้อง")</f>
        <v>0</v>
      </c>
      <c r="H290" s="109">
        <f>COUNTIFS(เรื่องร้องเรียน!E:E,"3",เรื่องร้องเรียน!N:N,"หลักสี่",เรื่องร้องเรียน!AN:AN,"ทุ่งสองห้อง",เรื่องร้องเรียน!CL:CL,"1")</f>
        <v>0</v>
      </c>
      <c r="I290" s="109">
        <f>COUNTIFS(เรื่องร้องเรียน!E:E,"4",เรื่องร้องเรียน!N:N,"หลักสี่",เรื่องร้องเรียน!AN:AN,"ทุ่งสองห้อง")</f>
        <v>0</v>
      </c>
      <c r="J290" s="144">
        <f>COUNTIFS(เรื่องร้องเรียน!E:E,"4",เรื่องร้องเรียน!N:N,"หลักสี่",เรื่องร้องเรียน!AN:AN,"ทุ่งสองห้อง",เรื่องร้องเรียน!CL:CL,"1")</f>
        <v>0</v>
      </c>
      <c r="K290" s="144"/>
      <c r="L290" s="144"/>
      <c r="M290" s="109">
        <f t="shared" si="113"/>
        <v>0</v>
      </c>
      <c r="N290" s="145">
        <f t="shared" si="113"/>
        <v>0</v>
      </c>
      <c r="O290" s="146">
        <f>COUNTIFS(เรื่องร้องเรียน!E:E,"1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P290" s="144">
        <f>COUNTIFS(เรื่องร้องเรียน!E:E,"2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Q290" s="144">
        <f>COUNTIFS(เรื่องร้องเรียน!E:E,"3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R290" s="144">
        <f>COUNTIFS(เรื่องร้องเรียน!E:E,"4",เรื่องร้องเรียน!N:N,"หลักสี่",เรื่องร้องเรียน!AN:AN,"ทุ่งสองห้อง",เรื่องร้องเรียน!AQ:AQ,"1",เรื่องร้องเรียน!CL:CL,"")</f>
        <v>0</v>
      </c>
      <c r="S290" s="144"/>
      <c r="T290" s="147">
        <f t="shared" si="94"/>
        <v>0</v>
      </c>
      <c r="U290" s="183">
        <f t="shared" si="91"/>
        <v>0</v>
      </c>
      <c r="V290" s="10" t="s">
        <v>173</v>
      </c>
      <c r="W290" s="129">
        <f t="shared" si="107"/>
        <v>0</v>
      </c>
    </row>
    <row r="291" spans="1:23">
      <c r="A291" s="148"/>
      <c r="B291" s="171" t="s">
        <v>95</v>
      </c>
      <c r="C291" s="246">
        <f>COUNTIFS(เรื่องร้องเรียน!E:E,"1",เรื่องร้องเรียน!N:N,"หลักสี่",เรื่องร้องเรียน!AN:AN,"ดอนเมือง")</f>
        <v>0</v>
      </c>
      <c r="D291" s="109">
        <f>COUNTIFS(เรื่องร้องเรียน!E:E,"1",เรื่องร้องเรียน!N:N,"หลักสี่",เรื่องร้องเรียน!AN:AN,"ดอนเมือง",เรื่องร้องเรียน!CL:CL,"1")</f>
        <v>0</v>
      </c>
      <c r="E291" s="109">
        <f>COUNTIFS(เรื่องร้องเรียน!E:E,"2",เรื่องร้องเรียน!N:N,"หลักสี่",เรื่องร้องเรียน!AN:AN,"ดอนเมือง")</f>
        <v>0</v>
      </c>
      <c r="F291" s="109">
        <f>COUNTIFS(เรื่องร้องเรียน!E:E,"2",เรื่องร้องเรียน!N:N,"หลักสี่",เรื่องร้องเรียน!AN:AN,"ดอนเมือง",เรื่องร้องเรียน!CL:CL,"1")</f>
        <v>0</v>
      </c>
      <c r="G291" s="109">
        <f>COUNTIFS(เรื่องร้องเรียน!E:E,"3",เรื่องร้องเรียน!N:N,"หลักสี่",เรื่องร้องเรียน!AN:AN,"ดอนเมือง")</f>
        <v>0</v>
      </c>
      <c r="H291" s="109">
        <f>COUNTIFS(เรื่องร้องเรียน!E:E,"3",เรื่องร้องเรียน!N:N,"หลักสี่",เรื่องร้องเรียน!AN:AN,"ดอนเมือง",เรื่องร้องเรียน!CL:CL,"1")</f>
        <v>0</v>
      </c>
      <c r="I291" s="109">
        <f>COUNTIFS(เรื่องร้องเรียน!E:E,"4",เรื่องร้องเรียน!N:N,"หลักสี่",เรื่องร้องเรียน!AN:AN,"ดอนเมือง")</f>
        <v>0</v>
      </c>
      <c r="J291" s="144">
        <f>COUNTIFS(เรื่องร้องเรียน!E:E,"4",เรื่องร้องเรียน!N:N,"หลักสี่",เรื่องร้องเรียน!AN:AN,"ดอนเมือง",เรื่องร้องเรียน!CL:CL,"1")</f>
        <v>0</v>
      </c>
      <c r="K291" s="144"/>
      <c r="L291" s="144"/>
      <c r="M291" s="109">
        <f t="shared" si="113"/>
        <v>0</v>
      </c>
      <c r="N291" s="145">
        <f t="shared" si="113"/>
        <v>0</v>
      </c>
      <c r="O291" s="146">
        <f>COUNTIFS(เรื่องร้องเรียน!E:E,"1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P291" s="144">
        <f>COUNTIFS(เรื่องร้องเรียน!E:E,"2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Q291" s="144">
        <f>COUNTIFS(เรื่องร้องเรียน!E:E,"3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R291" s="144">
        <f>COUNTIFS(เรื่องร้องเรียน!E:E,"4",เรื่องร้องเรียน!N:N,"หลักสี่",เรื่องร้องเรียน!AN:AN,"ดอนเมือง",เรื่องร้องเรียน!AQ:AQ,"1",เรื่องร้องเรียน!CL:CL,"")</f>
        <v>0</v>
      </c>
      <c r="S291" s="144"/>
      <c r="T291" s="147">
        <f>SUM(O291:S291)</f>
        <v>0</v>
      </c>
      <c r="U291" s="183">
        <f>M291-N291-T291</f>
        <v>0</v>
      </c>
      <c r="W291" s="129">
        <f t="shared" si="107"/>
        <v>0</v>
      </c>
    </row>
    <row r="292" spans="1:23" ht="21.6" thickBot="1">
      <c r="A292" s="174"/>
      <c r="B292" s="172" t="s">
        <v>173</v>
      </c>
      <c r="C292" s="231">
        <f>COUNTIFS(เรื่องร้องเรียน!E:E,"1",เรื่องร้องเรียน!N:N,"หลักสี่",เรื่องร้องเรียน!AN:AN,"ประชาชื่น")</f>
        <v>0</v>
      </c>
      <c r="D292" s="124">
        <f>COUNTIFS(เรื่องร้องเรียน!E:E,"1",เรื่องร้องเรียน!N:N,"หลักสี่",เรื่องร้องเรียน!AN:AN,"ประชาชื่น",เรื่องร้องเรียน!CL:CL,"1")</f>
        <v>0</v>
      </c>
      <c r="E292" s="124">
        <f>COUNTIFS(เรื่องร้องเรียน!E:E,"2",เรื่องร้องเรียน!N:N,"หลักสี่",เรื่องร้องเรียน!AN:AN,"ประชาชื่น")</f>
        <v>0</v>
      </c>
      <c r="F292" s="124">
        <f>COUNTIFS(เรื่องร้องเรียน!E:E,"2",เรื่องร้องเรียน!N:N,"หลักสี่",เรื่องร้องเรียน!AN:AN,"ประชาชื่น",เรื่องร้องเรียน!CL:CL,"1")</f>
        <v>0</v>
      </c>
      <c r="G292" s="124">
        <f>COUNTIFS(เรื่องร้องเรียน!E:E,"3",เรื่องร้องเรียน!N:N,"หลักสี่",เรื่องร้องเรียน!AN:AN,"ประชาชื่น")</f>
        <v>0</v>
      </c>
      <c r="H292" s="124">
        <f>COUNTIFS(เรื่องร้องเรียน!E:E,"3",เรื่องร้องเรียน!N:N,"หลักสี่",เรื่องร้องเรียน!AN:AN,"ประชาชื่น",เรื่องร้องเรียน!CL:CL,"1")</f>
        <v>0</v>
      </c>
      <c r="I292" s="124">
        <f>COUNTIFS(เรื่องร้องเรียน!E:E,"4",เรื่องร้องเรียน!N:N,"หลักสี่",เรื่องร้องเรียน!AN:AN,"ประชาชื่น")</f>
        <v>0</v>
      </c>
      <c r="J292" s="157">
        <f>COUNTIFS(เรื่องร้องเรียน!E:E,"4",เรื่องร้องเรียน!N:N,"หลักสี่",เรื่องร้องเรียน!AN:AN,"ประชาชื่น",เรื่องร้องเรียน!CL:CL,"1")</f>
        <v>0</v>
      </c>
      <c r="K292" s="157"/>
      <c r="L292" s="157"/>
      <c r="M292" s="124">
        <f>SUM(C292,E292,G292,I292,K292)</f>
        <v>0</v>
      </c>
      <c r="N292" s="158">
        <f>SUM(D292,F292,H292,J292,L292)</f>
        <v>0</v>
      </c>
      <c r="O292" s="159">
        <f>COUNTIFS(เรื่องร้องเรียน!E:E,"1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P292" s="157">
        <f>COUNTIFS(เรื่องร้องเรียน!E:E,"2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Q292" s="157">
        <f>COUNTIFS(เรื่องร้องเรียน!E:E,"3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R292" s="157">
        <f>COUNTIFS(เรื่องร้องเรียน!E:E,"4",เรื่องร้องเรียน!N:N,"หลักสี่",เรื่องร้องเรียน!AN:AN,"ประชาชื่น",เรื่องร้องเรียน!AQ:AQ,"1",เรื่องร้องเรียน!CL:CL,"")</f>
        <v>0</v>
      </c>
      <c r="S292" s="157"/>
      <c r="T292" s="160">
        <f>SUM(O292:S292)</f>
        <v>0</v>
      </c>
      <c r="U292" s="184">
        <f>M292-N292-T292</f>
        <v>0</v>
      </c>
      <c r="W292" s="129">
        <f t="shared" si="107"/>
        <v>0</v>
      </c>
    </row>
    <row r="293" spans="1:23" ht="21.6" thickBot="1">
      <c r="A293" s="168" t="s">
        <v>140</v>
      </c>
      <c r="B293" s="166" t="s">
        <v>152</v>
      </c>
      <c r="C293" s="164">
        <f t="shared" ref="C293:T293" si="114">SUM(C294:C301)</f>
        <v>0</v>
      </c>
      <c r="D293" s="197">
        <f t="shared" si="114"/>
        <v>0</v>
      </c>
      <c r="E293" s="197">
        <f t="shared" si="114"/>
        <v>0</v>
      </c>
      <c r="F293" s="197">
        <f t="shared" si="114"/>
        <v>0</v>
      </c>
      <c r="G293" s="197">
        <f t="shared" si="114"/>
        <v>0</v>
      </c>
      <c r="H293" s="197">
        <f t="shared" si="114"/>
        <v>0</v>
      </c>
      <c r="I293" s="197">
        <f t="shared" si="114"/>
        <v>0</v>
      </c>
      <c r="J293" s="197">
        <f t="shared" si="114"/>
        <v>0</v>
      </c>
      <c r="K293" s="197">
        <f t="shared" si="114"/>
        <v>0</v>
      </c>
      <c r="L293" s="197">
        <f t="shared" si="114"/>
        <v>0</v>
      </c>
      <c r="M293" s="197">
        <f t="shared" si="114"/>
        <v>0</v>
      </c>
      <c r="N293" s="199">
        <f t="shared" si="114"/>
        <v>0</v>
      </c>
      <c r="O293" s="186">
        <f t="shared" si="114"/>
        <v>0</v>
      </c>
      <c r="P293" s="186">
        <f t="shared" si="114"/>
        <v>0</v>
      </c>
      <c r="Q293" s="186">
        <f t="shared" si="114"/>
        <v>0</v>
      </c>
      <c r="R293" s="186">
        <f t="shared" si="114"/>
        <v>0</v>
      </c>
      <c r="S293" s="186">
        <f t="shared" si="114"/>
        <v>0</v>
      </c>
      <c r="T293" s="198">
        <f t="shared" si="114"/>
        <v>0</v>
      </c>
      <c r="U293" s="128">
        <f t="shared" si="91"/>
        <v>0</v>
      </c>
      <c r="W293" s="135">
        <f t="shared" si="107"/>
        <v>0</v>
      </c>
    </row>
    <row r="294" spans="1:23">
      <c r="A294" s="173"/>
      <c r="B294" s="170" t="s">
        <v>20</v>
      </c>
      <c r="C294" s="180"/>
      <c r="D294" s="178"/>
      <c r="E294" s="178"/>
      <c r="F294" s="178"/>
      <c r="G294" s="178"/>
      <c r="H294" s="178"/>
      <c r="I294" s="178"/>
      <c r="J294" s="178"/>
      <c r="K294" s="178">
        <f>COUNTIFS(เรื่องร้องเรียน!E:E,"5",เรื่องร้องเรียน!N:N,"ห้วยขวาง")</f>
        <v>0</v>
      </c>
      <c r="L294" s="178">
        <f>COUNTIFS(เรื่องร้องเรียน!E:E,"5",เรื่องร้องเรียน!N:N,"ห้วยขวาง",เรื่องร้องเรียน!CL:CL,"1")</f>
        <v>0</v>
      </c>
      <c r="M294" s="178">
        <f t="shared" ref="M294:N299" si="115">SUM(C294,E294,G294,I294,K294)</f>
        <v>0</v>
      </c>
      <c r="N294" s="179">
        <f t="shared" si="115"/>
        <v>0</v>
      </c>
      <c r="O294" s="180"/>
      <c r="P294" s="178"/>
      <c r="Q294" s="178"/>
      <c r="R294" s="178"/>
      <c r="S294" s="178">
        <f>COUNTIFS(เรื่องร้องเรียน!E:E,"5",เรื่องร้องเรียน!N:N,"ห้วยขวาง",เรื่องร้องเรียน!AQ:AQ,"1",เรื่องร้องเรียน!CL:CL,"")</f>
        <v>0</v>
      </c>
      <c r="T294" s="181">
        <f t="shared" si="94"/>
        <v>0</v>
      </c>
      <c r="U294" s="182">
        <f t="shared" si="91"/>
        <v>0</v>
      </c>
      <c r="W294" s="129">
        <f t="shared" si="107"/>
        <v>0</v>
      </c>
    </row>
    <row r="295" spans="1:23">
      <c r="A295" s="148"/>
      <c r="B295" s="171" t="s">
        <v>100</v>
      </c>
      <c r="C295" s="246">
        <f>COUNTIFS(เรื่องร้องเรียน!E:E,"1",เรื่องร้องเรียน!N:N,"ห้วยขวาง",เรื่องร้องเรียน!AN:AN,"พหลโยธิน")</f>
        <v>0</v>
      </c>
      <c r="D295" s="109">
        <f>COUNTIFS(เรื่องร้องเรียน!E:E,"1",เรื่องร้องเรียน!N:N,"ห้วยขวาง",เรื่องร้องเรียน!AN:AN,"พหลโยธิน",เรื่องร้องเรียน!CL:CL,"1")</f>
        <v>0</v>
      </c>
      <c r="E295" s="109">
        <f>COUNTIFS(เรื่องร้องเรียน!E:E,"2",เรื่องร้องเรียน!N:N,"ห้วยขวาง",เรื่องร้องเรียน!AN:AN,"พหลโยธิน")</f>
        <v>0</v>
      </c>
      <c r="F295" s="109">
        <f>COUNTIFS(เรื่องร้องเรียน!E:E,"2",เรื่องร้องเรียน!N:N,"ห้วยขวาง",เรื่องร้องเรียน!AN:AN,"พหลโยธิน",เรื่องร้องเรียน!CL:CL,"1")</f>
        <v>0</v>
      </c>
      <c r="G295" s="109">
        <f>COUNTIFS(เรื่องร้องเรียน!E:E,"3",เรื่องร้องเรียน!N:N,"ห้วยขวาง",เรื่องร้องเรียน!AN:AN,"พหลโยธิน")</f>
        <v>0</v>
      </c>
      <c r="H295" s="109">
        <f>COUNTIFS(เรื่องร้องเรียน!E:E,"3",เรื่องร้องเรียน!N:N,"ห้วยขวาง",เรื่องร้องเรียน!AN:AN,"พหลโยธิน",เรื่องร้องเรียน!CL:CL,"1")</f>
        <v>0</v>
      </c>
      <c r="I295" s="109">
        <f>COUNTIFS(เรื่องร้องเรียน!E:E,"4",เรื่องร้องเรียน!N:N,"ห้วยขวาง",เรื่องร้องเรียน!AN:AN,"พหลโยธิน")</f>
        <v>0</v>
      </c>
      <c r="J295" s="144">
        <f>COUNTIFS(เรื่องร้องเรียน!E:E,"4",เรื่องร้องเรียน!N:N,"ห้วยขวาง",เรื่องร้องเรียน!AN:AN,"พหลโยธิน",เรื่องร้องเรียน!CL:CL,"1")</f>
        <v>0</v>
      </c>
      <c r="K295" s="144"/>
      <c r="L295" s="144"/>
      <c r="M295" s="109">
        <f t="shared" si="115"/>
        <v>0</v>
      </c>
      <c r="N295" s="145">
        <f t="shared" si="115"/>
        <v>0</v>
      </c>
      <c r="O295" s="146">
        <f>COUNTIFS(เรื่องร้องเรียน!E:E,"1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P295" s="144">
        <f>COUNTIFS(เรื่องร้องเรียน!E:E,"2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Q295" s="144">
        <f>COUNTIFS(เรื่องร้องเรียน!E:E,"3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R295" s="144">
        <f>COUNTIFS(เรื่องร้องเรียน!E:E,"4",เรื่องร้องเรียน!N:N,"ห้วยขวาง",เรื่องร้องเรียน!AN:AN,"พหลโยธิน",เรื่องร้องเรียน!AQ:AQ,"1",เรื่องร้องเรียน!CL:CL,"")</f>
        <v>0</v>
      </c>
      <c r="S295" s="144"/>
      <c r="T295" s="147">
        <f t="shared" si="94"/>
        <v>0</v>
      </c>
      <c r="U295" s="183">
        <f t="shared" si="91"/>
        <v>0</v>
      </c>
      <c r="V295" s="10" t="s">
        <v>132</v>
      </c>
      <c r="W295" s="129">
        <f t="shared" si="107"/>
        <v>0</v>
      </c>
    </row>
    <row r="296" spans="1:23">
      <c r="A296" s="148"/>
      <c r="B296" s="171" t="s">
        <v>170</v>
      </c>
      <c r="C296" s="246">
        <f>COUNTIFS(เรื่องร้องเรียน!E:E,"1",เรื่องร้องเรียน!N:N,"ห้วยขวาง",เรื่องร้องเรียน!AN:AN,"มักกะสัน")</f>
        <v>0</v>
      </c>
      <c r="D296" s="109">
        <f>COUNTIFS(เรื่องร้องเรียน!E:E,"1",เรื่องร้องเรียน!N:N,"ห้วยขวาง",เรื่องร้องเรียน!AN:AN,"มักกะสัน",เรื่องร้องเรียน!CL:CL,"1")</f>
        <v>0</v>
      </c>
      <c r="E296" s="109">
        <f>COUNTIFS(เรื่องร้องเรียน!E:E,"2",เรื่องร้องเรียน!N:N,"ห้วยขวาง",เรื่องร้องเรียน!AN:AN,"มักกะสัน")</f>
        <v>0</v>
      </c>
      <c r="F296" s="109">
        <f>COUNTIFS(เรื่องร้องเรียน!E:E,"2",เรื่องร้องเรียน!N:N,"ห้วยขวาง",เรื่องร้องเรียน!AN:AN,"มักกะสัน",เรื่องร้องเรียน!CL:CL,"1")</f>
        <v>0</v>
      </c>
      <c r="G296" s="109">
        <f>COUNTIFS(เรื่องร้องเรียน!E:E,"3",เรื่องร้องเรียน!N:N,"ห้วยขวาง",เรื่องร้องเรียน!AN:AN,"มักกะสัน")</f>
        <v>0</v>
      </c>
      <c r="H296" s="109">
        <f>COUNTIFS(เรื่องร้องเรียน!E:E,"3",เรื่องร้องเรียน!N:N,"ห้วยขวาง",เรื่องร้องเรียน!AN:AN,"มักกะสัน",เรื่องร้องเรียน!CL:CL,"1")</f>
        <v>0</v>
      </c>
      <c r="I296" s="109">
        <f>COUNTIFS(เรื่องร้องเรียน!E:E,"4",เรื่องร้องเรียน!N:N,"ห้วยขวาง",เรื่องร้องเรียน!AN:AN,"มักกะสัน")</f>
        <v>0</v>
      </c>
      <c r="J296" s="144">
        <f>COUNTIFS(เรื่องร้องเรียน!E:E,"4",เรื่องร้องเรียน!N:N,"ห้วยขวาง",เรื่องร้องเรียน!AN:AN,"มักกะสัน",เรื่องร้องเรียน!CL:CL,"1")</f>
        <v>0</v>
      </c>
      <c r="K296" s="144"/>
      <c r="L296" s="144"/>
      <c r="M296" s="109">
        <f t="shared" si="115"/>
        <v>0</v>
      </c>
      <c r="N296" s="145">
        <f t="shared" si="115"/>
        <v>0</v>
      </c>
      <c r="O296" s="146">
        <f>COUNTIFS(เรื่องร้องเรียน!E:E,"1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P296" s="144">
        <f>COUNTIFS(เรื่องร้องเรียน!E:E,"2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Q296" s="144">
        <f>COUNTIFS(เรื่องร้องเรียน!E:E,"3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R296" s="144">
        <f>COUNTIFS(เรื่องร้องเรียน!E:E,"4",เรื่องร้องเรียน!N:N,"ห้วยขวาง",เรื่องร้องเรียน!AN:AN,"มักกะสัน",เรื่องร้องเรียน!AQ:AQ,"1",เรื่องร้องเรียน!CL:CL,"")</f>
        <v>0</v>
      </c>
      <c r="S296" s="144"/>
      <c r="T296" s="147">
        <f t="shared" si="94"/>
        <v>0</v>
      </c>
      <c r="U296" s="183">
        <f t="shared" si="91"/>
        <v>0</v>
      </c>
      <c r="V296" s="10" t="s">
        <v>86</v>
      </c>
      <c r="W296" s="129">
        <f t="shared" si="107"/>
        <v>0</v>
      </c>
    </row>
    <row r="297" spans="1:23">
      <c r="A297" s="148"/>
      <c r="B297" s="171" t="s">
        <v>179</v>
      </c>
      <c r="C297" s="246">
        <f>COUNTIFS(เรื่องร้องเรียน!E:E,"1",เรื่องร้องเรียน!N:N,"ห้วยขวาง",เรื่องร้องเรียน!AN:AN,"วังทองหลาง")</f>
        <v>0</v>
      </c>
      <c r="D297" s="109">
        <f>COUNTIFS(เรื่องร้องเรียน!E:E,"1",เรื่องร้องเรียน!N:N,"ห้วยขวาง",เรื่องร้องเรียน!AN:AN,"วังทองหลาง",เรื่องร้องเรียน!CL:CL,"1")</f>
        <v>0</v>
      </c>
      <c r="E297" s="109">
        <f>COUNTIFS(เรื่องร้องเรียน!E:E,"2",เรื่องร้องเรียน!N:N,"ห้วยขวาง",เรื่องร้องเรียน!AN:AN,"วังทองหลาง")</f>
        <v>0</v>
      </c>
      <c r="F297" s="109">
        <f>COUNTIFS(เรื่องร้องเรียน!E:E,"2",เรื่องร้องเรียน!N:N,"ห้วยขวาง",เรื่องร้องเรียน!AN:AN,"วังทองหลาง",เรื่องร้องเรียน!CL:CL,"1")</f>
        <v>0</v>
      </c>
      <c r="G297" s="109">
        <f>COUNTIFS(เรื่องร้องเรียน!E:E,"3",เรื่องร้องเรียน!N:N,"ห้วยขวาง",เรื่องร้องเรียน!AN:AN,"วังทองหลาง")</f>
        <v>0</v>
      </c>
      <c r="H297" s="109">
        <f>COUNTIFS(เรื่องร้องเรียน!E:E,"3",เรื่องร้องเรียน!N:N,"ห้วยขวาง",เรื่องร้องเรียน!AN:AN,"วังทองหลาง",เรื่องร้องเรียน!CL:CL,"1")</f>
        <v>0</v>
      </c>
      <c r="I297" s="109">
        <f>COUNTIFS(เรื่องร้องเรียน!E:E,"4",เรื่องร้องเรียน!N:N,"ห้วยขวาง",เรื่องร้องเรียน!AN:AN,"วังทองหลาง")</f>
        <v>0</v>
      </c>
      <c r="J297" s="144">
        <f>COUNTIFS(เรื่องร้องเรียน!E:E,"4",เรื่องร้องเรียน!N:N,"ห้วยขวาง",เรื่องร้องเรียน!AN:AN,"วังทองหลาง",เรื่องร้องเรียน!CL:CL,"1")</f>
        <v>0</v>
      </c>
      <c r="K297" s="144"/>
      <c r="L297" s="144"/>
      <c r="M297" s="109">
        <f t="shared" si="115"/>
        <v>0</v>
      </c>
      <c r="N297" s="145">
        <f t="shared" si="115"/>
        <v>0</v>
      </c>
      <c r="O297" s="146">
        <f>COUNTIFS(เรื่องร้องเรียน!E:E,"1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P297" s="144">
        <f>COUNTIFS(เรื่องร้องเรียน!E:E,"2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Q297" s="144">
        <f>COUNTIFS(เรื่องร้องเรียน!E:E,"3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R297" s="144">
        <f>COUNTIFS(เรื่องร้องเรียน!E:E,"4",เรื่องร้องเรียน!N:N,"ห้วยขวาง",เรื่องร้องเรียน!AN:AN,"วังทองหลาง",เรื่องร้องเรียน!AQ:AQ,"1",เรื่องร้องเรียน!CL:CL,"")</f>
        <v>0</v>
      </c>
      <c r="S297" s="144"/>
      <c r="T297" s="147">
        <f t="shared" si="94"/>
        <v>0</v>
      </c>
      <c r="U297" s="183">
        <f t="shared" si="91"/>
        <v>0</v>
      </c>
      <c r="W297" s="129">
        <f t="shared" si="107"/>
        <v>0</v>
      </c>
    </row>
    <row r="298" spans="1:23">
      <c r="A298" s="148"/>
      <c r="B298" s="171" t="s">
        <v>88</v>
      </c>
      <c r="C298" s="246">
        <f>COUNTIFS(เรื่องร้องเรียน!E:E,"1",เรื่องร้องเรียน!N:N,"ห้วยขวาง",เรื่องร้องเรียน!AN:AN,"สุทธิสาร")</f>
        <v>0</v>
      </c>
      <c r="D298" s="109">
        <f>COUNTIFS(เรื่องร้องเรียน!E:E,"1",เรื่องร้องเรียน!N:N,"ห้วยขวาง",เรื่องร้องเรียน!AN:AN,"สุทธิสาร",เรื่องร้องเรียน!CL:CL,"1")</f>
        <v>0</v>
      </c>
      <c r="E298" s="109">
        <f>COUNTIFS(เรื่องร้องเรียน!E:E,"2",เรื่องร้องเรียน!N:N,"ห้วยขวาง",เรื่องร้องเรียน!AN:AN,"สุทธิสาร")</f>
        <v>0</v>
      </c>
      <c r="F298" s="109">
        <f>COUNTIFS(เรื่องร้องเรียน!E:E,"2",เรื่องร้องเรียน!N:N,"ห้วยขวาง",เรื่องร้องเรียน!AN:AN,"สุทธิสาร",เรื่องร้องเรียน!CL:CL,"1")</f>
        <v>0</v>
      </c>
      <c r="G298" s="109">
        <f>COUNTIFS(เรื่องร้องเรียน!E:E,"3",เรื่องร้องเรียน!N:N,"ห้วยขวาง",เรื่องร้องเรียน!AN:AN,"สุทธิสาร")</f>
        <v>0</v>
      </c>
      <c r="H298" s="109">
        <f>COUNTIFS(เรื่องร้องเรียน!E:E,"3",เรื่องร้องเรียน!N:N,"ห้วยขวาง",เรื่องร้องเรียน!AN:AN,"สุทธิสาร",เรื่องร้องเรียน!CL:CL,"1")</f>
        <v>0</v>
      </c>
      <c r="I298" s="109">
        <f>COUNTIFS(เรื่องร้องเรียน!E:E,"4",เรื่องร้องเรียน!N:N,"ห้วยขวาง",เรื่องร้องเรียน!AN:AN,"สุทธิสาร")</f>
        <v>0</v>
      </c>
      <c r="J298" s="144">
        <f>COUNTIFS(เรื่องร้องเรียน!E:E,"4",เรื่องร้องเรียน!N:N,"ห้วยขวาง",เรื่องร้องเรียน!AN:AN,"สุทธิสาร",เรื่องร้องเรียน!CL:CL,"1")</f>
        <v>0</v>
      </c>
      <c r="K298" s="144"/>
      <c r="L298" s="144"/>
      <c r="M298" s="109">
        <f t="shared" si="115"/>
        <v>0</v>
      </c>
      <c r="N298" s="145">
        <f t="shared" si="115"/>
        <v>0</v>
      </c>
      <c r="O298" s="146">
        <f>COUNTIFS(เรื่องร้องเรียน!E:E,"1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P298" s="144">
        <f>COUNTIFS(เรื่องร้องเรียน!E:E,"2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Q298" s="144">
        <f>COUNTIFS(เรื่องร้องเรียน!E:E,"3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R298" s="144">
        <f>COUNTIFS(เรื่องร้องเรียน!E:E,"4",เรื่องร้องเรียน!N:N,"ห้วยขวาง",เรื่องร้องเรียน!AN:AN,"สุทธิสาร",เรื่องร้องเรียน!AQ:AQ,"1",เรื่องร้องเรียน!CL:CL,"")</f>
        <v>0</v>
      </c>
      <c r="S298" s="144"/>
      <c r="T298" s="147">
        <f t="shared" si="94"/>
        <v>0</v>
      </c>
      <c r="U298" s="183">
        <f t="shared" si="91"/>
        <v>0</v>
      </c>
      <c r="W298" s="129">
        <f t="shared" si="107"/>
        <v>0</v>
      </c>
    </row>
    <row r="299" spans="1:23">
      <c r="A299" s="148"/>
      <c r="B299" s="171" t="s">
        <v>140</v>
      </c>
      <c r="C299" s="246">
        <f>COUNTIFS(เรื่องร้องเรียน!E:E,"1",เรื่องร้องเรียน!N:N,"ห้วยขวาง",เรื่องร้องเรียน!AN:AN,"ห้วยขวาง")</f>
        <v>0</v>
      </c>
      <c r="D299" s="109">
        <f>COUNTIFS(เรื่องร้องเรียน!E:E,"1",เรื่องร้องเรียน!N:N,"ห้วยขวาง",เรื่องร้องเรียน!AN:AN,"ห้วยขวาง",เรื่องร้องเรียน!CL:CL,"1")</f>
        <v>0</v>
      </c>
      <c r="E299" s="109">
        <f>COUNTIFS(เรื่องร้องเรียน!E:E,"2",เรื่องร้องเรียน!N:N,"ห้วยขวาง",เรื่องร้องเรียน!AN:AN,"ห้วยขวาง")</f>
        <v>0</v>
      </c>
      <c r="F299" s="109">
        <f>COUNTIFS(เรื่องร้องเรียน!E:E,"2",เรื่องร้องเรียน!N:N,"ห้วยขวาง",เรื่องร้องเรียน!AN:AN,"ห้วยขวาง",เรื่องร้องเรียน!CL:CL,"1")</f>
        <v>0</v>
      </c>
      <c r="G299" s="109">
        <f>COUNTIFS(เรื่องร้องเรียน!E:E,"3",เรื่องร้องเรียน!N:N,"ห้วยขวาง",เรื่องร้องเรียน!AN:AN,"ห้วยขวาง")</f>
        <v>0</v>
      </c>
      <c r="H299" s="109">
        <f>COUNTIFS(เรื่องร้องเรียน!E:E,"3",เรื่องร้องเรียน!N:N,"ห้วยขวาง",เรื่องร้องเรียน!AN:AN,"ห้วยขวาง",เรื่องร้องเรียน!CL:CL,"1")</f>
        <v>0</v>
      </c>
      <c r="I299" s="109">
        <f>COUNTIFS(เรื่องร้องเรียน!E:E,"4",เรื่องร้องเรียน!N:N,"ห้วยขวาง",เรื่องร้องเรียน!AN:AN,"ห้วยขวาง")</f>
        <v>0</v>
      </c>
      <c r="J299" s="144">
        <f>COUNTIFS(เรื่องร้องเรียน!E:E,"4",เรื่องร้องเรียน!N:N,"ห้วยขวาง",เรื่องร้องเรียน!AN:AN,"ห้วยขวาง",เรื่องร้องเรียน!CL:CL,"1")</f>
        <v>0</v>
      </c>
      <c r="K299" s="144"/>
      <c r="L299" s="144"/>
      <c r="M299" s="109">
        <f t="shared" si="115"/>
        <v>0</v>
      </c>
      <c r="N299" s="145">
        <f t="shared" si="115"/>
        <v>0</v>
      </c>
      <c r="O299" s="146">
        <f>COUNTIFS(เรื่องร้องเรียน!E:E,"1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P299" s="144">
        <f>COUNTIFS(เรื่องร้องเรียน!E:E,"2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Q299" s="144">
        <f>COUNTIFS(เรื่องร้องเรียน!E:E,"3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R299" s="144">
        <f>COUNTIFS(เรื่องร้องเรียน!E:E,"4",เรื่องร้องเรียน!N:N,"ห้วยขวาง",เรื่องร้องเรียน!AN:AN,"ห้วยขวาง",เรื่องร้องเรียน!AQ:AQ,"1",เรื่องร้องเรียน!CL:CL,"")</f>
        <v>0</v>
      </c>
      <c r="S299" s="144"/>
      <c r="T299" s="147">
        <f t="shared" si="94"/>
        <v>0</v>
      </c>
      <c r="U299" s="183">
        <f t="shared" si="91"/>
        <v>0</v>
      </c>
      <c r="W299" s="129">
        <f t="shared" si="107"/>
        <v>0</v>
      </c>
    </row>
    <row r="300" spans="1:23">
      <c r="A300" s="150"/>
      <c r="B300" s="177" t="s">
        <v>132</v>
      </c>
      <c r="C300" s="123">
        <f>COUNTIFS(เรื่องร้องเรียน!E:E,"1",เรื่องร้องเรียน!N:N,"ห้วยขวาง",เรื่องร้องเรียน!AN:AN,"โชคชัย")</f>
        <v>0</v>
      </c>
      <c r="D300" s="117">
        <f>COUNTIFS(เรื่องร้องเรียน!E:E,"1",เรื่องร้องเรียน!N:N,"ห้วยขวาง",เรื่องร้องเรียน!AN:AN,"โชคชัย",เรื่องร้องเรียน!CL:CL,"1")</f>
        <v>0</v>
      </c>
      <c r="E300" s="117">
        <f>COUNTIFS(เรื่องร้องเรียน!E:E,"2",เรื่องร้องเรียน!N:N,"ห้วยขวาง",เรื่องร้องเรียน!AN:AN,"โชคชัย")</f>
        <v>0</v>
      </c>
      <c r="F300" s="117">
        <f>COUNTIFS(เรื่องร้องเรียน!E:E,"2",เรื่องร้องเรียน!N:N,"ห้วยขวาง",เรื่องร้องเรียน!AN:AN,"โชคชัย",เรื่องร้องเรียน!CL:CL,"1")</f>
        <v>0</v>
      </c>
      <c r="G300" s="117">
        <f>COUNTIFS(เรื่องร้องเรียน!E:E,"3",เรื่องร้องเรียน!N:N,"ห้วยขวาง",เรื่องร้องเรียน!AN:AN,"โชคชัย")</f>
        <v>0</v>
      </c>
      <c r="H300" s="117">
        <f>COUNTIFS(เรื่องร้องเรียน!E:E,"3",เรื่องร้องเรียน!N:N,"ห้วยขวาง",เรื่องร้องเรียน!AN:AN,"โชคชัย",เรื่องร้องเรียน!CL:CL,"1")</f>
        <v>0</v>
      </c>
      <c r="I300" s="117">
        <f>COUNTIFS(เรื่องร้องเรียน!E:E,"4",เรื่องร้องเรียน!N:N,"ห้วยขวาง",เรื่องร้องเรียน!AN:AN,"โชคชัย")</f>
        <v>0</v>
      </c>
      <c r="J300" s="152">
        <f>COUNTIFS(เรื่องร้องเรียน!E:E,"4",เรื่องร้องเรียน!N:N,"ห้วยขวาง",เรื่องร้องเรียน!AN:AN,"โชคชัย",เรื่องร้องเรียน!CL:CL,"1")</f>
        <v>0</v>
      </c>
      <c r="K300" s="152"/>
      <c r="L300" s="152"/>
      <c r="M300" s="117">
        <f>SUM(C300,E300,G300,I300,K300)</f>
        <v>0</v>
      </c>
      <c r="N300" s="122">
        <f>SUM(D300,F300,H300,J300,L300)</f>
        <v>0</v>
      </c>
      <c r="O300" s="153">
        <f>COUNTIFS(เรื่องร้องเรียน!E:E,"1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P300" s="152">
        <f>COUNTIFS(เรื่องร้องเรียน!E:E,"2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Q300" s="152">
        <f>COUNTIFS(เรื่องร้องเรียน!E:E,"3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R300" s="152">
        <f>COUNTIFS(เรื่องร้องเรียน!E:E,"4",เรื่องร้องเรียน!N:N,"ห้วยขวาง",เรื่องร้องเรียน!AN:AN,"โชคชัย",เรื่องร้องเรียน!AQ:AQ,"1",เรื่องร้องเรียน!CL:CL,"")</f>
        <v>0</v>
      </c>
      <c r="S300" s="152"/>
      <c r="T300" s="154">
        <f>SUM(O300:S300)</f>
        <v>0</v>
      </c>
      <c r="U300" s="190">
        <f>M300-N300-T300</f>
        <v>0</v>
      </c>
      <c r="W300" s="129">
        <f t="shared" si="107"/>
        <v>0</v>
      </c>
    </row>
    <row r="301" spans="1:23" ht="21.6" thickBot="1">
      <c r="A301" s="174"/>
      <c r="B301" s="172" t="s">
        <v>86</v>
      </c>
      <c r="C301" s="231">
        <f>COUNTIFS(เรื่องร้องเรียน!E:E,"1",เรื่องร้องเรียน!N:N,"ห้วยขวาง",เรื่องร้องเรียน!AN:AN,"ดินแดง")</f>
        <v>0</v>
      </c>
      <c r="D301" s="124">
        <f>COUNTIFS(เรื่องร้องเรียน!E:E,"1",เรื่องร้องเรียน!N:N,"ห้วยขวาง",เรื่องร้องเรียน!AN:AN,"ดินแดง",เรื่องร้องเรียน!CL:CL,"1")</f>
        <v>0</v>
      </c>
      <c r="E301" s="124">
        <f>COUNTIFS(เรื่องร้องเรียน!E:E,"2",เรื่องร้องเรียน!N:N,"ห้วยขวาง",เรื่องร้องเรียน!AN:AN,"ดินแดง")</f>
        <v>0</v>
      </c>
      <c r="F301" s="124">
        <f>COUNTIFS(เรื่องร้องเรียน!E:E,"2",เรื่องร้องเรียน!N:N,"ห้วยขวาง",เรื่องร้องเรียน!AN:AN,"ดินแดง",เรื่องร้องเรียน!CL:CL,"1")</f>
        <v>0</v>
      </c>
      <c r="G301" s="124">
        <f>COUNTIFS(เรื่องร้องเรียน!E:E,"3",เรื่องร้องเรียน!N:N,"ห้วยขวาง",เรื่องร้องเรียน!AN:AN,"ดินแดง")</f>
        <v>0</v>
      </c>
      <c r="H301" s="124">
        <f>COUNTIFS(เรื่องร้องเรียน!E:E,"3",เรื่องร้องเรียน!N:N,"ห้วยขวาง",เรื่องร้องเรียน!AN:AN,"ดินแดง",เรื่องร้องเรียน!CL:CL,"1")</f>
        <v>0</v>
      </c>
      <c r="I301" s="124">
        <f>COUNTIFS(เรื่องร้องเรียน!E:E,"4",เรื่องร้องเรียน!N:N,"ห้วยขวาง",เรื่องร้องเรียน!AN:AN,"ดินแดง")</f>
        <v>0</v>
      </c>
      <c r="J301" s="157">
        <f>COUNTIFS(เรื่องร้องเรียน!E:E,"4",เรื่องร้องเรียน!N:N,"ห้วยขวาง",เรื่องร้องเรียน!AN:AN,"ดินแดง",เรื่องร้องเรียน!CL:CL,"1")</f>
        <v>0</v>
      </c>
      <c r="K301" s="157"/>
      <c r="L301" s="157"/>
      <c r="M301" s="124">
        <f>SUM(C301,E301,G301,I301,K301)</f>
        <v>0</v>
      </c>
      <c r="N301" s="158">
        <f>SUM(D301,F301,H301,J301,L301)</f>
        <v>0</v>
      </c>
      <c r="O301" s="159">
        <f>COUNTIFS(เรื่องร้องเรียน!E:E,"1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P301" s="157">
        <f>COUNTIFS(เรื่องร้องเรียน!E:E,"2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Q301" s="157">
        <f>COUNTIFS(เรื่องร้องเรียน!E:E,"3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R301" s="157">
        <f>COUNTIFS(เรื่องร้องเรียน!E:E,"4",เรื่องร้องเรียน!N:N,"ห้วยขวาง",เรื่องร้องเรียน!AN:AN,"ดินแดง",เรื่องร้องเรียน!AQ:AQ,"1",เรื่องร้องเรียน!CL:CL,"")</f>
        <v>0</v>
      </c>
      <c r="S301" s="157"/>
      <c r="T301" s="160">
        <f>SUM(O301:S301)</f>
        <v>0</v>
      </c>
      <c r="U301" s="184">
        <f>M301-N301-T301</f>
        <v>0</v>
      </c>
      <c r="W301" s="129">
        <f t="shared" si="107"/>
        <v>0</v>
      </c>
    </row>
    <row r="1478" spans="27:27">
      <c r="AA1478" s="41" t="s">
        <v>102</v>
      </c>
    </row>
  </sheetData>
  <mergeCells count="20">
    <mergeCell ref="A1:T1"/>
    <mergeCell ref="A2:T2"/>
    <mergeCell ref="A3:A5"/>
    <mergeCell ref="B3:B5"/>
    <mergeCell ref="C3:N3"/>
    <mergeCell ref="O3:T3"/>
    <mergeCell ref="Q4:Q5"/>
    <mergeCell ref="R4:R5"/>
    <mergeCell ref="S4:S5"/>
    <mergeCell ref="T4:T5"/>
    <mergeCell ref="U3:U5"/>
    <mergeCell ref="W3:W5"/>
    <mergeCell ref="C4:D4"/>
    <mergeCell ref="E4:F4"/>
    <mergeCell ref="G4:H4"/>
    <mergeCell ref="I4:J4"/>
    <mergeCell ref="K4:L4"/>
    <mergeCell ref="M4:N4"/>
    <mergeCell ref="O4:O5"/>
    <mergeCell ref="P4:P5"/>
  </mergeCells>
  <pageMargins left="0.15748031496062992" right="0.19685039370078741" top="0.74803149606299213" bottom="0.82677165354330717" header="0.31496062992125984" footer="0.47244094488188981"/>
  <pageSetup paperSize="9" scale="80" orientation="portrait" r:id="rId1"/>
  <headerFooter>
    <oddFooter>&amp;L&amp;"TH SarabunPSK,Regular"&amp;10ที่มา : ส่วนวิเคราะห์ข่าวและเฝ้าระวัง/        สำนักงาน ปปส.กทม.&amp;R&amp;"TH SarabunPSK,Regular"&amp;10ข้อมูล ณ วันที่ 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6D70-87FA-464F-9137-9E8CD8C90A00}">
  <sheetPr>
    <tabColor rgb="FF75FF75"/>
  </sheetPr>
  <dimension ref="A1:B89"/>
  <sheetViews>
    <sheetView topLeftCell="A82" workbookViewId="0">
      <selection activeCell="A3" sqref="A3"/>
    </sheetView>
  </sheetViews>
  <sheetFormatPr defaultRowHeight="14.4"/>
  <cols>
    <col min="1" max="1" width="11.109375" customWidth="1"/>
    <col min="3" max="3" width="10.88671875" customWidth="1"/>
    <col min="4" max="4" width="10.21875" customWidth="1"/>
    <col min="5" max="5" width="10.77734375" customWidth="1"/>
    <col min="6" max="6" width="13.33203125" customWidth="1"/>
    <col min="7" max="7" width="10.77734375" customWidth="1"/>
    <col min="8" max="8" width="13.6640625" customWidth="1"/>
    <col min="9" max="9" width="11" customWidth="1"/>
  </cols>
  <sheetData>
    <row r="1" spans="1:2">
      <c r="A1" t="s">
        <v>5</v>
      </c>
      <c r="B1" t="s">
        <v>6</v>
      </c>
    </row>
    <row r="2" spans="1:2">
      <c r="A2" t="s">
        <v>167</v>
      </c>
      <c r="B2">
        <v>1</v>
      </c>
    </row>
    <row r="3" spans="1:2">
      <c r="A3" t="s">
        <v>86</v>
      </c>
      <c r="B3">
        <v>1</v>
      </c>
    </row>
    <row r="4" spans="1:2">
      <c r="A4" t="s">
        <v>168</v>
      </c>
      <c r="B4">
        <v>1</v>
      </c>
    </row>
    <row r="5" spans="1:2">
      <c r="A5" t="s">
        <v>169</v>
      </c>
      <c r="B5">
        <v>1</v>
      </c>
    </row>
    <row r="6" spans="1:2">
      <c r="A6" t="s">
        <v>89</v>
      </c>
      <c r="B6">
        <v>1</v>
      </c>
    </row>
    <row r="7" spans="1:2">
      <c r="A7" t="s">
        <v>170</v>
      </c>
      <c r="B7">
        <v>1</v>
      </c>
    </row>
    <row r="8" spans="1:2">
      <c r="A8" t="s">
        <v>171</v>
      </c>
      <c r="B8">
        <v>1</v>
      </c>
    </row>
    <row r="9" spans="1:2">
      <c r="A9" t="s">
        <v>140</v>
      </c>
      <c r="B9">
        <v>1</v>
      </c>
    </row>
    <row r="10" spans="1:2">
      <c r="A10" t="s">
        <v>172</v>
      </c>
      <c r="B10">
        <v>1</v>
      </c>
    </row>
    <row r="11" spans="1:2">
      <c r="A11" t="s">
        <v>77</v>
      </c>
      <c r="B11">
        <v>2</v>
      </c>
    </row>
    <row r="12" spans="1:2">
      <c r="A12" t="s">
        <v>69</v>
      </c>
      <c r="B12">
        <v>2</v>
      </c>
    </row>
    <row r="13" spans="1:2">
      <c r="A13" t="s">
        <v>95</v>
      </c>
      <c r="B13">
        <v>2</v>
      </c>
    </row>
    <row r="14" spans="1:2">
      <c r="A14" t="s">
        <v>134</v>
      </c>
      <c r="B14">
        <v>2</v>
      </c>
    </row>
    <row r="15" spans="1:2">
      <c r="A15" t="s">
        <v>117</v>
      </c>
      <c r="B15">
        <v>2</v>
      </c>
    </row>
    <row r="16" spans="1:2">
      <c r="A16" t="s">
        <v>107</v>
      </c>
      <c r="B16">
        <v>2</v>
      </c>
    </row>
    <row r="17" spans="1:2">
      <c r="A17" t="s">
        <v>133</v>
      </c>
      <c r="B17">
        <v>2</v>
      </c>
    </row>
    <row r="18" spans="1:2">
      <c r="A18" t="s">
        <v>173</v>
      </c>
      <c r="B18">
        <v>2</v>
      </c>
    </row>
    <row r="19" spans="1:2">
      <c r="A19" t="s">
        <v>100</v>
      </c>
      <c r="B19">
        <v>2</v>
      </c>
    </row>
    <row r="20" spans="1:2">
      <c r="A20" t="s">
        <v>143</v>
      </c>
      <c r="B20">
        <v>2</v>
      </c>
    </row>
    <row r="21" spans="1:2">
      <c r="A21" t="s">
        <v>88</v>
      </c>
      <c r="B21">
        <v>2</v>
      </c>
    </row>
    <row r="22" spans="1:2">
      <c r="A22" t="s">
        <v>85</v>
      </c>
      <c r="B22">
        <v>3</v>
      </c>
    </row>
    <row r="23" spans="1:2">
      <c r="A23" t="s">
        <v>124</v>
      </c>
      <c r="B23">
        <v>3</v>
      </c>
    </row>
    <row r="24" spans="1:2">
      <c r="A24" t="s">
        <v>131</v>
      </c>
      <c r="B24">
        <v>3</v>
      </c>
    </row>
    <row r="25" spans="1:2">
      <c r="A25" t="s">
        <v>174</v>
      </c>
      <c r="B25">
        <v>3</v>
      </c>
    </row>
    <row r="26" spans="1:2">
      <c r="A26" t="s">
        <v>116</v>
      </c>
      <c r="B26">
        <v>3</v>
      </c>
    </row>
    <row r="27" spans="1:2">
      <c r="A27" t="s">
        <v>175</v>
      </c>
      <c r="B27">
        <v>3</v>
      </c>
    </row>
    <row r="28" spans="1:2">
      <c r="A28" t="s">
        <v>84</v>
      </c>
      <c r="B28">
        <v>3</v>
      </c>
    </row>
    <row r="29" spans="1:2">
      <c r="A29" t="s">
        <v>176</v>
      </c>
      <c r="B29">
        <v>3</v>
      </c>
    </row>
    <row r="30" spans="1:2">
      <c r="A30" t="s">
        <v>177</v>
      </c>
      <c r="B30">
        <v>3</v>
      </c>
    </row>
    <row r="31" spans="1:2">
      <c r="A31" t="s">
        <v>178</v>
      </c>
      <c r="B31">
        <v>3</v>
      </c>
    </row>
    <row r="32" spans="1:2">
      <c r="A32" t="s">
        <v>141</v>
      </c>
      <c r="B32">
        <v>3</v>
      </c>
    </row>
    <row r="33" spans="1:2">
      <c r="A33" t="s">
        <v>132</v>
      </c>
      <c r="B33">
        <v>4</v>
      </c>
    </row>
    <row r="34" spans="1:2">
      <c r="A34" t="s">
        <v>102</v>
      </c>
      <c r="B34">
        <v>4</v>
      </c>
    </row>
    <row r="35" spans="1:2">
      <c r="A35" t="s">
        <v>67</v>
      </c>
      <c r="B35">
        <v>4</v>
      </c>
    </row>
    <row r="36" spans="1:2">
      <c r="A36" t="s">
        <v>73</v>
      </c>
      <c r="B36">
        <v>4</v>
      </c>
    </row>
    <row r="37" spans="1:2">
      <c r="A37" t="s">
        <v>120</v>
      </c>
      <c r="B37">
        <v>4</v>
      </c>
    </row>
    <row r="38" spans="1:2">
      <c r="A38" t="s">
        <v>179</v>
      </c>
      <c r="B38">
        <v>4</v>
      </c>
    </row>
    <row r="39" spans="1:2">
      <c r="A39" t="s">
        <v>91</v>
      </c>
      <c r="B39">
        <v>4</v>
      </c>
    </row>
    <row r="40" spans="1:2">
      <c r="A40" t="s">
        <v>74</v>
      </c>
      <c r="B40">
        <v>4</v>
      </c>
    </row>
    <row r="41" spans="1:2">
      <c r="A41" t="s">
        <v>128</v>
      </c>
      <c r="B41">
        <v>5</v>
      </c>
    </row>
    <row r="42" spans="1:2">
      <c r="A42" t="s">
        <v>137</v>
      </c>
      <c r="B42">
        <v>5</v>
      </c>
    </row>
    <row r="43" spans="1:2">
      <c r="A43" t="s">
        <v>103</v>
      </c>
      <c r="B43">
        <v>5</v>
      </c>
    </row>
    <row r="44" spans="1:2">
      <c r="A44" t="s">
        <v>142</v>
      </c>
      <c r="B44">
        <v>5</v>
      </c>
    </row>
    <row r="45" spans="1:2">
      <c r="A45" t="s">
        <v>108</v>
      </c>
      <c r="B45">
        <v>5</v>
      </c>
    </row>
    <row r="46" spans="1:2">
      <c r="A46" t="s">
        <v>180</v>
      </c>
      <c r="B46">
        <v>5</v>
      </c>
    </row>
    <row r="47" spans="1:2">
      <c r="A47" t="s">
        <v>115</v>
      </c>
      <c r="B47">
        <v>5</v>
      </c>
    </row>
    <row r="48" spans="1:2">
      <c r="A48" t="s">
        <v>98</v>
      </c>
      <c r="B48">
        <v>5</v>
      </c>
    </row>
    <row r="49" spans="1:2">
      <c r="A49" t="s">
        <v>104</v>
      </c>
      <c r="B49">
        <v>5</v>
      </c>
    </row>
    <row r="50" spans="1:2">
      <c r="A50" t="s">
        <v>181</v>
      </c>
      <c r="B50">
        <v>6</v>
      </c>
    </row>
    <row r="51" spans="1:2">
      <c r="A51" t="s">
        <v>125</v>
      </c>
      <c r="B51">
        <v>6</v>
      </c>
    </row>
    <row r="52" spans="1:2">
      <c r="A52" t="s">
        <v>182</v>
      </c>
      <c r="B52">
        <v>6</v>
      </c>
    </row>
    <row r="53" spans="1:2">
      <c r="A53" t="s">
        <v>183</v>
      </c>
      <c r="B53">
        <v>6</v>
      </c>
    </row>
    <row r="54" spans="1:2">
      <c r="A54" t="s">
        <v>130</v>
      </c>
      <c r="B54">
        <v>6</v>
      </c>
    </row>
    <row r="55" spans="1:2">
      <c r="A55" t="s">
        <v>139</v>
      </c>
      <c r="B55">
        <v>6</v>
      </c>
    </row>
    <row r="56" spans="1:2">
      <c r="A56" t="s">
        <v>80</v>
      </c>
      <c r="B56">
        <v>6</v>
      </c>
    </row>
    <row r="57" spans="1:2">
      <c r="A57" t="s">
        <v>184</v>
      </c>
      <c r="B57">
        <v>6</v>
      </c>
    </row>
    <row r="58" spans="1:2">
      <c r="A58" t="s">
        <v>185</v>
      </c>
      <c r="B58">
        <v>7</v>
      </c>
    </row>
    <row r="59" spans="1:2">
      <c r="A59" t="s">
        <v>186</v>
      </c>
      <c r="B59">
        <v>7</v>
      </c>
    </row>
    <row r="60" spans="1:2">
      <c r="A60" t="s">
        <v>187</v>
      </c>
      <c r="B60">
        <v>7</v>
      </c>
    </row>
    <row r="61" spans="1:2">
      <c r="A61" t="s">
        <v>126</v>
      </c>
      <c r="B61">
        <v>7</v>
      </c>
    </row>
    <row r="62" spans="1:2">
      <c r="A62" t="s">
        <v>188</v>
      </c>
      <c r="B62">
        <v>7</v>
      </c>
    </row>
    <row r="63" spans="1:2">
      <c r="A63" t="s">
        <v>189</v>
      </c>
      <c r="B63">
        <v>7</v>
      </c>
    </row>
    <row r="64" spans="1:2">
      <c r="A64" t="s">
        <v>106</v>
      </c>
      <c r="B64">
        <v>7</v>
      </c>
    </row>
    <row r="65" spans="1:2">
      <c r="A65" t="s">
        <v>127</v>
      </c>
      <c r="B65">
        <v>7</v>
      </c>
    </row>
    <row r="66" spans="1:2">
      <c r="A66" t="s">
        <v>190</v>
      </c>
      <c r="B66">
        <v>7</v>
      </c>
    </row>
    <row r="67" spans="1:2">
      <c r="A67" t="s">
        <v>191</v>
      </c>
      <c r="B67">
        <v>7</v>
      </c>
    </row>
    <row r="68" spans="1:2">
      <c r="A68" t="s">
        <v>192</v>
      </c>
      <c r="B68">
        <v>7</v>
      </c>
    </row>
    <row r="69" spans="1:2">
      <c r="A69" t="s">
        <v>193</v>
      </c>
      <c r="B69">
        <v>8</v>
      </c>
    </row>
    <row r="70" spans="1:2">
      <c r="A70" t="s">
        <v>194</v>
      </c>
      <c r="B70">
        <v>8</v>
      </c>
    </row>
    <row r="71" spans="1:2">
      <c r="A71" t="s">
        <v>110</v>
      </c>
      <c r="B71">
        <v>8</v>
      </c>
    </row>
    <row r="72" spans="1:2">
      <c r="A72" t="s">
        <v>195</v>
      </c>
      <c r="B72">
        <v>8</v>
      </c>
    </row>
    <row r="73" spans="1:2">
      <c r="A73" t="s">
        <v>196</v>
      </c>
      <c r="B73">
        <v>8</v>
      </c>
    </row>
    <row r="74" spans="1:2">
      <c r="A74" t="s">
        <v>123</v>
      </c>
      <c r="B74">
        <v>8</v>
      </c>
    </row>
    <row r="75" spans="1:2">
      <c r="A75" t="s">
        <v>113</v>
      </c>
      <c r="B75">
        <v>8</v>
      </c>
    </row>
    <row r="76" spans="1:2">
      <c r="A76" t="s">
        <v>83</v>
      </c>
      <c r="B76">
        <v>8</v>
      </c>
    </row>
    <row r="77" spans="1:2">
      <c r="A77" t="s">
        <v>197</v>
      </c>
      <c r="B77">
        <v>8</v>
      </c>
    </row>
    <row r="78" spans="1:2">
      <c r="A78" t="s">
        <v>105</v>
      </c>
      <c r="B78">
        <v>8</v>
      </c>
    </row>
    <row r="79" spans="1:2">
      <c r="A79" t="s">
        <v>198</v>
      </c>
      <c r="B79">
        <v>8</v>
      </c>
    </row>
    <row r="80" spans="1:2">
      <c r="A80" t="s">
        <v>112</v>
      </c>
      <c r="B80">
        <v>9</v>
      </c>
    </row>
    <row r="81" spans="1:2">
      <c r="A81" t="s">
        <v>121</v>
      </c>
      <c r="B81">
        <v>9</v>
      </c>
    </row>
    <row r="82" spans="1:2">
      <c r="A82" t="s">
        <v>71</v>
      </c>
      <c r="B82">
        <v>9</v>
      </c>
    </row>
    <row r="83" spans="1:2">
      <c r="A83" t="s">
        <v>94</v>
      </c>
      <c r="B83">
        <v>9</v>
      </c>
    </row>
    <row r="84" spans="1:2">
      <c r="A84" t="s">
        <v>76</v>
      </c>
      <c r="B84">
        <v>9</v>
      </c>
    </row>
    <row r="85" spans="1:2">
      <c r="A85" t="s">
        <v>199</v>
      </c>
      <c r="B85">
        <v>9</v>
      </c>
    </row>
    <row r="86" spans="1:2">
      <c r="A86" t="s">
        <v>70</v>
      </c>
      <c r="B86">
        <v>9</v>
      </c>
    </row>
    <row r="87" spans="1:2">
      <c r="A87" t="s">
        <v>93</v>
      </c>
      <c r="B87">
        <v>9</v>
      </c>
    </row>
    <row r="88" spans="1:2">
      <c r="A88" t="s">
        <v>135</v>
      </c>
      <c r="B88">
        <v>9</v>
      </c>
    </row>
    <row r="89" spans="1:2">
      <c r="A89" t="s">
        <v>92</v>
      </c>
      <c r="B89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130-075E-4AF6-B0D3-7E11F8206FFC}">
  <dimension ref="A1:B50"/>
  <sheetViews>
    <sheetView topLeftCell="A16" workbookViewId="0">
      <selection activeCell="A31" sqref="A31"/>
    </sheetView>
  </sheetViews>
  <sheetFormatPr defaultRowHeight="14.4"/>
  <cols>
    <col min="2" max="2" width="14.44140625" bestFit="1" customWidth="1"/>
  </cols>
  <sheetData>
    <row r="1" spans="1:2">
      <c r="A1" t="s">
        <v>86</v>
      </c>
      <c r="B1" t="s">
        <v>87</v>
      </c>
    </row>
    <row r="2" spans="1:2">
      <c r="A2" t="s">
        <v>168</v>
      </c>
      <c r="B2" t="s">
        <v>87</v>
      </c>
    </row>
    <row r="3" spans="1:2">
      <c r="A3" t="s">
        <v>129</v>
      </c>
      <c r="B3" t="s">
        <v>87</v>
      </c>
    </row>
    <row r="4" spans="1:2">
      <c r="A4" t="s">
        <v>89</v>
      </c>
      <c r="B4" t="s">
        <v>87</v>
      </c>
    </row>
    <row r="5" spans="1:2">
      <c r="A5" t="s">
        <v>205</v>
      </c>
      <c r="B5" t="s">
        <v>87</v>
      </c>
    </row>
    <row r="6" spans="1:2">
      <c r="A6" t="s">
        <v>114</v>
      </c>
      <c r="B6" t="s">
        <v>87</v>
      </c>
    </row>
    <row r="7" spans="1:2">
      <c r="A7" t="s">
        <v>179</v>
      </c>
      <c r="B7" t="s">
        <v>87</v>
      </c>
    </row>
    <row r="8" spans="1:2">
      <c r="A8" t="s">
        <v>138</v>
      </c>
      <c r="B8" t="s">
        <v>87</v>
      </c>
    </row>
    <row r="9" spans="1:2">
      <c r="A9" t="s">
        <v>140</v>
      </c>
      <c r="B9" t="s">
        <v>87</v>
      </c>
    </row>
    <row r="10" spans="1:2">
      <c r="A10" t="s">
        <v>109</v>
      </c>
      <c r="B10" t="s">
        <v>68</v>
      </c>
    </row>
    <row r="11" spans="1:2">
      <c r="A11" t="s">
        <v>77</v>
      </c>
      <c r="B11" t="s">
        <v>68</v>
      </c>
    </row>
    <row r="12" spans="1:2">
      <c r="A12" t="s">
        <v>119</v>
      </c>
      <c r="B12" t="s">
        <v>68</v>
      </c>
    </row>
    <row r="13" spans="1:2">
      <c r="A13" t="s">
        <v>67</v>
      </c>
      <c r="B13" t="s">
        <v>68</v>
      </c>
    </row>
    <row r="14" spans="1:2">
      <c r="A14" t="s">
        <v>73</v>
      </c>
      <c r="B14" t="s">
        <v>68</v>
      </c>
    </row>
    <row r="15" spans="1:2">
      <c r="A15" t="s">
        <v>116</v>
      </c>
      <c r="B15" t="s">
        <v>68</v>
      </c>
    </row>
    <row r="16" spans="1:2">
      <c r="A16" t="s">
        <v>84</v>
      </c>
      <c r="B16" t="s">
        <v>68</v>
      </c>
    </row>
    <row r="17" spans="1:2">
      <c r="A17" t="s">
        <v>101</v>
      </c>
      <c r="B17" t="s">
        <v>68</v>
      </c>
    </row>
    <row r="18" spans="1:2">
      <c r="A18" t="s">
        <v>141</v>
      </c>
      <c r="B18" t="s">
        <v>68</v>
      </c>
    </row>
    <row r="19" spans="1:2">
      <c r="A19" t="s">
        <v>97</v>
      </c>
      <c r="B19" t="s">
        <v>79</v>
      </c>
    </row>
    <row r="20" spans="1:2">
      <c r="A20" t="s">
        <v>105</v>
      </c>
      <c r="B20" t="s">
        <v>79</v>
      </c>
    </row>
    <row r="21" spans="1:2">
      <c r="A21" t="s">
        <v>108</v>
      </c>
      <c r="B21" t="s">
        <v>79</v>
      </c>
    </row>
    <row r="22" spans="1:2">
      <c r="A22" t="s">
        <v>125</v>
      </c>
      <c r="B22" t="s">
        <v>79</v>
      </c>
    </row>
    <row r="23" spans="1:2">
      <c r="A23" t="s">
        <v>182</v>
      </c>
      <c r="B23" t="s">
        <v>79</v>
      </c>
    </row>
    <row r="24" spans="1:2">
      <c r="A24" t="s">
        <v>115</v>
      </c>
      <c r="B24" t="s">
        <v>79</v>
      </c>
    </row>
    <row r="25" spans="1:2">
      <c r="A25" t="s">
        <v>80</v>
      </c>
      <c r="B25" t="s">
        <v>79</v>
      </c>
    </row>
    <row r="26" spans="1:2">
      <c r="A26" t="s">
        <v>136</v>
      </c>
      <c r="B26" t="s">
        <v>79</v>
      </c>
    </row>
    <row r="27" spans="1:2">
      <c r="A27" t="s">
        <v>90</v>
      </c>
      <c r="B27" t="s">
        <v>79</v>
      </c>
    </row>
    <row r="28" spans="1:2">
      <c r="A28" t="s">
        <v>78</v>
      </c>
      <c r="B28" t="s">
        <v>79</v>
      </c>
    </row>
    <row r="29" spans="1:2">
      <c r="A29" t="s">
        <v>99</v>
      </c>
      <c r="B29" t="s">
        <v>96</v>
      </c>
    </row>
    <row r="30" spans="1:2">
      <c r="A30" t="s">
        <v>95</v>
      </c>
      <c r="B30" t="s">
        <v>96</v>
      </c>
    </row>
    <row r="31" spans="1:2">
      <c r="A31" t="s">
        <v>107</v>
      </c>
      <c r="B31" t="s">
        <v>96</v>
      </c>
    </row>
    <row r="32" spans="1:2">
      <c r="A32" t="s">
        <v>133</v>
      </c>
      <c r="B32" t="s">
        <v>96</v>
      </c>
    </row>
    <row r="33" spans="1:2">
      <c r="A33" t="s">
        <v>120</v>
      </c>
      <c r="B33" t="s">
        <v>96</v>
      </c>
    </row>
    <row r="34" spans="1:2">
      <c r="A34" t="s">
        <v>143</v>
      </c>
      <c r="B34" t="s">
        <v>96</v>
      </c>
    </row>
    <row r="35" spans="1:2">
      <c r="A35" t="s">
        <v>118</v>
      </c>
      <c r="B35" t="s">
        <v>96</v>
      </c>
    </row>
    <row r="36" spans="1:2">
      <c r="A36" t="s">
        <v>194</v>
      </c>
      <c r="B36" t="s">
        <v>72</v>
      </c>
    </row>
    <row r="37" spans="1:2">
      <c r="A37" t="s">
        <v>71</v>
      </c>
      <c r="B37" t="s">
        <v>72</v>
      </c>
    </row>
    <row r="38" spans="1:2">
      <c r="A38" t="s">
        <v>75</v>
      </c>
      <c r="B38" t="s">
        <v>72</v>
      </c>
    </row>
    <row r="39" spans="1:2">
      <c r="A39" t="s">
        <v>94</v>
      </c>
      <c r="B39" t="s">
        <v>72</v>
      </c>
    </row>
    <row r="40" spans="1:2">
      <c r="A40" t="s">
        <v>199</v>
      </c>
      <c r="B40" t="s">
        <v>72</v>
      </c>
    </row>
    <row r="41" spans="1:2">
      <c r="A41" t="s">
        <v>113</v>
      </c>
      <c r="B41" t="s">
        <v>72</v>
      </c>
    </row>
    <row r="42" spans="1:2">
      <c r="A42" t="s">
        <v>93</v>
      </c>
      <c r="B42" t="s">
        <v>72</v>
      </c>
    </row>
    <row r="43" spans="1:2">
      <c r="A43" t="s">
        <v>81</v>
      </c>
      <c r="B43" t="s">
        <v>82</v>
      </c>
    </row>
    <row r="44" spans="1:2">
      <c r="A44" t="s">
        <v>111</v>
      </c>
      <c r="B44" t="s">
        <v>82</v>
      </c>
    </row>
    <row r="45" spans="1:2">
      <c r="A45" t="s">
        <v>185</v>
      </c>
      <c r="B45" t="s">
        <v>82</v>
      </c>
    </row>
    <row r="46" spans="1:2">
      <c r="A46" t="s">
        <v>203</v>
      </c>
      <c r="B46" t="s">
        <v>82</v>
      </c>
    </row>
    <row r="47" spans="1:2">
      <c r="A47" t="s">
        <v>122</v>
      </c>
      <c r="B47" t="s">
        <v>82</v>
      </c>
    </row>
    <row r="48" spans="1:2">
      <c r="A48" t="s">
        <v>126</v>
      </c>
      <c r="B48" t="s">
        <v>82</v>
      </c>
    </row>
    <row r="49" spans="1:2">
      <c r="A49" t="s">
        <v>188</v>
      </c>
      <c r="B49" t="s">
        <v>82</v>
      </c>
    </row>
    <row r="50" spans="1:2">
      <c r="A50" t="s">
        <v>106</v>
      </c>
      <c r="B50" t="s">
        <v>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1"/>
  <sheetViews>
    <sheetView workbookViewId="0">
      <selection activeCell="A20" sqref="A20"/>
    </sheetView>
  </sheetViews>
  <sheetFormatPr defaultRowHeight="14.4"/>
  <cols>
    <col min="1" max="1" width="24.109375" customWidth="1"/>
    <col min="2" max="2" width="21.109375" customWidth="1"/>
  </cols>
  <sheetData>
    <row r="1" spans="1:2">
      <c r="A1" t="s">
        <v>35</v>
      </c>
      <c r="B1" t="s">
        <v>36</v>
      </c>
    </row>
    <row r="2" spans="1:2">
      <c r="A2" t="s">
        <v>86</v>
      </c>
      <c r="B2" t="s">
        <v>87</v>
      </c>
    </row>
    <row r="3" spans="1:2">
      <c r="A3" t="s">
        <v>168</v>
      </c>
      <c r="B3" t="s">
        <v>87</v>
      </c>
    </row>
    <row r="4" spans="1:2">
      <c r="A4" t="s">
        <v>129</v>
      </c>
      <c r="B4" t="s">
        <v>87</v>
      </c>
    </row>
    <row r="5" spans="1:2">
      <c r="A5" t="s">
        <v>89</v>
      </c>
      <c r="B5" t="s">
        <v>87</v>
      </c>
    </row>
    <row r="6" spans="1:2">
      <c r="A6" t="s">
        <v>205</v>
      </c>
      <c r="B6" t="s">
        <v>87</v>
      </c>
    </row>
    <row r="7" spans="1:2">
      <c r="A7" t="s">
        <v>114</v>
      </c>
      <c r="B7" t="s">
        <v>87</v>
      </c>
    </row>
    <row r="8" spans="1:2">
      <c r="A8" t="s">
        <v>179</v>
      </c>
      <c r="B8" t="s">
        <v>87</v>
      </c>
    </row>
    <row r="9" spans="1:2">
      <c r="A9" t="s">
        <v>138</v>
      </c>
      <c r="B9" t="s">
        <v>87</v>
      </c>
    </row>
    <row r="10" spans="1:2">
      <c r="A10" t="s">
        <v>140</v>
      </c>
      <c r="B10" t="s">
        <v>87</v>
      </c>
    </row>
    <row r="11" spans="1:2">
      <c r="A11" t="s">
        <v>109</v>
      </c>
      <c r="B11" t="s">
        <v>68</v>
      </c>
    </row>
    <row r="12" spans="1:2">
      <c r="A12" t="s">
        <v>77</v>
      </c>
      <c r="B12" t="s">
        <v>68</v>
      </c>
    </row>
    <row r="13" spans="1:2">
      <c r="A13" t="s">
        <v>119</v>
      </c>
      <c r="B13" t="s">
        <v>68</v>
      </c>
    </row>
    <row r="14" spans="1:2">
      <c r="A14" t="s">
        <v>67</v>
      </c>
      <c r="B14" t="s">
        <v>68</v>
      </c>
    </row>
    <row r="15" spans="1:2">
      <c r="A15" t="s">
        <v>73</v>
      </c>
      <c r="B15" t="s">
        <v>68</v>
      </c>
    </row>
    <row r="16" spans="1:2">
      <c r="A16" t="s">
        <v>116</v>
      </c>
      <c r="B16" t="s">
        <v>68</v>
      </c>
    </row>
    <row r="17" spans="1:2">
      <c r="A17" t="s">
        <v>84</v>
      </c>
      <c r="B17" t="s">
        <v>68</v>
      </c>
    </row>
    <row r="18" spans="1:2">
      <c r="A18" t="s">
        <v>101</v>
      </c>
      <c r="B18" t="s">
        <v>68</v>
      </c>
    </row>
    <row r="19" spans="1:2">
      <c r="A19" t="s">
        <v>141</v>
      </c>
      <c r="B19" t="s">
        <v>68</v>
      </c>
    </row>
    <row r="20" spans="1:2">
      <c r="A20" t="s">
        <v>97</v>
      </c>
      <c r="B20" t="s">
        <v>79</v>
      </c>
    </row>
    <row r="21" spans="1:2">
      <c r="A21" t="s">
        <v>105</v>
      </c>
      <c r="B21" t="s">
        <v>79</v>
      </c>
    </row>
    <row r="22" spans="1:2">
      <c r="A22" t="s">
        <v>108</v>
      </c>
      <c r="B22" t="s">
        <v>79</v>
      </c>
    </row>
    <row r="23" spans="1:2">
      <c r="A23" t="s">
        <v>125</v>
      </c>
      <c r="B23" t="s">
        <v>79</v>
      </c>
    </row>
    <row r="24" spans="1:2">
      <c r="A24" t="s">
        <v>182</v>
      </c>
      <c r="B24" t="s">
        <v>79</v>
      </c>
    </row>
    <row r="25" spans="1:2">
      <c r="A25" t="s">
        <v>115</v>
      </c>
      <c r="B25" t="s">
        <v>79</v>
      </c>
    </row>
    <row r="26" spans="1:2">
      <c r="A26" t="s">
        <v>80</v>
      </c>
      <c r="B26" t="s">
        <v>79</v>
      </c>
    </row>
    <row r="27" spans="1:2">
      <c r="A27" t="s">
        <v>136</v>
      </c>
      <c r="B27" t="s">
        <v>79</v>
      </c>
    </row>
    <row r="28" spans="1:2">
      <c r="A28" t="s">
        <v>90</v>
      </c>
      <c r="B28" t="s">
        <v>79</v>
      </c>
    </row>
    <row r="29" spans="1:2">
      <c r="A29" t="s">
        <v>78</v>
      </c>
      <c r="B29" t="s">
        <v>79</v>
      </c>
    </row>
    <row r="30" spans="1:2">
      <c r="A30" t="s">
        <v>99</v>
      </c>
      <c r="B30" t="s">
        <v>96</v>
      </c>
    </row>
    <row r="31" spans="1:2">
      <c r="A31" t="s">
        <v>95</v>
      </c>
      <c r="B31" t="s">
        <v>96</v>
      </c>
    </row>
    <row r="32" spans="1:2">
      <c r="A32" t="s">
        <v>107</v>
      </c>
      <c r="B32" t="s">
        <v>96</v>
      </c>
    </row>
    <row r="33" spans="1:2">
      <c r="A33" t="s">
        <v>133</v>
      </c>
      <c r="B33" t="s">
        <v>96</v>
      </c>
    </row>
    <row r="34" spans="1:2">
      <c r="A34" t="s">
        <v>120</v>
      </c>
      <c r="B34" t="s">
        <v>96</v>
      </c>
    </row>
    <row r="35" spans="1:2">
      <c r="A35" t="s">
        <v>143</v>
      </c>
      <c r="B35" t="s">
        <v>96</v>
      </c>
    </row>
    <row r="36" spans="1:2">
      <c r="A36" t="s">
        <v>118</v>
      </c>
      <c r="B36" t="s">
        <v>96</v>
      </c>
    </row>
    <row r="37" spans="1:2">
      <c r="A37" t="s">
        <v>194</v>
      </c>
      <c r="B37" t="s">
        <v>72</v>
      </c>
    </row>
    <row r="38" spans="1:2">
      <c r="A38" t="s">
        <v>71</v>
      </c>
      <c r="B38" t="s">
        <v>72</v>
      </c>
    </row>
    <row r="39" spans="1:2">
      <c r="A39" t="s">
        <v>75</v>
      </c>
      <c r="B39" t="s">
        <v>72</v>
      </c>
    </row>
    <row r="40" spans="1:2">
      <c r="A40" t="s">
        <v>94</v>
      </c>
      <c r="B40" t="s">
        <v>72</v>
      </c>
    </row>
    <row r="41" spans="1:2">
      <c r="A41" t="s">
        <v>199</v>
      </c>
      <c r="B41" t="s">
        <v>72</v>
      </c>
    </row>
    <row r="42" spans="1:2">
      <c r="A42" t="s">
        <v>113</v>
      </c>
      <c r="B42" t="s">
        <v>72</v>
      </c>
    </row>
    <row r="43" spans="1:2">
      <c r="A43" t="s">
        <v>93</v>
      </c>
      <c r="B43" t="s">
        <v>72</v>
      </c>
    </row>
    <row r="44" spans="1:2">
      <c r="A44" t="s">
        <v>81</v>
      </c>
      <c r="B44" t="s">
        <v>82</v>
      </c>
    </row>
    <row r="45" spans="1:2">
      <c r="A45" t="s">
        <v>111</v>
      </c>
      <c r="B45" t="s">
        <v>82</v>
      </c>
    </row>
    <row r="46" spans="1:2">
      <c r="A46" t="s">
        <v>185</v>
      </c>
      <c r="B46" t="s">
        <v>82</v>
      </c>
    </row>
    <row r="47" spans="1:2">
      <c r="A47" t="s">
        <v>203</v>
      </c>
      <c r="B47" t="s">
        <v>82</v>
      </c>
    </row>
    <row r="48" spans="1:2">
      <c r="A48" t="s">
        <v>122</v>
      </c>
      <c r="B48" t="s">
        <v>82</v>
      </c>
    </row>
    <row r="49" spans="1:2">
      <c r="A49" t="s">
        <v>126</v>
      </c>
      <c r="B49" t="s">
        <v>82</v>
      </c>
    </row>
    <row r="50" spans="1:2">
      <c r="A50" t="s">
        <v>188</v>
      </c>
      <c r="B50" t="s">
        <v>82</v>
      </c>
    </row>
    <row r="51" spans="1:2">
      <c r="A51" t="s">
        <v>106</v>
      </c>
      <c r="B5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เรื่องร้องเรียน</vt:lpstr>
      <vt:lpstr>บก.น.1-9</vt:lpstr>
      <vt:lpstr>กลุ่ม 1-5</vt:lpstr>
      <vt:lpstr>กลุ่ม 1-5 - เขต</vt:lpstr>
      <vt:lpstr>กลุ่ม 1-5 - สน.</vt:lpstr>
      <vt:lpstr>กลุ่ม 1-5 - สน. (พฤติการณ์)</vt:lpstr>
      <vt:lpstr>บก.น.1-9(ส่งจริง)</vt:lpstr>
      <vt:lpstr>กลุ่ม1-5-สน.(ส่งจริง) (2)</vt:lpstr>
      <vt:lpstr>พฤติการณ์</vt:lpstr>
      <vt:lpstr>กลุ่ม 1-5 - เขต (2)</vt:lpstr>
      <vt:lpstr>Sheet1</vt:lpstr>
      <vt:lpstr>Sheet2</vt:lpstr>
      <vt:lpstr>area1</vt:lpstr>
      <vt:lpstr>'กลุ่ม 1-5'!Print_Area</vt:lpstr>
      <vt:lpstr>'บก.น.1-9'!Print_Area</vt:lpstr>
      <vt:lpstr>'บก.น.1-9(ส่งจริง)'!Print_Area</vt:lpstr>
      <vt:lpstr>พฤติการณ์!Print_Area</vt:lpstr>
      <vt:lpstr>'กลุ่ม 1-5 - เขต'!Print_Titles</vt:lpstr>
      <vt:lpstr>'กลุ่ม 1-5 - เขต (2)'!Print_Titles</vt:lpstr>
      <vt:lpstr>'กลุ่ม 1-5 - สน.'!Print_Titles</vt:lpstr>
      <vt:lpstr>'กลุ่ม 1-5 - สน. (พฤติการณ์)'!Print_Titles</vt:lpstr>
      <vt:lpstr>'กลุ่ม1-5-สน.(ส่งจริง) (2)'!Print_Titles</vt:lpstr>
      <vt:lpstr>เรื่องร้องเรียน!Print_Titles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 Phuntanachaikun</dc:creator>
  <cp:lastModifiedBy>tee ree</cp:lastModifiedBy>
  <cp:lastPrinted>2024-11-07T03:14:16Z</cp:lastPrinted>
  <dcterms:created xsi:type="dcterms:W3CDTF">2019-10-17T03:06:38Z</dcterms:created>
  <dcterms:modified xsi:type="dcterms:W3CDTF">2026-06-24T03:24:53Z</dcterms:modified>
</cp:coreProperties>
</file>